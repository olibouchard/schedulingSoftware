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Deals" sheetId="3" state="visible" r:id="rId3"/>
    <sheet name="Assignments" sheetId="4" state="visible" r:id="rId4"/>
    <sheet name="Roster" sheetId="5" state="visible" r:id="rId5"/>
    <sheet name="Templates" sheetId="6" state="visible" r:id="rId6"/>
    <sheet name="Settings" sheetId="7" state="visible" r:id="rId7"/>
    <sheet name="Review" sheetId="8" state="visible" r:id="rId8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dd-mmm"/>
    <numFmt numFmtId="167" formatCode="0.0;-0.0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6" fontId="5" fillId="3" borderId="0" applyAlignment="1" pivotButton="0" quotePrefix="0" xfId="0">
      <alignment horizontal="center"/>
    </xf>
    <xf numFmtId="0" fontId="7" fillId="0" borderId="0" pivotButton="0" quotePrefix="0" xfId="0"/>
    <xf numFmtId="1" fontId="7" fillId="0" borderId="0" pivotButton="0" quotePrefix="0" xfId="0"/>
    <xf numFmtId="167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pivotButton="0" quotePrefix="0" xfId="0"/>
    <xf numFmtId="0" fontId="6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0" fontId="4" fillId="0" borderId="1" pivotButton="0" quotePrefix="0" xfId="0"/>
    <xf numFmtId="2" fontId="7" fillId="0" borderId="1" pivotButton="0" quotePrefix="0" xfId="0"/>
    <xf numFmtId="9" fontId="7" fillId="0" borderId="1" pivotButton="0" quotePrefix="0" xfId="0"/>
    <xf numFmtId="164" fontId="6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0" fillId="0" borderId="1" pivotButton="0" quotePrefix="0" xfId="0"/>
    <xf numFmtId="9" fontId="3" fillId="2" borderId="1" pivotButton="0" quotePrefix="0" xfId="0"/>
    <xf numFmtId="0" fontId="7" fillId="0" borderId="1" pivotButton="0" quotePrefix="0" xfId="0"/>
    <xf numFmtId="165" fontId="3" fillId="0" borderId="1" pivotButton="0" quotePrefix="0" xfId="0"/>
    <xf numFmtId="164" fontId="7" fillId="0" borderId="1" pivotButton="0" quotePrefix="0" xfId="0"/>
    <xf numFmtId="165" fontId="3" fillId="2" borderId="1" pivotButton="0" quotePrefix="0" xfId="0"/>
    <xf numFmtId="9" fontId="6" fillId="0" borderId="1" pivotButton="0" quotePrefix="0" xfId="0"/>
    <xf numFmtId="0" fontId="6" fillId="0" borderId="0" pivotButton="0" quotePrefix="0" xfId="0"/>
    <xf numFmtId="165" fontId="3" fillId="2" borderId="0" pivotButton="0" quotePrefix="0" xfId="0"/>
    <xf numFmtId="1" fontId="3" fillId="2" borderId="0" pivotButton="0" quotePrefix="0" xfId="0"/>
    <xf numFmtId="9" fontId="3" fillId="2" borderId="0" pivotButton="0" quotePrefix="0" xfId="0"/>
    <xf numFmtId="2" fontId="3" fillId="2" borderId="0" pivotButton="0" quotePrefix="0" xfId="0"/>
    <xf numFmtId="2" fontId="6" fillId="0" borderId="0" pivotButton="0" quotePrefix="0" xfId="0"/>
    <xf numFmtId="164" fontId="3" fillId="2" borderId="0" pivotButton="0" quotePrefix="0" xfId="0"/>
    <xf numFmtId="0" fontId="3" fillId="2" borderId="0" pivotButton="0" quotePrefix="0" xfId="0"/>
    <xf numFmtId="0" fontId="2" fillId="2" borderId="0" pivotButton="0" quotePrefix="0" xfId="0"/>
    <xf numFmtId="0" fontId="3" fillId="4" borderId="0" applyAlignment="1" pivotButton="0" quotePrefix="0" xfId="0">
      <alignment vertical="top" wrapText="1"/>
    </xf>
    <xf numFmtId="0" fontId="2" fillId="5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Deals - one row per engagement: lifecycle, probability, dates and deal attributes (dropdowns).</t>
        </is>
      </c>
    </row>
    <row r="7">
      <c r="B7" s="3" t="inlineStr">
        <is>
          <t xml:space="preserve">  Assignments - one row per person on a deal. 'Active?' controls whether it counts. Hours come from the deal's archetype (or the level default if no archetype) unless you set an Override. Columns N onward ('Eff. start/end', 'Seg1/Seg2 ...') are calculation helpers that let Capacity add up fast and phase the load - leave them alone.</t>
        </is>
      </c>
    </row>
    <row r="8">
      <c r="B8" s="3" t="inlineStr">
        <is>
          <t xml:space="preserve">  Roster - the team, weekly capacity, live utilization.</t>
        </is>
      </c>
    </row>
    <row r="9">
      <c r="B9" s="3" t="inlineStr">
        <is>
          <t xml:space="preserve">  Templates - deal archetypes (e.g. Buy-side TDD, Structuring, Tax equity): hrs/wk per person by level + a phase shape (heavier during diligence, lighter after). Set a deal's 'Effort archetype' on Deals and its assignments pick up these hours automatically.</t>
        </is>
      </c>
    </row>
    <row r="10">
      <c r="B10" s="3" t="inlineStr">
        <is>
          <t xml:space="preserve">  Settings - dropdown lists, level hour defaults, capacity window start, probability-weighting toggle.</t>
        </is>
      </c>
    </row>
    <row r="11">
      <c r="B11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2">
      <c r="B12" s="3" t="inlineStr"/>
    </row>
    <row r="13">
      <c r="B13" s="4" t="inlineStr">
        <is>
          <t>COLOR CODE</t>
        </is>
      </c>
    </row>
    <row r="14">
      <c r="B14" s="3" t="inlineStr">
        <is>
          <t xml:space="preserve">  Blue text = input you can edit    |    Black text = formula, leave alone    |    Green text = pulled from another tab</t>
        </is>
      </c>
    </row>
    <row r="15">
      <c r="B15" s="3" t="inlineStr">
        <is>
          <t xml:space="preserve">  Yellow fill = please fill in / review    |    Grey row = inactive (dead, closed, rolled off)</t>
        </is>
      </c>
    </row>
    <row r="16">
      <c r="B16" s="3" t="inlineStr"/>
    </row>
    <row r="17">
      <c r="B17" s="4" t="inlineStr">
        <is>
          <t>HOW TO</t>
        </is>
      </c>
    </row>
    <row r="18">
      <c r="B18" s="3" t="inlineStr">
        <is>
          <t xml:space="preserve">  Add a deal: next blank row on Deals - Project ID, client, Lifecycle, Probability, dates, attributes. Then staff it on Assignments.</t>
        </is>
      </c>
    </row>
    <row r="19">
      <c r="B19" s="3" t="inlineStr">
        <is>
          <t xml:space="preserve">  Staff someone: new row on Assignments - pick Person and Project ID, set Active? = Active. Hours come from the deal's archetype (or the level default); type an Override for this deal if needed.</t>
        </is>
      </c>
    </row>
    <row r="20">
      <c r="B20" s="3" t="inlineStr">
        <is>
          <t xml:space="preserve">  Estimate a deal's effort: set its 'Effort archetype' on Deals (a dropdown). Everyone staffed on it then gets that archetype's hrs/wk for their level. Add Expected start/end and the load auto-phases - heavier during diligence, lighter afterward.</t>
        </is>
      </c>
    </row>
    <row r="21">
      <c r="B21" s="3" t="inlineStr">
        <is>
          <t xml:space="preserve">  Roll someone off: set their row's Active? to Inactive (keeps history - do not delete).</t>
        </is>
      </c>
    </row>
    <row r="22">
      <c r="B22" s="3" t="inlineStr">
        <is>
          <t xml:space="preserve">  Deal dies / closes: set Lifecycle on Deals; its assignments stop counting once you mark them Inactive (a grey row reminds you).</t>
        </is>
      </c>
    </row>
    <row r="23">
      <c r="B23" s="3" t="inlineStr">
        <is>
          <t xml:space="preserve">  New team member: add to Roster (name, level, capacity) - they appear in every dropdown.</t>
        </is>
      </c>
    </row>
    <row r="24">
      <c r="B24" s="3" t="inlineStr">
        <is>
          <t xml:space="preserve">  Weekly 15-min check-in: open Capacity (who is red/amber?), scan Deals for yellow probability/date cells to update, confirm staffing on incoming deals.</t>
        </is>
      </c>
    </row>
    <row r="25">
      <c r="B25" s="3" t="inlineStr"/>
    </row>
    <row r="26">
      <c r="B26" s="4" t="inlineStr">
        <is>
          <t>ASSUMPTIONS BAKED IN (all editable)</t>
        </is>
      </c>
    </row>
    <row r="27">
      <c r="B27" s="3" t="inlineStr">
        <is>
          <t xml:space="preserve">  1. Default hrs/wk by level (Settings B8:B14) are PLACEHOLDERS, not measured data - tune at the first check-in.</t>
        </is>
      </c>
    </row>
    <row r="28">
      <c r="B28" s="3" t="inlineStr">
        <is>
          <t xml:space="preserve">  2. Weekly capacity is 40h for everyone (Roster col D) - placeholder.</t>
        </is>
      </c>
    </row>
    <row r="29">
      <c r="B29" s="3" t="inlineStr">
        <is>
          <t xml:space="preserve">  3. WIP deals were prefilled at 100% probability, Proposals at 50% - review the yellow cells.</t>
        </is>
      </c>
    </row>
    <row r="30">
      <c r="B30" s="3" t="inlineStr">
        <is>
          <t xml:space="preserve">  4. Deals with blank dates count in every week of the Capacity view; fill dates to time-phase.</t>
        </is>
      </c>
    </row>
    <row r="31">
      <c r="B31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2">
      <c r="B32" s="3" t="inlineStr"/>
    </row>
    <row r="33">
      <c r="B33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A deal with an Archetype + dates is time-phased (heavier during the front/diligence phase, lighter after); a deal missing either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11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11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11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11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11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11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11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11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11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11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11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11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11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11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11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11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11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11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11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11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11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11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11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11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11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11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11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11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11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11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11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11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11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11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11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11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11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11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11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11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11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11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11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11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11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11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11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11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11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11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11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11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11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11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11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11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11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11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11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11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11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11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11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11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11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11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11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11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11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11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11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11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11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11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11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11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11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11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11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11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11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11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11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11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11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11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11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11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11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11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11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11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11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11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11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11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11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11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11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11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11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11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11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11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11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11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11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11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11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11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11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11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11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11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11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11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11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11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11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11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11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11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11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11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11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11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11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11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11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11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11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11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11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11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11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11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11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11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11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11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11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11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11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11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11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11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11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11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11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11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11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11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11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11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11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11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11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11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11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11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11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11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11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11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11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11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11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11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11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11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11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11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11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11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11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11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11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11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11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11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11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11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11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11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11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11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11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11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11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11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11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11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11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11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11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11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11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11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11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11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11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11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11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11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11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11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11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11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11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11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11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11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11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11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11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11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11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11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11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11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11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11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11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11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11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11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11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11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11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11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11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11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11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11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11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11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11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11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11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11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11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11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11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11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11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11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11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11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11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11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11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11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11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11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11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11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11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11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11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11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11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11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11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11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11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11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11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11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11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11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11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11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11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11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11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11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11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11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11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11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11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11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11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11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11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11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11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11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11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11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11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11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11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11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11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11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11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11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11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11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11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11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11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11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11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11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11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11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11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11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11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11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11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11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11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11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11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11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11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11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11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11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11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11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11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11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11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11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11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11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11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11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11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11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11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11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11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11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11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11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11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11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11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11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11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11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11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11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11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11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11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11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11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11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11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11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11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11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11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11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11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11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11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11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11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11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11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11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11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11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11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11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11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11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11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11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11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11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11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11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11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11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11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11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11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11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11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11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11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11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11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11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11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11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11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11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11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11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11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11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11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11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11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11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11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11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11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11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11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11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11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11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11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11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11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11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11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11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11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11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11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11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11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11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11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11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11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11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11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11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11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11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11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11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11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11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11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11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11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11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11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11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11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11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11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11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11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11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11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11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11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11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11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11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11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11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11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11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11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11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11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11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11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11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11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11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11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11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11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11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11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11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11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11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11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11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11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11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11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11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11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11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11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11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11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11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11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11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11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11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11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11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11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11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11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11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11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11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11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11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11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11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11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11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11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11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11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11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11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11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11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11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11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11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11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11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11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11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11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11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11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11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11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11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11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11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11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11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11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11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11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11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11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11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11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11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11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11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11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11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11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11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11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11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11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11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11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11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11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11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11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11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11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11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11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11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11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11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11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11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11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11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11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11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11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11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11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11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11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11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11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11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11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11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11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11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11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11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11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11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11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11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11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11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11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11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11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11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11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11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11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11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11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11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11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11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11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11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11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11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11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11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11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11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11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11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11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11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11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11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11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11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11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11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11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11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11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11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11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11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11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11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11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11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11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11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11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11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11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11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11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11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11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11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11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11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11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11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11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11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11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11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11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11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11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11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11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11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11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11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11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11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11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11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11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11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11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11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11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11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11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11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11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11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11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11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11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11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11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11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11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11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11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11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11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11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11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11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11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11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11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11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11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11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11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11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11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11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11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11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11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11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11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11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11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11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11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11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11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11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11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11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11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11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11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11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11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11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11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11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11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11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11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11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11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11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11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11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11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11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11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11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11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11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11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11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11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11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11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11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11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11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11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11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11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11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11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11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11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11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11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11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11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11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11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11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11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11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11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11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11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11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11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11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11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11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11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11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11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11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11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11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11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11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11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11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11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11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11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11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11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11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11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11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11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11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11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11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11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11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11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11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11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11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11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11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11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11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11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11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11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11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11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11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11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11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11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11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11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11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11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11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11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11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11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11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11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11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11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11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11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11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11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11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11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11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11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11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11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11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11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11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11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11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11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11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11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11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11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11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11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11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11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11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11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11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11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11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11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11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11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11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11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11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11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11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11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11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11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11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11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11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11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11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11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11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11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11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11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11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11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11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11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11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11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11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11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11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11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11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11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11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11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11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11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11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11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11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11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11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11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11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11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11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11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11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11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11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11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11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11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11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11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11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11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11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11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11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11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11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11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11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11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11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11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11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11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11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11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11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11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11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11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11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11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11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11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11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11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11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11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11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11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11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11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11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11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11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11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11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11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11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11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11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11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11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11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11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11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11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11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11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11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11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11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11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11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11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11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11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11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11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11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11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11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11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11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11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11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11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11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11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11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11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11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11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11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11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11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11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11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11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11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11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11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Y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6" customWidth="1" min="21" max="21"/>
    <col width="10" customWidth="1" min="22" max="22"/>
    <col width="10" customWidth="1" min="23" max="23"/>
    <col width="10" customWidth="1" min="24" max="24"/>
    <col width="14" customWidth="1" min="25" max="25"/>
  </cols>
  <sheetData>
    <row r="1" ht="28" customHeight="1">
      <c r="A1" s="14" t="inlineStr">
        <is>
          <t>Project ID</t>
        </is>
      </c>
      <c r="B1" s="14" t="inlineStr">
        <is>
          <t>Client (as filed)</t>
        </is>
      </c>
      <c r="C1" s="14" t="inlineStr">
        <is>
          <t>Primary client</t>
        </is>
      </c>
      <c r="D1" s="14" t="inlineStr">
        <is>
          <t>End client / target</t>
        </is>
      </c>
      <c r="E1" s="14" t="inlineStr">
        <is>
          <t>Referral?</t>
        </is>
      </c>
      <c r="F1" s="14" t="inlineStr">
        <is>
          <t>Lifecycle</t>
        </is>
      </c>
      <c r="G1" s="14" t="inlineStr">
        <is>
          <t>Phase</t>
        </is>
      </c>
      <c r="H1" s="14" t="inlineStr">
        <is>
          <t>Probability</t>
        </is>
      </c>
      <c r="I1" s="14" t="inlineStr">
        <is>
          <t>Expected start</t>
        </is>
      </c>
      <c r="J1" s="14" t="inlineStr">
        <is>
          <t>Expected end</t>
        </is>
      </c>
      <c r="K1" s="14" t="inlineStr">
        <is>
          <t>Transaction type</t>
        </is>
      </c>
      <c r="L1" s="14" t="inlineStr">
        <is>
          <t>Entity classification</t>
        </is>
      </c>
      <c r="M1" s="14" t="inlineStr">
        <is>
          <t>Scope</t>
        </is>
      </c>
      <c r="N1" s="14" t="inlineStr">
        <is>
          <t>Industry</t>
        </is>
      </c>
      <c r="O1" s="14" t="inlineStr">
        <is>
          <t>Complexity flags</t>
        </is>
      </c>
      <c r="P1" s="14" t="inlineStr">
        <is>
          <t>Timeline</t>
        </is>
      </c>
      <c r="Q1" s="14" t="inlineStr">
        <is>
          <t># staffed</t>
        </is>
      </c>
      <c r="R1" s="14" t="inlineStr">
        <is>
          <t>Planned hrs/wk</t>
        </is>
      </c>
      <c r="S1" s="14" t="inlineStr">
        <is>
          <t>Source status (Jul 9)</t>
        </is>
      </c>
      <c r="T1" s="14" t="inlineStr">
        <is>
          <t>Notes</t>
        </is>
      </c>
      <c r="U1" s="14" t="inlineStr">
        <is>
          <t>Effort archetype</t>
        </is>
      </c>
      <c r="V1" s="14" t="inlineStr">
        <is>
          <t>Front x (calc)</t>
        </is>
      </c>
      <c r="W1" s="14" t="inlineStr">
        <is>
          <t>Tail x (calc)</t>
        </is>
      </c>
      <c r="X1" s="14" t="inlineStr">
        <is>
          <t>Front frac (calc)</t>
        </is>
      </c>
      <c r="Y1" s="14" t="inlineStr">
        <is>
          <t>Phase split date (calc)</t>
        </is>
      </c>
    </row>
    <row r="2">
      <c r="A2" s="15" t="inlineStr">
        <is>
          <t>EXAMPLE_0</t>
        </is>
      </c>
      <c r="B2" s="16" t="inlineStr">
        <is>
          <t>Example Client LLC : Example Target</t>
        </is>
      </c>
      <c r="C2" s="15" t="inlineStr">
        <is>
          <t>Example Client LLC</t>
        </is>
      </c>
      <c r="D2" s="15" t="inlineStr">
        <is>
          <t>Example Target</t>
        </is>
      </c>
      <c r="E2" s="15" t="inlineStr">
        <is>
          <t>No</t>
        </is>
      </c>
      <c r="F2" s="15" t="inlineStr">
        <is>
          <t>Active</t>
        </is>
      </c>
      <c r="G2" s="15" t="inlineStr">
        <is>
          <t>Diligence</t>
        </is>
      </c>
      <c r="H2" s="17" t="n">
        <v>1</v>
      </c>
      <c r="I2" s="18" t="n">
        <v>46223</v>
      </c>
      <c r="J2" s="18" t="n">
        <v>46325</v>
      </c>
      <c r="K2" s="15" t="inlineStr">
        <is>
          <t>Stock</t>
        </is>
      </c>
      <c r="L2" s="15" t="inlineStr">
        <is>
          <t>Corp</t>
        </is>
      </c>
      <c r="M2" s="15" t="inlineStr">
        <is>
          <t>TDD + Structuring</t>
        </is>
      </c>
      <c r="N2" s="15" t="inlineStr">
        <is>
          <t>Renewables</t>
        </is>
      </c>
      <c r="O2" s="15" t="inlineStr">
        <is>
          <t>Cross-border</t>
        </is>
      </c>
      <c r="P2" s="15" t="inlineStr">
        <is>
          <t>Standard</t>
        </is>
      </c>
      <c r="Q2" s="19">
        <f>IF($A2="","",COUNTIFS(Assignments!$C$2:$C$769,$A2,Assignments!$G$2:$G$769,"Active"))</f>
        <v/>
      </c>
      <c r="R2" s="20">
        <f>IF($A2="","",SUMIFS(Assignments!$I$2:$I$769,Assignments!$C$2:$C$769,$A2,Assignments!$G$2:$G$769,"Active"))</f>
        <v/>
      </c>
      <c r="S2" s="16" t="inlineStr">
        <is>
          <t>(example)</t>
        </is>
      </c>
      <c r="T2" s="21" t="inlineStr">
        <is>
          <t>EXAMPLE row - shows the expected formats; delete any time. Nobody is staffed on it.</t>
        </is>
      </c>
      <c r="U2" s="15" t="inlineStr">
        <is>
          <t>Buy-side TDD + Structuring</t>
        </is>
      </c>
      <c r="V2" s="22">
        <f>IF($U2="","",IFERROR(INDEX(Templates!$K$3:$K$10,MATCH($U2,Templates!$A$3:$A$10,0)),""))</f>
        <v/>
      </c>
      <c r="W2" s="22">
        <f>IF($U2="","",IFERROR(INDEX(Templates!$L$3:$L$10,MATCH($U2,Templates!$A$3:$A$10,0)),""))</f>
        <v/>
      </c>
      <c r="X2" s="23">
        <f>IF($U2="","",IFERROR(INDEX(Templates!$J$3:$J$10,MATCH($U2,Templates!$A$3:$A$10,0)),""))</f>
        <v/>
      </c>
      <c r="Y2" s="24">
        <f>IF(OR($U2="",$I2="",$J2="",$X2=""),"",$I2+$X2*($J2-$I2))</f>
        <v/>
      </c>
    </row>
    <row r="3">
      <c r="A3" s="15" t="inlineStr">
        <is>
          <t>2026 Structuring_1</t>
        </is>
      </c>
      <c r="B3" s="16" t="inlineStr">
        <is>
          <t>Torch Clean Energy</t>
        </is>
      </c>
      <c r="C3" s="15" t="inlineStr">
        <is>
          <t>Torch Clean Energy</t>
        </is>
      </c>
      <c r="D3" s="15" t="inlineStr"/>
      <c r="E3" s="15" t="inlineStr">
        <is>
          <t>No</t>
        </is>
      </c>
      <c r="F3" s="15" t="inlineStr">
        <is>
          <t>Active</t>
        </is>
      </c>
      <c r="G3" s="25" t="n"/>
      <c r="H3" s="17" t="n">
        <v>1</v>
      </c>
      <c r="I3" s="26" t="n"/>
      <c r="J3" s="26" t="n"/>
      <c r="K3" s="25" t="n"/>
      <c r="L3" s="25" t="n"/>
      <c r="M3" s="25" t="n"/>
      <c r="N3" s="25" t="n"/>
      <c r="O3" s="25" t="n"/>
      <c r="P3" s="25" t="n"/>
      <c r="Q3" s="19">
        <f>IF($A3="","",COUNTIFS(Assignments!$C$2:$C$769,$A3,Assignments!$G$2:$G$769,"Active"))</f>
        <v/>
      </c>
      <c r="R3" s="20">
        <f>IF($A3="","",SUMIFS(Assignments!$I$2:$I$769,Assignments!$C$2:$C$769,$A3,Assignments!$G$2:$G$769,"Active"))</f>
        <v/>
      </c>
      <c r="S3" s="16" t="inlineStr">
        <is>
          <t>WIP</t>
        </is>
      </c>
      <c r="T3" s="27" t="n"/>
      <c r="U3" s="25" t="n"/>
      <c r="V3" s="22">
        <f>IF($U3="","",IFERROR(INDEX(Templates!$K$3:$K$10,MATCH($U3,Templates!$A$3:$A$10,0)),""))</f>
        <v/>
      </c>
      <c r="W3" s="22">
        <f>IF($U3="","",IFERROR(INDEX(Templates!$L$3:$L$10,MATCH($U3,Templates!$A$3:$A$10,0)),""))</f>
        <v/>
      </c>
      <c r="X3" s="23">
        <f>IF($U3="","",IFERROR(INDEX(Templates!$J$3:$J$10,MATCH($U3,Templates!$A$3:$A$10,0)),""))</f>
        <v/>
      </c>
      <c r="Y3" s="24">
        <f>IF(OR($U3="",$I3="",$J3="",$X3=""),"",$I3+$X3*($J3-$I3))</f>
        <v/>
      </c>
    </row>
    <row r="4">
      <c r="A4" s="15" t="inlineStr">
        <is>
          <t>360_2</t>
        </is>
      </c>
      <c r="B4" s="16" t="inlineStr">
        <is>
          <t>360 Behavioral Health</t>
        </is>
      </c>
      <c r="C4" s="15" t="inlineStr">
        <is>
          <t>360 Behavioral Health</t>
        </is>
      </c>
      <c r="D4" s="15" t="inlineStr"/>
      <c r="E4" s="15" t="inlineStr">
        <is>
          <t>No</t>
        </is>
      </c>
      <c r="F4" s="15" t="inlineStr">
        <is>
          <t>Active</t>
        </is>
      </c>
      <c r="G4" s="25" t="n"/>
      <c r="H4" s="17" t="n">
        <v>1</v>
      </c>
      <c r="I4" s="26" t="n"/>
      <c r="J4" s="26" t="n"/>
      <c r="K4" s="25" t="n"/>
      <c r="L4" s="25" t="n"/>
      <c r="M4" s="25" t="n"/>
      <c r="N4" s="25" t="n"/>
      <c r="O4" s="25" t="n"/>
      <c r="P4" s="25" t="n"/>
      <c r="Q4" s="19">
        <f>IF($A4="","",COUNTIFS(Assignments!$C$2:$C$769,$A4,Assignments!$G$2:$G$769,"Active"))</f>
        <v/>
      </c>
      <c r="R4" s="20">
        <f>IF($A4="","",SUMIFS(Assignments!$I$2:$I$769,Assignments!$C$2:$C$769,$A4,Assignments!$G$2:$G$769,"Active"))</f>
        <v/>
      </c>
      <c r="S4" s="16" t="inlineStr">
        <is>
          <t>WIP</t>
        </is>
      </c>
      <c r="T4" s="27" t="n"/>
      <c r="U4" s="25" t="n"/>
      <c r="V4" s="22">
        <f>IF($U4="","",IFERROR(INDEX(Templates!$K$3:$K$10,MATCH($U4,Templates!$A$3:$A$10,0)),""))</f>
        <v/>
      </c>
      <c r="W4" s="22">
        <f>IF($U4="","",IFERROR(INDEX(Templates!$L$3:$L$10,MATCH($U4,Templates!$A$3:$A$10,0)),""))</f>
        <v/>
      </c>
      <c r="X4" s="23">
        <f>IF($U4="","",IFERROR(INDEX(Templates!$J$3:$J$10,MATCH($U4,Templates!$A$3:$A$10,0)),""))</f>
        <v/>
      </c>
      <c r="Y4" s="24">
        <f>IF(OR($U4="",$I4="",$J4="",$X4=""),"",$I4+$X4*($J4-$I4))</f>
        <v/>
      </c>
    </row>
    <row r="5">
      <c r="A5" s="15" t="inlineStr">
        <is>
          <t>5C Ocean_1</t>
        </is>
      </c>
      <c r="B5" s="16" t="inlineStr">
        <is>
          <t>5C AI Group Inc.</t>
        </is>
      </c>
      <c r="C5" s="15" t="inlineStr">
        <is>
          <t>5C AI Group Inc.</t>
        </is>
      </c>
      <c r="D5" s="15" t="inlineStr"/>
      <c r="E5" s="15" t="inlineStr">
        <is>
          <t>No</t>
        </is>
      </c>
      <c r="F5" s="15" t="inlineStr">
        <is>
          <t>Active</t>
        </is>
      </c>
      <c r="G5" s="25" t="n"/>
      <c r="H5" s="17" t="n">
        <v>1</v>
      </c>
      <c r="I5" s="26" t="n"/>
      <c r="J5" s="26" t="n"/>
      <c r="K5" s="25" t="n"/>
      <c r="L5" s="25" t="n"/>
      <c r="M5" s="25" t="n"/>
      <c r="N5" s="25" t="n"/>
      <c r="O5" s="25" t="n"/>
      <c r="P5" s="25" t="n"/>
      <c r="Q5" s="19">
        <f>IF($A5="","",COUNTIFS(Assignments!$C$2:$C$769,$A5,Assignments!$G$2:$G$769,"Active"))</f>
        <v/>
      </c>
      <c r="R5" s="20">
        <f>IF($A5="","",SUMIFS(Assignments!$I$2:$I$769,Assignments!$C$2:$C$769,$A5,Assignments!$G$2:$G$769,"Active"))</f>
        <v/>
      </c>
      <c r="S5" s="16" t="inlineStr">
        <is>
          <t>WIP</t>
        </is>
      </c>
      <c r="T5" s="27" t="n"/>
      <c r="U5" s="25" t="n"/>
      <c r="V5" s="22">
        <f>IF($U5="","",IFERROR(INDEX(Templates!$K$3:$K$10,MATCH($U5,Templates!$A$3:$A$10,0)),""))</f>
        <v/>
      </c>
      <c r="W5" s="22">
        <f>IF($U5="","",IFERROR(INDEX(Templates!$L$3:$L$10,MATCH($U5,Templates!$A$3:$A$10,0)),""))</f>
        <v/>
      </c>
      <c r="X5" s="23">
        <f>IF($U5="","",IFERROR(INDEX(Templates!$J$3:$J$10,MATCH($U5,Templates!$A$3:$A$10,0)),""))</f>
        <v/>
      </c>
      <c r="Y5" s="24">
        <f>IF(OR($U5="",$I5="",$J5="",$X5=""),"",$I5+$X5*($J5-$I5))</f>
        <v/>
      </c>
    </row>
    <row r="6">
      <c r="A6" s="15" t="inlineStr">
        <is>
          <t>80/20 Assistance_1</t>
        </is>
      </c>
      <c r="B6" s="16" t="inlineStr">
        <is>
          <t>CVC Capital Partners : DIF Capital Partners</t>
        </is>
      </c>
      <c r="C6" s="15" t="inlineStr">
        <is>
          <t>CVC Capital Partners</t>
        </is>
      </c>
      <c r="D6" s="15" t="inlineStr">
        <is>
          <t>DIF Capital Partners</t>
        </is>
      </c>
      <c r="E6" s="15" t="inlineStr">
        <is>
          <t>No</t>
        </is>
      </c>
      <c r="F6" s="15" t="inlineStr">
        <is>
          <t>Active</t>
        </is>
      </c>
      <c r="G6" s="25" t="n"/>
      <c r="H6" s="17" t="n">
        <v>1</v>
      </c>
      <c r="I6" s="26" t="n"/>
      <c r="J6" s="26" t="n"/>
      <c r="K6" s="25" t="n"/>
      <c r="L6" s="25" t="n"/>
      <c r="M6" s="25" t="n"/>
      <c r="N6" s="25" t="n"/>
      <c r="O6" s="25" t="n"/>
      <c r="P6" s="25" t="n"/>
      <c r="Q6" s="19">
        <f>IF($A6="","",COUNTIFS(Assignments!$C$2:$C$769,$A6,Assignments!$G$2:$G$769,"Active"))</f>
        <v/>
      </c>
      <c r="R6" s="20">
        <f>IF($A6="","",SUMIFS(Assignments!$I$2:$I$769,Assignments!$C$2:$C$769,$A6,Assignments!$G$2:$G$769,"Active"))</f>
        <v/>
      </c>
      <c r="S6" s="16" t="inlineStr">
        <is>
          <t>WIP</t>
        </is>
      </c>
      <c r="T6" s="27" t="n"/>
      <c r="U6" s="25" t="n"/>
      <c r="V6" s="22">
        <f>IF($U6="","",IFERROR(INDEX(Templates!$K$3:$K$10,MATCH($U6,Templates!$A$3:$A$10,0)),""))</f>
        <v/>
      </c>
      <c r="W6" s="22">
        <f>IF($U6="","",IFERROR(INDEX(Templates!$L$3:$L$10,MATCH($U6,Templates!$A$3:$A$10,0)),""))</f>
        <v/>
      </c>
      <c r="X6" s="23">
        <f>IF($U6="","",IFERROR(INDEX(Templates!$J$3:$J$10,MATCH($U6,Templates!$A$3:$A$10,0)),""))</f>
        <v/>
      </c>
      <c r="Y6" s="24">
        <f>IF(OR($U6="",$I6="",$J6="",$X6=""),"",$I6+$X6*($J6-$I6))</f>
        <v/>
      </c>
    </row>
    <row r="7">
      <c r="A7" s="15" t="inlineStr">
        <is>
          <t>Adanac_1</t>
        </is>
      </c>
      <c r="B7" s="16" t="inlineStr">
        <is>
          <t>Walk-On Capital</t>
        </is>
      </c>
      <c r="C7" s="15" t="inlineStr">
        <is>
          <t>Walk-On Capital</t>
        </is>
      </c>
      <c r="D7" s="15" t="inlineStr"/>
      <c r="E7" s="15" t="inlineStr">
        <is>
          <t>No</t>
        </is>
      </c>
      <c r="F7" s="15" t="inlineStr">
        <is>
          <t>Active</t>
        </is>
      </c>
      <c r="G7" s="25" t="n"/>
      <c r="H7" s="17" t="n">
        <v>1</v>
      </c>
      <c r="I7" s="26" t="n"/>
      <c r="J7" s="26" t="n"/>
      <c r="K7" s="25" t="n"/>
      <c r="L7" s="25" t="n"/>
      <c r="M7" s="25" t="n"/>
      <c r="N7" s="25" t="n"/>
      <c r="O7" s="25" t="n"/>
      <c r="P7" s="25" t="n"/>
      <c r="Q7" s="19">
        <f>IF($A7="","",COUNTIFS(Assignments!$C$2:$C$769,$A7,Assignments!$G$2:$G$769,"Active"))</f>
        <v/>
      </c>
      <c r="R7" s="20">
        <f>IF($A7="","",SUMIFS(Assignments!$I$2:$I$769,Assignments!$C$2:$C$769,$A7,Assignments!$G$2:$G$769,"Active"))</f>
        <v/>
      </c>
      <c r="S7" s="16" t="inlineStr">
        <is>
          <t>WIP</t>
        </is>
      </c>
      <c r="T7" s="27" t="n"/>
      <c r="U7" s="25" t="n"/>
      <c r="V7" s="22">
        <f>IF($U7="","",IFERROR(INDEX(Templates!$K$3:$K$10,MATCH($U7,Templates!$A$3:$A$10,0)),""))</f>
        <v/>
      </c>
      <c r="W7" s="22">
        <f>IF($U7="","",IFERROR(INDEX(Templates!$L$3:$L$10,MATCH($U7,Templates!$A$3:$A$10,0)),""))</f>
        <v/>
      </c>
      <c r="X7" s="23">
        <f>IF($U7="","",IFERROR(INDEX(Templates!$J$3:$J$10,MATCH($U7,Templates!$A$3:$A$10,0)),""))</f>
        <v/>
      </c>
      <c r="Y7" s="24">
        <f>IF(OR($U7="",$I7="",$J7="",$X7=""),"",$I7+$X7*($J7-$I7))</f>
        <v/>
      </c>
    </row>
    <row r="8">
      <c r="A8" s="15" t="inlineStr">
        <is>
          <t>Advantage_1</t>
        </is>
      </c>
      <c r="B8" s="16" t="inlineStr">
        <is>
          <t>Q-Energy Private Equity</t>
        </is>
      </c>
      <c r="C8" s="15" t="inlineStr">
        <is>
          <t>Q-Energy Private Equity</t>
        </is>
      </c>
      <c r="D8" s="15" t="inlineStr"/>
      <c r="E8" s="15" t="inlineStr">
        <is>
          <t>No</t>
        </is>
      </c>
      <c r="F8" s="15" t="inlineStr">
        <is>
          <t>Active</t>
        </is>
      </c>
      <c r="G8" s="25" t="n"/>
      <c r="H8" s="17" t="n">
        <v>1</v>
      </c>
      <c r="I8" s="26" t="n"/>
      <c r="J8" s="26" t="n"/>
      <c r="K8" s="25" t="n"/>
      <c r="L8" s="25" t="n"/>
      <c r="M8" s="25" t="n"/>
      <c r="N8" s="25" t="n"/>
      <c r="O8" s="25" t="n"/>
      <c r="P8" s="25" t="n"/>
      <c r="Q8" s="19">
        <f>IF($A8="","",COUNTIFS(Assignments!$C$2:$C$769,$A8,Assignments!$G$2:$G$769,"Active"))</f>
        <v/>
      </c>
      <c r="R8" s="20">
        <f>IF($A8="","",SUMIFS(Assignments!$I$2:$I$769,Assignments!$C$2:$C$769,$A8,Assignments!$G$2:$G$769,"Active"))</f>
        <v/>
      </c>
      <c r="S8" s="16" t="inlineStr">
        <is>
          <t>WIP</t>
        </is>
      </c>
      <c r="T8" s="27" t="n"/>
      <c r="U8" s="25" t="n"/>
      <c r="V8" s="22">
        <f>IF($U8="","",IFERROR(INDEX(Templates!$K$3:$K$10,MATCH($U8,Templates!$A$3:$A$10,0)),""))</f>
        <v/>
      </c>
      <c r="W8" s="22">
        <f>IF($U8="","",IFERROR(INDEX(Templates!$L$3:$L$10,MATCH($U8,Templates!$A$3:$A$10,0)),""))</f>
        <v/>
      </c>
      <c r="X8" s="23">
        <f>IF($U8="","",IFERROR(INDEX(Templates!$J$3:$J$10,MATCH($U8,Templates!$A$3:$A$10,0)),""))</f>
        <v/>
      </c>
      <c r="Y8" s="24">
        <f>IF(OR($U8="",$I8="",$J8="",$X8=""),"",$I8+$X8*($J8-$I8))</f>
        <v/>
      </c>
    </row>
    <row r="9">
      <c r="A9" s="15" t="inlineStr">
        <is>
          <t>AIM_5</t>
        </is>
      </c>
      <c r="B9" s="16" t="inlineStr">
        <is>
          <t>Eight Advisory</t>
        </is>
      </c>
      <c r="C9" s="15" t="inlineStr">
        <is>
          <t>Eight Advisory</t>
        </is>
      </c>
      <c r="D9" s="15" t="inlineStr"/>
      <c r="E9" s="15" t="inlineStr">
        <is>
          <t>No</t>
        </is>
      </c>
      <c r="F9" s="15" t="inlineStr">
        <is>
          <t>Active</t>
        </is>
      </c>
      <c r="G9" s="25" t="n"/>
      <c r="H9" s="17" t="n">
        <v>1</v>
      </c>
      <c r="I9" s="26" t="n"/>
      <c r="J9" s="26" t="n"/>
      <c r="K9" s="25" t="n"/>
      <c r="L9" s="25" t="n"/>
      <c r="M9" s="25" t="n"/>
      <c r="N9" s="25" t="n"/>
      <c r="O9" s="25" t="n"/>
      <c r="P9" s="25" t="n"/>
      <c r="Q9" s="19">
        <f>IF($A9="","",COUNTIFS(Assignments!$C$2:$C$769,$A9,Assignments!$G$2:$G$769,"Active"))</f>
        <v/>
      </c>
      <c r="R9" s="20">
        <f>IF($A9="","",SUMIFS(Assignments!$I$2:$I$769,Assignments!$C$2:$C$769,$A9,Assignments!$G$2:$G$769,"Active"))</f>
        <v/>
      </c>
      <c r="S9" s="16" t="inlineStr">
        <is>
          <t>WIP</t>
        </is>
      </c>
      <c r="T9" s="27" t="n"/>
      <c r="U9" s="25" t="n"/>
      <c r="V9" s="22">
        <f>IF($U9="","",IFERROR(INDEX(Templates!$K$3:$K$10,MATCH($U9,Templates!$A$3:$A$10,0)),""))</f>
        <v/>
      </c>
      <c r="W9" s="22">
        <f>IF($U9="","",IFERROR(INDEX(Templates!$L$3:$L$10,MATCH($U9,Templates!$A$3:$A$10,0)),""))</f>
        <v/>
      </c>
      <c r="X9" s="23">
        <f>IF($U9="","",IFERROR(INDEX(Templates!$J$3:$J$10,MATCH($U9,Templates!$A$3:$A$10,0)),""))</f>
        <v/>
      </c>
      <c r="Y9" s="24">
        <f>IF(OR($U9="",$I9="",$J9="",$X9=""),"",$I9+$X9*($J9-$I9))</f>
        <v/>
      </c>
    </row>
    <row r="10">
      <c r="A10" s="15" t="inlineStr">
        <is>
          <t>Atlas_4</t>
        </is>
      </c>
      <c r="B10" s="16" t="inlineStr">
        <is>
          <t>Strattam Capital Management LLC</t>
        </is>
      </c>
      <c r="C10" s="15" t="inlineStr">
        <is>
          <t>Strattam Capital Management LLC</t>
        </is>
      </c>
      <c r="D10" s="15" t="inlineStr"/>
      <c r="E10" s="15" t="inlineStr">
        <is>
          <t>No</t>
        </is>
      </c>
      <c r="F10" s="15" t="inlineStr">
        <is>
          <t>Active</t>
        </is>
      </c>
      <c r="G10" s="25" t="n"/>
      <c r="H10" s="17" t="n">
        <v>1</v>
      </c>
      <c r="I10" s="26" t="n"/>
      <c r="J10" s="26" t="n"/>
      <c r="K10" s="25" t="n"/>
      <c r="L10" s="25" t="n"/>
      <c r="M10" s="25" t="n"/>
      <c r="N10" s="25" t="n"/>
      <c r="O10" s="25" t="n"/>
      <c r="P10" s="25" t="n"/>
      <c r="Q10" s="19">
        <f>IF($A10="","",COUNTIFS(Assignments!$C$2:$C$769,$A10,Assignments!$G$2:$G$769,"Active"))</f>
        <v/>
      </c>
      <c r="R10" s="20">
        <f>IF($A10="","",SUMIFS(Assignments!$I$2:$I$769,Assignments!$C$2:$C$769,$A10,Assignments!$G$2:$G$769,"Active"))</f>
        <v/>
      </c>
      <c r="S10" s="16" t="inlineStr">
        <is>
          <t>WIP</t>
        </is>
      </c>
      <c r="T10" s="27" t="n"/>
      <c r="U10" s="25" t="n"/>
      <c r="V10" s="22">
        <f>IF($U10="","",IFERROR(INDEX(Templates!$K$3:$K$10,MATCH($U10,Templates!$A$3:$A$10,0)),""))</f>
        <v/>
      </c>
      <c r="W10" s="22">
        <f>IF($U10="","",IFERROR(INDEX(Templates!$L$3:$L$10,MATCH($U10,Templates!$A$3:$A$10,0)),""))</f>
        <v/>
      </c>
      <c r="X10" s="23">
        <f>IF($U10="","",IFERROR(INDEX(Templates!$J$3:$J$10,MATCH($U10,Templates!$A$3:$A$10,0)),""))</f>
        <v/>
      </c>
      <c r="Y10" s="24">
        <f>IF(OR($U10="",$I10="",$J10="",$X10=""),"",$I10+$X10*($J10-$I10))</f>
        <v/>
      </c>
    </row>
    <row r="11">
      <c r="A11" s="15" t="inlineStr">
        <is>
          <t>Aypa_3</t>
        </is>
      </c>
      <c r="B11" s="16" t="inlineStr">
        <is>
          <t>The Blackstone Group : Aypa Power</t>
        </is>
      </c>
      <c r="C11" s="15" t="inlineStr">
        <is>
          <t>The Blackstone Group</t>
        </is>
      </c>
      <c r="D11" s="15" t="inlineStr">
        <is>
          <t>Aypa Power</t>
        </is>
      </c>
      <c r="E11" s="15" t="inlineStr">
        <is>
          <t>No</t>
        </is>
      </c>
      <c r="F11" s="15" t="inlineStr">
        <is>
          <t>Active</t>
        </is>
      </c>
      <c r="G11" s="25" t="n"/>
      <c r="H11" s="17" t="n">
        <v>1</v>
      </c>
      <c r="I11" s="26" t="n"/>
      <c r="J11" s="26" t="n"/>
      <c r="K11" s="25" t="n"/>
      <c r="L11" s="25" t="n"/>
      <c r="M11" s="25" t="n"/>
      <c r="N11" s="25" t="n"/>
      <c r="O11" s="25" t="n"/>
      <c r="P11" s="25" t="n"/>
      <c r="Q11" s="19">
        <f>IF($A11="","",COUNTIFS(Assignments!$C$2:$C$769,$A11,Assignments!$G$2:$G$769,"Active"))</f>
        <v/>
      </c>
      <c r="R11" s="20">
        <f>IF($A11="","",SUMIFS(Assignments!$I$2:$I$769,Assignments!$C$2:$C$769,$A11,Assignments!$G$2:$G$769,"Active"))</f>
        <v/>
      </c>
      <c r="S11" s="16" t="inlineStr">
        <is>
          <t>WIP</t>
        </is>
      </c>
      <c r="T11" s="27" t="n"/>
      <c r="U11" s="25" t="n"/>
      <c r="V11" s="22">
        <f>IF($U11="","",IFERROR(INDEX(Templates!$K$3:$K$10,MATCH($U11,Templates!$A$3:$A$10,0)),""))</f>
        <v/>
      </c>
      <c r="W11" s="22">
        <f>IF($U11="","",IFERROR(INDEX(Templates!$L$3:$L$10,MATCH($U11,Templates!$A$3:$A$10,0)),""))</f>
        <v/>
      </c>
      <c r="X11" s="23">
        <f>IF($U11="","",IFERROR(INDEX(Templates!$J$3:$J$10,MATCH($U11,Templates!$A$3:$A$10,0)),""))</f>
        <v/>
      </c>
      <c r="Y11" s="24">
        <f>IF(OR($U11="",$I11="",$J11="",$X11=""),"",$I11+$X11*($J11-$I11))</f>
        <v/>
      </c>
    </row>
    <row r="12">
      <c r="A12" s="15" t="inlineStr">
        <is>
          <t>B2V_1</t>
        </is>
      </c>
      <c r="B12" s="16" t="inlineStr">
        <is>
          <t>Ares Management Corporation : AwayDay</t>
        </is>
      </c>
      <c r="C12" s="15" t="inlineStr">
        <is>
          <t>Ares Management Corporation</t>
        </is>
      </c>
      <c r="D12" s="15" t="inlineStr">
        <is>
          <t>AwayDay</t>
        </is>
      </c>
      <c r="E12" s="15" t="inlineStr">
        <is>
          <t>No</t>
        </is>
      </c>
      <c r="F12" s="15" t="inlineStr">
        <is>
          <t>Active</t>
        </is>
      </c>
      <c r="G12" s="25" t="n"/>
      <c r="H12" s="17" t="n">
        <v>1</v>
      </c>
      <c r="I12" s="26" t="n"/>
      <c r="J12" s="26" t="n"/>
      <c r="K12" s="25" t="n"/>
      <c r="L12" s="25" t="n"/>
      <c r="M12" s="25" t="n"/>
      <c r="N12" s="25" t="n"/>
      <c r="O12" s="25" t="n"/>
      <c r="P12" s="25" t="n"/>
      <c r="Q12" s="19">
        <f>IF($A12="","",COUNTIFS(Assignments!$C$2:$C$769,$A12,Assignments!$G$2:$G$769,"Active"))</f>
        <v/>
      </c>
      <c r="R12" s="20">
        <f>IF($A12="","",SUMIFS(Assignments!$I$2:$I$769,Assignments!$C$2:$C$769,$A12,Assignments!$G$2:$G$769,"Active"))</f>
        <v/>
      </c>
      <c r="S12" s="16" t="inlineStr">
        <is>
          <t>WIP</t>
        </is>
      </c>
      <c r="T12" s="27" t="n"/>
      <c r="U12" s="25" t="n"/>
      <c r="V12" s="22">
        <f>IF($U12="","",IFERROR(INDEX(Templates!$K$3:$K$10,MATCH($U12,Templates!$A$3:$A$10,0)),""))</f>
        <v/>
      </c>
      <c r="W12" s="22">
        <f>IF($U12="","",IFERROR(INDEX(Templates!$L$3:$L$10,MATCH($U12,Templates!$A$3:$A$10,0)),""))</f>
        <v/>
      </c>
      <c r="X12" s="23">
        <f>IF($U12="","",IFERROR(INDEX(Templates!$J$3:$J$10,MATCH($U12,Templates!$A$3:$A$10,0)),""))</f>
        <v/>
      </c>
      <c r="Y12" s="24">
        <f>IF(OR($U12="",$I12="",$J12="",$X12=""),"",$I12+$X12*($J12-$I12))</f>
        <v/>
      </c>
    </row>
    <row r="13">
      <c r="A13" s="15" t="inlineStr">
        <is>
          <t>Bay_2</t>
        </is>
      </c>
      <c r="B13" s="16" t="inlineStr">
        <is>
          <t>Manulife : John Hancock</t>
        </is>
      </c>
      <c r="C13" s="15" t="inlineStr">
        <is>
          <t>Manulife</t>
        </is>
      </c>
      <c r="D13" s="15" t="inlineStr">
        <is>
          <t>John Hancock</t>
        </is>
      </c>
      <c r="E13" s="15" t="inlineStr">
        <is>
          <t>No</t>
        </is>
      </c>
      <c r="F13" s="15" t="inlineStr">
        <is>
          <t>Active</t>
        </is>
      </c>
      <c r="G13" s="25" t="n"/>
      <c r="H13" s="17" t="n">
        <v>1</v>
      </c>
      <c r="I13" s="26" t="n"/>
      <c r="J13" s="26" t="n"/>
      <c r="K13" s="25" t="n"/>
      <c r="L13" s="25" t="n"/>
      <c r="M13" s="25" t="n"/>
      <c r="N13" s="25" t="n"/>
      <c r="O13" s="25" t="n"/>
      <c r="P13" s="25" t="n"/>
      <c r="Q13" s="19">
        <f>IF($A13="","",COUNTIFS(Assignments!$C$2:$C$769,$A13,Assignments!$G$2:$G$769,"Active"))</f>
        <v/>
      </c>
      <c r="R13" s="20">
        <f>IF($A13="","",SUMIFS(Assignments!$I$2:$I$769,Assignments!$C$2:$C$769,$A13,Assignments!$G$2:$G$769,"Active"))</f>
        <v/>
      </c>
      <c r="S13" s="16" t="inlineStr">
        <is>
          <t>WIP</t>
        </is>
      </c>
      <c r="T13" s="27" t="n"/>
      <c r="U13" s="25" t="n"/>
      <c r="V13" s="22">
        <f>IF($U13="","",IFERROR(INDEX(Templates!$K$3:$K$10,MATCH($U13,Templates!$A$3:$A$10,0)),""))</f>
        <v/>
      </c>
      <c r="W13" s="22">
        <f>IF($U13="","",IFERROR(INDEX(Templates!$L$3:$L$10,MATCH($U13,Templates!$A$3:$A$10,0)),""))</f>
        <v/>
      </c>
      <c r="X13" s="23">
        <f>IF($U13="","",IFERROR(INDEX(Templates!$J$3:$J$10,MATCH($U13,Templates!$A$3:$A$10,0)),""))</f>
        <v/>
      </c>
      <c r="Y13" s="24">
        <f>IF(OR($U13="",$I13="",$J13="",$X13=""),"",$I13+$X13*($J13-$I13))</f>
        <v/>
      </c>
    </row>
    <row r="14">
      <c r="A14" s="15" t="inlineStr">
        <is>
          <t>Bernhard_3</t>
        </is>
      </c>
      <c r="B14" s="16" t="inlineStr">
        <is>
          <t>DIF Capital Partners</t>
        </is>
      </c>
      <c r="C14" s="15" t="inlineStr">
        <is>
          <t>DIF Capital Partners</t>
        </is>
      </c>
      <c r="D14" s="15" t="inlineStr"/>
      <c r="E14" s="15" t="inlineStr">
        <is>
          <t>No</t>
        </is>
      </c>
      <c r="F14" s="15" t="inlineStr">
        <is>
          <t>Active</t>
        </is>
      </c>
      <c r="G14" s="25" t="n"/>
      <c r="H14" s="17" t="n">
        <v>1</v>
      </c>
      <c r="I14" s="26" t="n"/>
      <c r="J14" s="26" t="n"/>
      <c r="K14" s="25" t="n"/>
      <c r="L14" s="25" t="n"/>
      <c r="M14" s="25" t="n"/>
      <c r="N14" s="25" t="n"/>
      <c r="O14" s="25" t="n"/>
      <c r="P14" s="25" t="n"/>
      <c r="Q14" s="19">
        <f>IF($A14="","",COUNTIFS(Assignments!$C$2:$C$769,$A14,Assignments!$G$2:$G$769,"Active"))</f>
        <v/>
      </c>
      <c r="R14" s="20">
        <f>IF($A14="","",SUMIFS(Assignments!$I$2:$I$769,Assignments!$C$2:$C$769,$A14,Assignments!$G$2:$G$769,"Active"))</f>
        <v/>
      </c>
      <c r="S14" s="16" t="inlineStr">
        <is>
          <t>WIP</t>
        </is>
      </c>
      <c r="T14" s="27" t="n"/>
      <c r="U14" s="25" t="n"/>
      <c r="V14" s="22">
        <f>IF($U14="","",IFERROR(INDEX(Templates!$K$3:$K$10,MATCH($U14,Templates!$A$3:$A$10,0)),""))</f>
        <v/>
      </c>
      <c r="W14" s="22">
        <f>IF($U14="","",IFERROR(INDEX(Templates!$L$3:$L$10,MATCH($U14,Templates!$A$3:$A$10,0)),""))</f>
        <v/>
      </c>
      <c r="X14" s="23">
        <f>IF($U14="","",IFERROR(INDEX(Templates!$J$3:$J$10,MATCH($U14,Templates!$A$3:$A$10,0)),""))</f>
        <v/>
      </c>
      <c r="Y14" s="24">
        <f>IF(OR($U14="",$I14="",$J14="",$X14=""),"",$I14+$X14*($J14-$I14))</f>
        <v/>
      </c>
    </row>
    <row r="15">
      <c r="A15" s="15" t="inlineStr">
        <is>
          <t>Big_4</t>
        </is>
      </c>
      <c r="B15" s="16" t="inlineStr">
        <is>
          <t>Ethos Specialty Insurance Services</t>
        </is>
      </c>
      <c r="C15" s="15" t="inlineStr">
        <is>
          <t>Ethos Specialty Insurance Services</t>
        </is>
      </c>
      <c r="D15" s="15" t="inlineStr"/>
      <c r="E15" s="15" t="inlineStr">
        <is>
          <t>No</t>
        </is>
      </c>
      <c r="F15" s="15" t="inlineStr">
        <is>
          <t>Active</t>
        </is>
      </c>
      <c r="G15" s="25" t="n"/>
      <c r="H15" s="17" t="n">
        <v>1</v>
      </c>
      <c r="I15" s="26" t="n"/>
      <c r="J15" s="26" t="n"/>
      <c r="K15" s="25" t="n"/>
      <c r="L15" s="25" t="n"/>
      <c r="M15" s="25" t="n"/>
      <c r="N15" s="25" t="n"/>
      <c r="O15" s="25" t="n"/>
      <c r="P15" s="25" t="n"/>
      <c r="Q15" s="19">
        <f>IF($A15="","",COUNTIFS(Assignments!$C$2:$C$769,$A15,Assignments!$G$2:$G$769,"Active"))</f>
        <v/>
      </c>
      <c r="R15" s="20">
        <f>IF($A15="","",SUMIFS(Assignments!$I$2:$I$769,Assignments!$C$2:$C$769,$A15,Assignments!$G$2:$G$769,"Active"))</f>
        <v/>
      </c>
      <c r="S15" s="16" t="inlineStr">
        <is>
          <t>WIP</t>
        </is>
      </c>
      <c r="T15" s="27" t="n"/>
      <c r="U15" s="25" t="n"/>
      <c r="V15" s="22">
        <f>IF($U15="","",IFERROR(INDEX(Templates!$K$3:$K$10,MATCH($U15,Templates!$A$3:$A$10,0)),""))</f>
        <v/>
      </c>
      <c r="W15" s="22">
        <f>IF($U15="","",IFERROR(INDEX(Templates!$L$3:$L$10,MATCH($U15,Templates!$A$3:$A$10,0)),""))</f>
        <v/>
      </c>
      <c r="X15" s="23">
        <f>IF($U15="","",IFERROR(INDEX(Templates!$J$3:$J$10,MATCH($U15,Templates!$A$3:$A$10,0)),""))</f>
        <v/>
      </c>
      <c r="Y15" s="24">
        <f>IF(OR($U15="",$I15="",$J15="",$X15=""),"",$I15+$X15*($J15-$I15))</f>
        <v/>
      </c>
    </row>
    <row r="16">
      <c r="A16" s="15" t="inlineStr">
        <is>
          <t>Bishopville_1</t>
        </is>
      </c>
      <c r="B16" s="16" t="inlineStr">
        <is>
          <t>Volante Transaction Services, North America</t>
        </is>
      </c>
      <c r="C16" s="15" t="inlineStr">
        <is>
          <t>Volante Transaction Services, North America</t>
        </is>
      </c>
      <c r="D16" s="15" t="inlineStr"/>
      <c r="E16" s="15" t="inlineStr">
        <is>
          <t>No</t>
        </is>
      </c>
      <c r="F16" s="15" t="inlineStr">
        <is>
          <t>Active</t>
        </is>
      </c>
      <c r="G16" s="25" t="n"/>
      <c r="H16" s="17" t="n">
        <v>1</v>
      </c>
      <c r="I16" s="26" t="n"/>
      <c r="J16" s="26" t="n"/>
      <c r="K16" s="25" t="n"/>
      <c r="L16" s="25" t="n"/>
      <c r="M16" s="25" t="n"/>
      <c r="N16" s="25" t="n"/>
      <c r="O16" s="25" t="n"/>
      <c r="P16" s="25" t="n"/>
      <c r="Q16" s="19">
        <f>IF($A16="","",COUNTIFS(Assignments!$C$2:$C$769,$A16,Assignments!$G$2:$G$769,"Active"))</f>
        <v/>
      </c>
      <c r="R16" s="20">
        <f>IF($A16="","",SUMIFS(Assignments!$I$2:$I$769,Assignments!$C$2:$C$769,$A16,Assignments!$G$2:$G$769,"Active"))</f>
        <v/>
      </c>
      <c r="S16" s="16" t="inlineStr">
        <is>
          <t>WIP</t>
        </is>
      </c>
      <c r="T16" s="27" t="n"/>
      <c r="U16" s="25" t="n"/>
      <c r="V16" s="22">
        <f>IF($U16="","",IFERROR(INDEX(Templates!$K$3:$K$10,MATCH($U16,Templates!$A$3:$A$10,0)),""))</f>
        <v/>
      </c>
      <c r="W16" s="22">
        <f>IF($U16="","",IFERROR(INDEX(Templates!$L$3:$L$10,MATCH($U16,Templates!$A$3:$A$10,0)),""))</f>
        <v/>
      </c>
      <c r="X16" s="23">
        <f>IF($U16="","",IFERROR(INDEX(Templates!$J$3:$J$10,MATCH($U16,Templates!$A$3:$A$10,0)),""))</f>
        <v/>
      </c>
      <c r="Y16" s="24">
        <f>IF(OR($U16="",$I16="",$J16="",$X16=""),"",$I16+$X16*($J16-$I16))</f>
        <v/>
      </c>
    </row>
    <row r="17">
      <c r="A17" s="15" t="inlineStr">
        <is>
          <t>Bledsoe_1</t>
        </is>
      </c>
      <c r="B17" s="16" t="inlineStr">
        <is>
          <t>Manulife : Manulife Infrastructure Fund III AIV Holdings B LP</t>
        </is>
      </c>
      <c r="C17" s="15" t="inlineStr">
        <is>
          <t>Manulife</t>
        </is>
      </c>
      <c r="D17" s="15" t="inlineStr">
        <is>
          <t>Manulife Infrastructure Fund III AIV Holdings B LP</t>
        </is>
      </c>
      <c r="E17" s="15" t="inlineStr">
        <is>
          <t>No</t>
        </is>
      </c>
      <c r="F17" s="15" t="inlineStr">
        <is>
          <t>Active</t>
        </is>
      </c>
      <c r="G17" s="25" t="n"/>
      <c r="H17" s="17" t="n">
        <v>1</v>
      </c>
      <c r="I17" s="26" t="n"/>
      <c r="J17" s="26" t="n"/>
      <c r="K17" s="25" t="n"/>
      <c r="L17" s="25" t="n"/>
      <c r="M17" s="25" t="n"/>
      <c r="N17" s="25" t="n"/>
      <c r="O17" s="25" t="n"/>
      <c r="P17" s="25" t="n"/>
      <c r="Q17" s="19">
        <f>IF($A17="","",COUNTIFS(Assignments!$C$2:$C$769,$A17,Assignments!$G$2:$G$769,"Active"))</f>
        <v/>
      </c>
      <c r="R17" s="20">
        <f>IF($A17="","",SUMIFS(Assignments!$I$2:$I$769,Assignments!$C$2:$C$769,$A17,Assignments!$G$2:$G$769,"Active"))</f>
        <v/>
      </c>
      <c r="S17" s="16" t="inlineStr">
        <is>
          <t>WIP</t>
        </is>
      </c>
      <c r="T17" s="27" t="n"/>
      <c r="U17" s="25" t="n"/>
      <c r="V17" s="22">
        <f>IF($U17="","",IFERROR(INDEX(Templates!$K$3:$K$10,MATCH($U17,Templates!$A$3:$A$10,0)),""))</f>
        <v/>
      </c>
      <c r="W17" s="22">
        <f>IF($U17="","",IFERROR(INDEX(Templates!$L$3:$L$10,MATCH($U17,Templates!$A$3:$A$10,0)),""))</f>
        <v/>
      </c>
      <c r="X17" s="23">
        <f>IF($U17="","",IFERROR(INDEX(Templates!$J$3:$J$10,MATCH($U17,Templates!$A$3:$A$10,0)),""))</f>
        <v/>
      </c>
      <c r="Y17" s="24">
        <f>IF(OR($U17="",$I17="",$J17="",$X17=""),"",$I17+$X17*($J17-$I17))</f>
        <v/>
      </c>
    </row>
    <row r="18">
      <c r="A18" s="15" t="inlineStr">
        <is>
          <t>Blue_6</t>
        </is>
      </c>
      <c r="B18" s="16" t="inlineStr">
        <is>
          <t>Repsol Renewables NA</t>
        </is>
      </c>
      <c r="C18" s="15" t="inlineStr">
        <is>
          <t>Repsol Renewables NA</t>
        </is>
      </c>
      <c r="D18" s="15" t="inlineStr"/>
      <c r="E18" s="15" t="inlineStr">
        <is>
          <t>No</t>
        </is>
      </c>
      <c r="F18" s="15" t="inlineStr">
        <is>
          <t>Active</t>
        </is>
      </c>
      <c r="G18" s="25" t="n"/>
      <c r="H18" s="17" t="n">
        <v>1</v>
      </c>
      <c r="I18" s="26" t="n"/>
      <c r="J18" s="26" t="n"/>
      <c r="K18" s="25" t="n"/>
      <c r="L18" s="25" t="n"/>
      <c r="M18" s="25" t="n"/>
      <c r="N18" s="25" t="n"/>
      <c r="O18" s="25" t="n"/>
      <c r="P18" s="25" t="n"/>
      <c r="Q18" s="19">
        <f>IF($A18="","",COUNTIFS(Assignments!$C$2:$C$769,$A18,Assignments!$G$2:$G$769,"Active"))</f>
        <v/>
      </c>
      <c r="R18" s="20">
        <f>IF($A18="","",SUMIFS(Assignments!$I$2:$I$769,Assignments!$C$2:$C$769,$A18,Assignments!$G$2:$G$769,"Active"))</f>
        <v/>
      </c>
      <c r="S18" s="16" t="inlineStr">
        <is>
          <t>WIP</t>
        </is>
      </c>
      <c r="T18" s="27" t="n"/>
      <c r="U18" s="25" t="n"/>
      <c r="V18" s="22">
        <f>IF($U18="","",IFERROR(INDEX(Templates!$K$3:$K$10,MATCH($U18,Templates!$A$3:$A$10,0)),""))</f>
        <v/>
      </c>
      <c r="W18" s="22">
        <f>IF($U18="","",IFERROR(INDEX(Templates!$L$3:$L$10,MATCH($U18,Templates!$A$3:$A$10,0)),""))</f>
        <v/>
      </c>
      <c r="X18" s="23">
        <f>IF($U18="","",IFERROR(INDEX(Templates!$J$3:$J$10,MATCH($U18,Templates!$A$3:$A$10,0)),""))</f>
        <v/>
      </c>
      <c r="Y18" s="24">
        <f>IF(OR($U18="",$I18="",$J18="",$X18=""),"",$I18+$X18*($J18-$I18))</f>
        <v/>
      </c>
    </row>
    <row r="19">
      <c r="A19" s="15" t="inlineStr">
        <is>
          <t>Blue_8</t>
        </is>
      </c>
      <c r="B19" s="16" t="inlineStr">
        <is>
          <t>Ares Management Corporation</t>
        </is>
      </c>
      <c r="C19" s="15" t="inlineStr">
        <is>
          <t>Ares Management Corporation</t>
        </is>
      </c>
      <c r="D19" s="15" t="inlineStr"/>
      <c r="E19" s="15" t="inlineStr">
        <is>
          <t>No</t>
        </is>
      </c>
      <c r="F19" s="15" t="inlineStr">
        <is>
          <t>Active</t>
        </is>
      </c>
      <c r="G19" s="25" t="n"/>
      <c r="H19" s="17" t="n">
        <v>1</v>
      </c>
      <c r="I19" s="26" t="n"/>
      <c r="J19" s="26" t="n"/>
      <c r="K19" s="25" t="n"/>
      <c r="L19" s="25" t="n"/>
      <c r="M19" s="25" t="n"/>
      <c r="N19" s="25" t="n"/>
      <c r="O19" s="25" t="n"/>
      <c r="P19" s="25" t="n"/>
      <c r="Q19" s="19">
        <f>IF($A19="","",COUNTIFS(Assignments!$C$2:$C$769,$A19,Assignments!$G$2:$G$769,"Active"))</f>
        <v/>
      </c>
      <c r="R19" s="20">
        <f>IF($A19="","",SUMIFS(Assignments!$I$2:$I$769,Assignments!$C$2:$C$769,$A19,Assignments!$G$2:$G$769,"Active"))</f>
        <v/>
      </c>
      <c r="S19" s="16" t="inlineStr">
        <is>
          <t>WIP</t>
        </is>
      </c>
      <c r="T19" s="27" t="n"/>
      <c r="U19" s="25" t="n"/>
      <c r="V19" s="22">
        <f>IF($U19="","",IFERROR(INDEX(Templates!$K$3:$K$10,MATCH($U19,Templates!$A$3:$A$10,0)),""))</f>
        <v/>
      </c>
      <c r="W19" s="22">
        <f>IF($U19="","",IFERROR(INDEX(Templates!$L$3:$L$10,MATCH($U19,Templates!$A$3:$A$10,0)),""))</f>
        <v/>
      </c>
      <c r="X19" s="23">
        <f>IF($U19="","",IFERROR(INDEX(Templates!$J$3:$J$10,MATCH($U19,Templates!$A$3:$A$10,0)),""))</f>
        <v/>
      </c>
      <c r="Y19" s="24">
        <f>IF(OR($U19="",$I19="",$J19="",$X19=""),"",$I19+$X19*($J19-$I19))</f>
        <v/>
      </c>
    </row>
    <row r="20">
      <c r="A20" s="15" t="inlineStr">
        <is>
          <t>Bocce_2</t>
        </is>
      </c>
      <c r="B20" s="16" t="inlineStr">
        <is>
          <t>Certa</t>
        </is>
      </c>
      <c r="C20" s="15" t="inlineStr">
        <is>
          <t>Certa</t>
        </is>
      </c>
      <c r="D20" s="15" t="inlineStr"/>
      <c r="E20" s="15" t="inlineStr">
        <is>
          <t>No</t>
        </is>
      </c>
      <c r="F20" s="15" t="inlineStr">
        <is>
          <t>Active</t>
        </is>
      </c>
      <c r="G20" s="25" t="n"/>
      <c r="H20" s="17" t="n">
        <v>1</v>
      </c>
      <c r="I20" s="26" t="n"/>
      <c r="J20" s="26" t="n"/>
      <c r="K20" s="25" t="n"/>
      <c r="L20" s="25" t="n"/>
      <c r="M20" s="25" t="n"/>
      <c r="N20" s="25" t="n"/>
      <c r="O20" s="25" t="n"/>
      <c r="P20" s="25" t="n"/>
      <c r="Q20" s="19">
        <f>IF($A20="","",COUNTIFS(Assignments!$C$2:$C$769,$A20,Assignments!$G$2:$G$769,"Active"))</f>
        <v/>
      </c>
      <c r="R20" s="20">
        <f>IF($A20="","",SUMIFS(Assignments!$I$2:$I$769,Assignments!$C$2:$C$769,$A20,Assignments!$G$2:$G$769,"Active"))</f>
        <v/>
      </c>
      <c r="S20" s="16" t="inlineStr">
        <is>
          <t>WIP</t>
        </is>
      </c>
      <c r="T20" s="27" t="n"/>
      <c r="U20" s="25" t="n"/>
      <c r="V20" s="22">
        <f>IF($U20="","",IFERROR(INDEX(Templates!$K$3:$K$10,MATCH($U20,Templates!$A$3:$A$10,0)),""))</f>
        <v/>
      </c>
      <c r="W20" s="22">
        <f>IF($U20="","",IFERROR(INDEX(Templates!$L$3:$L$10,MATCH($U20,Templates!$A$3:$A$10,0)),""))</f>
        <v/>
      </c>
      <c r="X20" s="23">
        <f>IF($U20="","",IFERROR(INDEX(Templates!$J$3:$J$10,MATCH($U20,Templates!$A$3:$A$10,0)),""))</f>
        <v/>
      </c>
      <c r="Y20" s="24">
        <f>IF(OR($U20="",$I20="",$J20="",$X20=""),"",$I20+$X20*($J20-$I20))</f>
        <v/>
      </c>
    </row>
    <row r="21">
      <c r="A21" s="15" t="inlineStr">
        <is>
          <t>Bolt_2</t>
        </is>
      </c>
      <c r="B21" s="16" t="inlineStr">
        <is>
          <t>Brookfield</t>
        </is>
      </c>
      <c r="C21" s="15" t="inlineStr">
        <is>
          <t>Brookfield</t>
        </is>
      </c>
      <c r="D21" s="15" t="inlineStr"/>
      <c r="E21" s="15" t="inlineStr">
        <is>
          <t>No</t>
        </is>
      </c>
      <c r="F21" s="15" t="inlineStr">
        <is>
          <t>Active</t>
        </is>
      </c>
      <c r="G21" s="25" t="n"/>
      <c r="H21" s="17" t="n">
        <v>1</v>
      </c>
      <c r="I21" s="26" t="n"/>
      <c r="J21" s="26" t="n"/>
      <c r="K21" s="25" t="n"/>
      <c r="L21" s="25" t="n"/>
      <c r="M21" s="25" t="n"/>
      <c r="N21" s="25" t="n"/>
      <c r="O21" s="25" t="n"/>
      <c r="P21" s="25" t="n"/>
      <c r="Q21" s="19">
        <f>IF($A21="","",COUNTIFS(Assignments!$C$2:$C$769,$A21,Assignments!$G$2:$G$769,"Active"))</f>
        <v/>
      </c>
      <c r="R21" s="20">
        <f>IF($A21="","",SUMIFS(Assignments!$I$2:$I$769,Assignments!$C$2:$C$769,$A21,Assignments!$G$2:$G$769,"Active"))</f>
        <v/>
      </c>
      <c r="S21" s="16" t="inlineStr">
        <is>
          <t>Summary tab only (WIP)</t>
        </is>
      </c>
      <c r="T21" s="27" t="n"/>
      <c r="U21" s="25" t="n"/>
      <c r="V21" s="22">
        <f>IF($U21="","",IFERROR(INDEX(Templates!$K$3:$K$10,MATCH($U21,Templates!$A$3:$A$10,0)),""))</f>
        <v/>
      </c>
      <c r="W21" s="22">
        <f>IF($U21="","",IFERROR(INDEX(Templates!$L$3:$L$10,MATCH($U21,Templates!$A$3:$A$10,0)),""))</f>
        <v/>
      </c>
      <c r="X21" s="23">
        <f>IF($U21="","",IFERROR(INDEX(Templates!$J$3:$J$10,MATCH($U21,Templates!$A$3:$A$10,0)),""))</f>
        <v/>
      </c>
      <c r="Y21" s="24">
        <f>IF(OR($U21="",$I21="",$J21="",$X21=""),"",$I21+$X21*($J21-$I21))</f>
        <v/>
      </c>
    </row>
    <row r="22">
      <c r="A22" s="15" t="inlineStr">
        <is>
          <t>BPF_1</t>
        </is>
      </c>
      <c r="B22" s="16" t="inlineStr">
        <is>
          <t>BPF Acquisition Co Series 11, LLC</t>
        </is>
      </c>
      <c r="C22" s="15" t="inlineStr">
        <is>
          <t>BPF Acquisition Co Series 11, LLC</t>
        </is>
      </c>
      <c r="D22" s="15" t="inlineStr"/>
      <c r="E22" s="15" t="inlineStr">
        <is>
          <t>No</t>
        </is>
      </c>
      <c r="F22" s="15" t="inlineStr">
        <is>
          <t>Active</t>
        </is>
      </c>
      <c r="G22" s="25" t="n"/>
      <c r="H22" s="17" t="n">
        <v>1</v>
      </c>
      <c r="I22" s="26" t="n"/>
      <c r="J22" s="26" t="n"/>
      <c r="K22" s="25" t="n"/>
      <c r="L22" s="25" t="n"/>
      <c r="M22" s="25" t="n"/>
      <c r="N22" s="25" t="n"/>
      <c r="O22" s="25" t="n"/>
      <c r="P22" s="25" t="n"/>
      <c r="Q22" s="19">
        <f>IF($A22="","",COUNTIFS(Assignments!$C$2:$C$769,$A22,Assignments!$G$2:$G$769,"Active"))</f>
        <v/>
      </c>
      <c r="R22" s="20">
        <f>IF($A22="","",SUMIFS(Assignments!$I$2:$I$769,Assignments!$C$2:$C$769,$A22,Assignments!$G$2:$G$769,"Active"))</f>
        <v/>
      </c>
      <c r="S22" s="16" t="inlineStr">
        <is>
          <t>WIP</t>
        </is>
      </c>
      <c r="T22" s="27" t="n"/>
      <c r="U22" s="25" t="n"/>
      <c r="V22" s="22">
        <f>IF($U22="","",IFERROR(INDEX(Templates!$K$3:$K$10,MATCH($U22,Templates!$A$3:$A$10,0)),""))</f>
        <v/>
      </c>
      <c r="W22" s="22">
        <f>IF($U22="","",IFERROR(INDEX(Templates!$L$3:$L$10,MATCH($U22,Templates!$A$3:$A$10,0)),""))</f>
        <v/>
      </c>
      <c r="X22" s="23">
        <f>IF($U22="","",IFERROR(INDEX(Templates!$J$3:$J$10,MATCH($U22,Templates!$A$3:$A$10,0)),""))</f>
        <v/>
      </c>
      <c r="Y22" s="24">
        <f>IF(OR($U22="",$I22="",$J22="",$X22=""),"",$I22+$X22*($J22-$I22))</f>
        <v/>
      </c>
    </row>
    <row r="23">
      <c r="A23" s="15" t="inlineStr">
        <is>
          <t>BPF_2</t>
        </is>
      </c>
      <c r="B23" s="16" t="inlineStr">
        <is>
          <t>BPF Acquisition Co Series 11, LLC</t>
        </is>
      </c>
      <c r="C23" s="15" t="inlineStr">
        <is>
          <t>BPF Acquisition Co Series 11, LLC</t>
        </is>
      </c>
      <c r="D23" s="15" t="inlineStr"/>
      <c r="E23" s="15" t="inlineStr">
        <is>
          <t>No</t>
        </is>
      </c>
      <c r="F23" s="15" t="inlineStr">
        <is>
          <t>Active</t>
        </is>
      </c>
      <c r="G23" s="25" t="n"/>
      <c r="H23" s="17" t="n">
        <v>1</v>
      </c>
      <c r="I23" s="26" t="n"/>
      <c r="J23" s="26" t="n"/>
      <c r="K23" s="25" t="n"/>
      <c r="L23" s="25" t="n"/>
      <c r="M23" s="25" t="n"/>
      <c r="N23" s="25" t="n"/>
      <c r="O23" s="25" t="n"/>
      <c r="P23" s="25" t="n"/>
      <c r="Q23" s="19">
        <f>IF($A23="","",COUNTIFS(Assignments!$C$2:$C$769,$A23,Assignments!$G$2:$G$769,"Active"))</f>
        <v/>
      </c>
      <c r="R23" s="20">
        <f>IF($A23="","",SUMIFS(Assignments!$I$2:$I$769,Assignments!$C$2:$C$769,$A23,Assignments!$G$2:$G$769,"Active"))</f>
        <v/>
      </c>
      <c r="S23" s="16" t="inlineStr">
        <is>
          <t>WIP</t>
        </is>
      </c>
      <c r="T23" s="27" t="n"/>
      <c r="U23" s="25" t="n"/>
      <c r="V23" s="22">
        <f>IF($U23="","",IFERROR(INDEX(Templates!$K$3:$K$10,MATCH($U23,Templates!$A$3:$A$10,0)),""))</f>
        <v/>
      </c>
      <c r="W23" s="22">
        <f>IF($U23="","",IFERROR(INDEX(Templates!$L$3:$L$10,MATCH($U23,Templates!$A$3:$A$10,0)),""))</f>
        <v/>
      </c>
      <c r="X23" s="23">
        <f>IF($U23="","",IFERROR(INDEX(Templates!$J$3:$J$10,MATCH($U23,Templates!$A$3:$A$10,0)),""))</f>
        <v/>
      </c>
      <c r="Y23" s="24">
        <f>IF(OR($U23="",$I23="",$J23="",$X23=""),"",$I23+$X23*($J23-$I23))</f>
        <v/>
      </c>
    </row>
    <row r="24">
      <c r="A24" s="15" t="inlineStr">
        <is>
          <t>Brass_2</t>
        </is>
      </c>
      <c r="B24" s="16" t="inlineStr">
        <is>
          <t>BlueChip Underwriting Services</t>
        </is>
      </c>
      <c r="C24" s="15" t="inlineStr">
        <is>
          <t>BlueChip Underwriting Services</t>
        </is>
      </c>
      <c r="D24" s="15" t="inlineStr"/>
      <c r="E24" s="15" t="inlineStr">
        <is>
          <t>No</t>
        </is>
      </c>
      <c r="F24" s="15" t="inlineStr">
        <is>
          <t>Active</t>
        </is>
      </c>
      <c r="G24" s="25" t="n"/>
      <c r="H24" s="17" t="n">
        <v>1</v>
      </c>
      <c r="I24" s="26" t="n"/>
      <c r="J24" s="26" t="n"/>
      <c r="K24" s="25" t="n"/>
      <c r="L24" s="25" t="n"/>
      <c r="M24" s="25" t="n"/>
      <c r="N24" s="25" t="n"/>
      <c r="O24" s="25" t="n"/>
      <c r="P24" s="25" t="n"/>
      <c r="Q24" s="19">
        <f>IF($A24="","",COUNTIFS(Assignments!$C$2:$C$769,$A24,Assignments!$G$2:$G$769,"Active"))</f>
        <v/>
      </c>
      <c r="R24" s="20">
        <f>IF($A24="","",SUMIFS(Assignments!$I$2:$I$769,Assignments!$C$2:$C$769,$A24,Assignments!$G$2:$G$769,"Active"))</f>
        <v/>
      </c>
      <c r="S24" s="16" t="inlineStr">
        <is>
          <t>WIP</t>
        </is>
      </c>
      <c r="T24" s="27" t="n"/>
      <c r="U24" s="25" t="n"/>
      <c r="V24" s="22">
        <f>IF($U24="","",IFERROR(INDEX(Templates!$K$3:$K$10,MATCH($U24,Templates!$A$3:$A$10,0)),""))</f>
        <v/>
      </c>
      <c r="W24" s="22">
        <f>IF($U24="","",IFERROR(INDEX(Templates!$L$3:$L$10,MATCH($U24,Templates!$A$3:$A$10,0)),""))</f>
        <v/>
      </c>
      <c r="X24" s="23">
        <f>IF($U24="","",IFERROR(INDEX(Templates!$J$3:$J$10,MATCH($U24,Templates!$A$3:$A$10,0)),""))</f>
        <v/>
      </c>
      <c r="Y24" s="24">
        <f>IF(OR($U24="",$I24="",$J24="",$X24=""),"",$I24+$X24*($J24-$I24))</f>
        <v/>
      </c>
    </row>
    <row r="25">
      <c r="A25" s="15" t="inlineStr">
        <is>
          <t>Breakaway_1</t>
        </is>
      </c>
      <c r="B25" s="16" t="inlineStr">
        <is>
          <t>Ares Management Corporation : AwayDay</t>
        </is>
      </c>
      <c r="C25" s="15" t="inlineStr">
        <is>
          <t>Ares Management Corporation</t>
        </is>
      </c>
      <c r="D25" s="15" t="inlineStr">
        <is>
          <t>AwayDay</t>
        </is>
      </c>
      <c r="E25" s="15" t="inlineStr">
        <is>
          <t>No</t>
        </is>
      </c>
      <c r="F25" s="15" t="inlineStr">
        <is>
          <t>Active</t>
        </is>
      </c>
      <c r="G25" s="25" t="n"/>
      <c r="H25" s="17" t="n">
        <v>1</v>
      </c>
      <c r="I25" s="26" t="n"/>
      <c r="J25" s="26" t="n"/>
      <c r="K25" s="25" t="n"/>
      <c r="L25" s="25" t="n"/>
      <c r="M25" s="25" t="n"/>
      <c r="N25" s="25" t="n"/>
      <c r="O25" s="25" t="n"/>
      <c r="P25" s="25" t="n"/>
      <c r="Q25" s="19">
        <f>IF($A25="","",COUNTIFS(Assignments!$C$2:$C$769,$A25,Assignments!$G$2:$G$769,"Active"))</f>
        <v/>
      </c>
      <c r="R25" s="20">
        <f>IF($A25="","",SUMIFS(Assignments!$I$2:$I$769,Assignments!$C$2:$C$769,$A25,Assignments!$G$2:$G$769,"Active"))</f>
        <v/>
      </c>
      <c r="S25" s="16" t="inlineStr">
        <is>
          <t>WIP</t>
        </is>
      </c>
      <c r="T25" s="27" t="n"/>
      <c r="U25" s="25" t="n"/>
      <c r="V25" s="22">
        <f>IF($U25="","",IFERROR(INDEX(Templates!$K$3:$K$10,MATCH($U25,Templates!$A$3:$A$10,0)),""))</f>
        <v/>
      </c>
      <c r="W25" s="22">
        <f>IF($U25="","",IFERROR(INDEX(Templates!$L$3:$L$10,MATCH($U25,Templates!$A$3:$A$10,0)),""))</f>
        <v/>
      </c>
      <c r="X25" s="23">
        <f>IF($U25="","",IFERROR(INDEX(Templates!$J$3:$J$10,MATCH($U25,Templates!$A$3:$A$10,0)),""))</f>
        <v/>
      </c>
      <c r="Y25" s="24">
        <f>IF(OR($U25="",$I25="",$J25="",$X25=""),"",$I25+$X25*($J25-$I25))</f>
        <v/>
      </c>
    </row>
    <row r="26">
      <c r="A26" s="15" t="inlineStr">
        <is>
          <t>Brick_1</t>
        </is>
      </c>
      <c r="B26" s="16" t="inlineStr">
        <is>
          <t>Fengate</t>
        </is>
      </c>
      <c r="C26" s="15" t="inlineStr">
        <is>
          <t>Fengate</t>
        </is>
      </c>
      <c r="D26" s="15" t="inlineStr"/>
      <c r="E26" s="15" t="inlineStr">
        <is>
          <t>No</t>
        </is>
      </c>
      <c r="F26" s="15" t="inlineStr">
        <is>
          <t>Active</t>
        </is>
      </c>
      <c r="G26" s="25" t="n"/>
      <c r="H26" s="17" t="n">
        <v>1</v>
      </c>
      <c r="I26" s="26" t="n"/>
      <c r="J26" s="26" t="n"/>
      <c r="K26" s="25" t="n"/>
      <c r="L26" s="25" t="n"/>
      <c r="M26" s="25" t="n"/>
      <c r="N26" s="25" t="n"/>
      <c r="O26" s="25" t="n"/>
      <c r="P26" s="25" t="n"/>
      <c r="Q26" s="19">
        <f>IF($A26="","",COUNTIFS(Assignments!$C$2:$C$769,$A26,Assignments!$G$2:$G$769,"Active"))</f>
        <v/>
      </c>
      <c r="R26" s="20">
        <f>IF($A26="","",SUMIFS(Assignments!$I$2:$I$769,Assignments!$C$2:$C$769,$A26,Assignments!$G$2:$G$769,"Active"))</f>
        <v/>
      </c>
      <c r="S26" s="16" t="inlineStr">
        <is>
          <t>Summary tab only (WIP)</t>
        </is>
      </c>
      <c r="T26" s="27" t="n"/>
      <c r="U26" s="25" t="n"/>
      <c r="V26" s="22">
        <f>IF($U26="","",IFERROR(INDEX(Templates!$K$3:$K$10,MATCH($U26,Templates!$A$3:$A$10,0)),""))</f>
        <v/>
      </c>
      <c r="W26" s="22">
        <f>IF($U26="","",IFERROR(INDEX(Templates!$L$3:$L$10,MATCH($U26,Templates!$A$3:$A$10,0)),""))</f>
        <v/>
      </c>
      <c r="X26" s="23">
        <f>IF($U26="","",IFERROR(INDEX(Templates!$J$3:$J$10,MATCH($U26,Templates!$A$3:$A$10,0)),""))</f>
        <v/>
      </c>
      <c r="Y26" s="24">
        <f>IF(OR($U26="",$I26="",$J26="",$X26=""),"",$I26+$X26*($J26-$I26))</f>
        <v/>
      </c>
    </row>
    <row r="27">
      <c r="A27" s="15" t="inlineStr">
        <is>
          <t>Camaro_1</t>
        </is>
      </c>
      <c r="B27" s="16" t="inlineStr">
        <is>
          <t>Mechhi Infrastructure Partners</t>
        </is>
      </c>
      <c r="C27" s="15" t="inlineStr">
        <is>
          <t>Mechhi Infrastructure Partners</t>
        </is>
      </c>
      <c r="D27" s="15" t="inlineStr"/>
      <c r="E27" s="15" t="inlineStr">
        <is>
          <t>No</t>
        </is>
      </c>
      <c r="F27" s="15" t="inlineStr">
        <is>
          <t>Active</t>
        </is>
      </c>
      <c r="G27" s="25" t="n"/>
      <c r="H27" s="17" t="n">
        <v>1</v>
      </c>
      <c r="I27" s="26" t="n"/>
      <c r="J27" s="26" t="n"/>
      <c r="K27" s="25" t="n"/>
      <c r="L27" s="25" t="n"/>
      <c r="M27" s="25" t="n"/>
      <c r="N27" s="25" t="n"/>
      <c r="O27" s="25" t="n"/>
      <c r="P27" s="25" t="n"/>
      <c r="Q27" s="19">
        <f>IF($A27="","",COUNTIFS(Assignments!$C$2:$C$769,$A27,Assignments!$G$2:$G$769,"Active"))</f>
        <v/>
      </c>
      <c r="R27" s="20">
        <f>IF($A27="","",SUMIFS(Assignments!$I$2:$I$769,Assignments!$C$2:$C$769,$A27,Assignments!$G$2:$G$769,"Active"))</f>
        <v/>
      </c>
      <c r="S27" s="16" t="inlineStr">
        <is>
          <t>WIP</t>
        </is>
      </c>
      <c r="T27" s="27" t="n"/>
      <c r="U27" s="25" t="n"/>
      <c r="V27" s="22">
        <f>IF($U27="","",IFERROR(INDEX(Templates!$K$3:$K$10,MATCH($U27,Templates!$A$3:$A$10,0)),""))</f>
        <v/>
      </c>
      <c r="W27" s="22">
        <f>IF($U27="","",IFERROR(INDEX(Templates!$L$3:$L$10,MATCH($U27,Templates!$A$3:$A$10,0)),""))</f>
        <v/>
      </c>
      <c r="X27" s="23">
        <f>IF($U27="","",IFERROR(INDEX(Templates!$J$3:$J$10,MATCH($U27,Templates!$A$3:$A$10,0)),""))</f>
        <v/>
      </c>
      <c r="Y27" s="24">
        <f>IF(OR($U27="",$I27="",$J27="",$X27=""),"",$I27+$X27*($J27-$I27))</f>
        <v/>
      </c>
    </row>
    <row r="28">
      <c r="A28" s="15" t="inlineStr">
        <is>
          <t>Canyon_2</t>
        </is>
      </c>
      <c r="B28" s="16" t="inlineStr">
        <is>
          <t>EQT Group</t>
        </is>
      </c>
      <c r="C28" s="15" t="inlineStr">
        <is>
          <t>EQT Group</t>
        </is>
      </c>
      <c r="D28" s="15" t="inlineStr"/>
      <c r="E28" s="15" t="inlineStr">
        <is>
          <t>No</t>
        </is>
      </c>
      <c r="F28" s="15" t="inlineStr">
        <is>
          <t>Active</t>
        </is>
      </c>
      <c r="G28" s="25" t="n"/>
      <c r="H28" s="17" t="n">
        <v>1</v>
      </c>
      <c r="I28" s="26" t="n"/>
      <c r="J28" s="26" t="n"/>
      <c r="K28" s="25" t="n"/>
      <c r="L28" s="25" t="n"/>
      <c r="M28" s="25" t="n"/>
      <c r="N28" s="25" t="n"/>
      <c r="O28" s="25" t="n"/>
      <c r="P28" s="25" t="n"/>
      <c r="Q28" s="19">
        <f>IF($A28="","",COUNTIFS(Assignments!$C$2:$C$769,$A28,Assignments!$G$2:$G$769,"Active"))</f>
        <v/>
      </c>
      <c r="R28" s="20">
        <f>IF($A28="","",SUMIFS(Assignments!$I$2:$I$769,Assignments!$C$2:$C$769,$A28,Assignments!$G$2:$G$769,"Active"))</f>
        <v/>
      </c>
      <c r="S28" s="16" t="inlineStr">
        <is>
          <t>WIP</t>
        </is>
      </c>
      <c r="T28" s="27" t="n"/>
      <c r="U28" s="25" t="n"/>
      <c r="V28" s="22">
        <f>IF($U28="","",IFERROR(INDEX(Templates!$K$3:$K$10,MATCH($U28,Templates!$A$3:$A$10,0)),""))</f>
        <v/>
      </c>
      <c r="W28" s="22">
        <f>IF($U28="","",IFERROR(INDEX(Templates!$L$3:$L$10,MATCH($U28,Templates!$A$3:$A$10,0)),""))</f>
        <v/>
      </c>
      <c r="X28" s="23">
        <f>IF($U28="","",IFERROR(INDEX(Templates!$J$3:$J$10,MATCH($U28,Templates!$A$3:$A$10,0)),""))</f>
        <v/>
      </c>
      <c r="Y28" s="24">
        <f>IF(OR($U28="",$I28="",$J28="",$X28=""),"",$I28+$X28*($J28-$I28))</f>
        <v/>
      </c>
    </row>
    <row r="29">
      <c r="A29" s="15" t="inlineStr">
        <is>
          <t>Care_1</t>
        </is>
      </c>
      <c r="B29" s="16" t="inlineStr">
        <is>
          <t>CrossCountry Consulting</t>
        </is>
      </c>
      <c r="C29" s="15" t="inlineStr">
        <is>
          <t>CrossCountry Consulting</t>
        </is>
      </c>
      <c r="D29" s="15" t="inlineStr"/>
      <c r="E29" s="15" t="inlineStr">
        <is>
          <t>No</t>
        </is>
      </c>
      <c r="F29" s="15" t="inlineStr">
        <is>
          <t>Active</t>
        </is>
      </c>
      <c r="G29" s="25" t="n"/>
      <c r="H29" s="17" t="n">
        <v>1</v>
      </c>
      <c r="I29" s="26" t="n"/>
      <c r="J29" s="26" t="n"/>
      <c r="K29" s="25" t="n"/>
      <c r="L29" s="25" t="n"/>
      <c r="M29" s="25" t="n"/>
      <c r="N29" s="25" t="n"/>
      <c r="O29" s="25" t="n"/>
      <c r="P29" s="25" t="n"/>
      <c r="Q29" s="19">
        <f>IF($A29="","",COUNTIFS(Assignments!$C$2:$C$769,$A29,Assignments!$G$2:$G$769,"Active"))</f>
        <v/>
      </c>
      <c r="R29" s="20">
        <f>IF($A29="","",SUMIFS(Assignments!$I$2:$I$769,Assignments!$C$2:$C$769,$A29,Assignments!$G$2:$G$769,"Active"))</f>
        <v/>
      </c>
      <c r="S29" s="16" t="inlineStr">
        <is>
          <t>WIP</t>
        </is>
      </c>
      <c r="T29" s="27" t="n"/>
      <c r="U29" s="25" t="n"/>
      <c r="V29" s="22">
        <f>IF($U29="","",IFERROR(INDEX(Templates!$K$3:$K$10,MATCH($U29,Templates!$A$3:$A$10,0)),""))</f>
        <v/>
      </c>
      <c r="W29" s="22">
        <f>IF($U29="","",IFERROR(INDEX(Templates!$L$3:$L$10,MATCH($U29,Templates!$A$3:$A$10,0)),""))</f>
        <v/>
      </c>
      <c r="X29" s="23">
        <f>IF($U29="","",IFERROR(INDEX(Templates!$J$3:$J$10,MATCH($U29,Templates!$A$3:$A$10,0)),""))</f>
        <v/>
      </c>
      <c r="Y29" s="24">
        <f>IF(OR($U29="",$I29="",$J29="",$X29=""),"",$I29+$X29*($J29-$I29))</f>
        <v/>
      </c>
    </row>
    <row r="30">
      <c r="A30" s="15" t="inlineStr">
        <is>
          <t>Celestial_1</t>
        </is>
      </c>
      <c r="B30" s="16" t="inlineStr">
        <is>
          <t>ConTeras Industrial Group</t>
        </is>
      </c>
      <c r="C30" s="15" t="inlineStr">
        <is>
          <t>ConTeras Industrial Group</t>
        </is>
      </c>
      <c r="D30" s="15" t="inlineStr"/>
      <c r="E30" s="15" t="inlineStr">
        <is>
          <t>No</t>
        </is>
      </c>
      <c r="F30" s="15" t="inlineStr">
        <is>
          <t>Active</t>
        </is>
      </c>
      <c r="G30" s="25" t="n"/>
      <c r="H30" s="17" t="n">
        <v>1</v>
      </c>
      <c r="I30" s="26" t="n"/>
      <c r="J30" s="26" t="n"/>
      <c r="K30" s="25" t="n"/>
      <c r="L30" s="25" t="n"/>
      <c r="M30" s="25" t="n"/>
      <c r="N30" s="25" t="n"/>
      <c r="O30" s="25" t="n"/>
      <c r="P30" s="25" t="n"/>
      <c r="Q30" s="19">
        <f>IF($A30="","",COUNTIFS(Assignments!$C$2:$C$769,$A30,Assignments!$G$2:$G$769,"Active"))</f>
        <v/>
      </c>
      <c r="R30" s="20">
        <f>IF($A30="","",SUMIFS(Assignments!$I$2:$I$769,Assignments!$C$2:$C$769,$A30,Assignments!$G$2:$G$769,"Active"))</f>
        <v/>
      </c>
      <c r="S30" s="16" t="inlineStr">
        <is>
          <t>WIP</t>
        </is>
      </c>
      <c r="T30" s="27" t="n"/>
      <c r="U30" s="25" t="n"/>
      <c r="V30" s="22">
        <f>IF($U30="","",IFERROR(INDEX(Templates!$K$3:$K$10,MATCH($U30,Templates!$A$3:$A$10,0)),""))</f>
        <v/>
      </c>
      <c r="W30" s="22">
        <f>IF($U30="","",IFERROR(INDEX(Templates!$L$3:$L$10,MATCH($U30,Templates!$A$3:$A$10,0)),""))</f>
        <v/>
      </c>
      <c r="X30" s="23">
        <f>IF($U30="","",IFERROR(INDEX(Templates!$J$3:$J$10,MATCH($U30,Templates!$A$3:$A$10,0)),""))</f>
        <v/>
      </c>
      <c r="Y30" s="24">
        <f>IF(OR($U30="",$I30="",$J30="",$X30=""),"",$I30+$X30*($J30-$I30))</f>
        <v/>
      </c>
    </row>
    <row r="31">
      <c r="A31" s="15" t="inlineStr">
        <is>
          <t>CFlats_1</t>
        </is>
      </c>
      <c r="B31" s="16" t="inlineStr">
        <is>
          <t>Ethos Specialty Insurance Services</t>
        </is>
      </c>
      <c r="C31" s="15" t="inlineStr">
        <is>
          <t>Ethos Specialty Insurance Services</t>
        </is>
      </c>
      <c r="D31" s="15" t="inlineStr"/>
      <c r="E31" s="15" t="inlineStr">
        <is>
          <t>No</t>
        </is>
      </c>
      <c r="F31" s="15" t="inlineStr">
        <is>
          <t>Active</t>
        </is>
      </c>
      <c r="G31" s="25" t="n"/>
      <c r="H31" s="17" t="n">
        <v>1</v>
      </c>
      <c r="I31" s="26" t="n"/>
      <c r="J31" s="26" t="n"/>
      <c r="K31" s="25" t="n"/>
      <c r="L31" s="25" t="n"/>
      <c r="M31" s="25" t="n"/>
      <c r="N31" s="25" t="n"/>
      <c r="O31" s="25" t="n"/>
      <c r="P31" s="25" t="n"/>
      <c r="Q31" s="19">
        <f>IF($A31="","",COUNTIFS(Assignments!$C$2:$C$769,$A31,Assignments!$G$2:$G$769,"Active"))</f>
        <v/>
      </c>
      <c r="R31" s="20">
        <f>IF($A31="","",SUMIFS(Assignments!$I$2:$I$769,Assignments!$C$2:$C$769,$A31,Assignments!$G$2:$G$769,"Active"))</f>
        <v/>
      </c>
      <c r="S31" s="16" t="inlineStr">
        <is>
          <t>WIP</t>
        </is>
      </c>
      <c r="T31" s="27" t="n"/>
      <c r="U31" s="25" t="n"/>
      <c r="V31" s="22">
        <f>IF($U31="","",IFERROR(INDEX(Templates!$K$3:$K$10,MATCH($U31,Templates!$A$3:$A$10,0)),""))</f>
        <v/>
      </c>
      <c r="W31" s="22">
        <f>IF($U31="","",IFERROR(INDEX(Templates!$L$3:$L$10,MATCH($U31,Templates!$A$3:$A$10,0)),""))</f>
        <v/>
      </c>
      <c r="X31" s="23">
        <f>IF($U31="","",IFERROR(INDEX(Templates!$J$3:$J$10,MATCH($U31,Templates!$A$3:$A$10,0)),""))</f>
        <v/>
      </c>
      <c r="Y31" s="24">
        <f>IF(OR($U31="",$I31="",$J31="",$X31=""),"",$I31+$X31*($J31-$I31))</f>
        <v/>
      </c>
    </row>
    <row r="32">
      <c r="A32" s="15" t="inlineStr">
        <is>
          <t>Challenger_1</t>
        </is>
      </c>
      <c r="B32" s="16" t="inlineStr">
        <is>
          <t>Fengate</t>
        </is>
      </c>
      <c r="C32" s="15" t="inlineStr">
        <is>
          <t>Fengate</t>
        </is>
      </c>
      <c r="D32" s="15" t="inlineStr"/>
      <c r="E32" s="15" t="inlineStr">
        <is>
          <t>No</t>
        </is>
      </c>
      <c r="F32" s="15" t="inlineStr">
        <is>
          <t>Active</t>
        </is>
      </c>
      <c r="G32" s="25" t="n"/>
      <c r="H32" s="17" t="n">
        <v>1</v>
      </c>
      <c r="I32" s="26" t="n"/>
      <c r="J32" s="26" t="n"/>
      <c r="K32" s="25" t="n"/>
      <c r="L32" s="25" t="n"/>
      <c r="M32" s="25" t="n"/>
      <c r="N32" s="25" t="n"/>
      <c r="O32" s="25" t="n"/>
      <c r="P32" s="25" t="n"/>
      <c r="Q32" s="19">
        <f>IF($A32="","",COUNTIFS(Assignments!$C$2:$C$769,$A32,Assignments!$G$2:$G$769,"Active"))</f>
        <v/>
      </c>
      <c r="R32" s="20">
        <f>IF($A32="","",SUMIFS(Assignments!$I$2:$I$769,Assignments!$C$2:$C$769,$A32,Assignments!$G$2:$G$769,"Active"))</f>
        <v/>
      </c>
      <c r="S32" s="16" t="inlineStr">
        <is>
          <t>WIP</t>
        </is>
      </c>
      <c r="T32" s="27" t="n"/>
      <c r="U32" s="25" t="n"/>
      <c r="V32" s="22">
        <f>IF($U32="","",IFERROR(INDEX(Templates!$K$3:$K$10,MATCH($U32,Templates!$A$3:$A$10,0)),""))</f>
        <v/>
      </c>
      <c r="W32" s="22">
        <f>IF($U32="","",IFERROR(INDEX(Templates!$L$3:$L$10,MATCH($U32,Templates!$A$3:$A$10,0)),""))</f>
        <v/>
      </c>
      <c r="X32" s="23">
        <f>IF($U32="","",IFERROR(INDEX(Templates!$J$3:$J$10,MATCH($U32,Templates!$A$3:$A$10,0)),""))</f>
        <v/>
      </c>
      <c r="Y32" s="24">
        <f>IF(OR($U32="",$I32="",$J32="",$X32=""),"",$I32+$X32*($J32-$I32))</f>
        <v/>
      </c>
    </row>
    <row r="33">
      <c r="A33" s="15" t="inlineStr">
        <is>
          <t>Chicago RE_1</t>
        </is>
      </c>
      <c r="B33" s="16" t="inlineStr">
        <is>
          <t>Fengate</t>
        </is>
      </c>
      <c r="C33" s="15" t="inlineStr">
        <is>
          <t>Fengate</t>
        </is>
      </c>
      <c r="D33" s="15" t="inlineStr"/>
      <c r="E33" s="15" t="inlineStr">
        <is>
          <t>No</t>
        </is>
      </c>
      <c r="F33" s="15" t="inlineStr">
        <is>
          <t>Active</t>
        </is>
      </c>
      <c r="G33" s="25" t="n"/>
      <c r="H33" s="17" t="n">
        <v>1</v>
      </c>
      <c r="I33" s="26" t="n"/>
      <c r="J33" s="26" t="n"/>
      <c r="K33" s="25" t="n"/>
      <c r="L33" s="25" t="n"/>
      <c r="M33" s="25" t="n"/>
      <c r="N33" s="25" t="n"/>
      <c r="O33" s="25" t="n"/>
      <c r="P33" s="25" t="n"/>
      <c r="Q33" s="19">
        <f>IF($A33="","",COUNTIFS(Assignments!$C$2:$C$769,$A33,Assignments!$G$2:$G$769,"Active"))</f>
        <v/>
      </c>
      <c r="R33" s="20">
        <f>IF($A33="","",SUMIFS(Assignments!$I$2:$I$769,Assignments!$C$2:$C$769,$A33,Assignments!$G$2:$G$769,"Active"))</f>
        <v/>
      </c>
      <c r="S33" s="16" t="inlineStr">
        <is>
          <t>WIP</t>
        </is>
      </c>
      <c r="T33" s="27" t="n"/>
      <c r="U33" s="25" t="n"/>
      <c r="V33" s="22">
        <f>IF($U33="","",IFERROR(INDEX(Templates!$K$3:$K$10,MATCH($U33,Templates!$A$3:$A$10,0)),""))</f>
        <v/>
      </c>
      <c r="W33" s="22">
        <f>IF($U33="","",IFERROR(INDEX(Templates!$L$3:$L$10,MATCH($U33,Templates!$A$3:$A$10,0)),""))</f>
        <v/>
      </c>
      <c r="X33" s="23">
        <f>IF($U33="","",IFERROR(INDEX(Templates!$J$3:$J$10,MATCH($U33,Templates!$A$3:$A$10,0)),""))</f>
        <v/>
      </c>
      <c r="Y33" s="24">
        <f>IF(OR($U33="",$I33="",$J33="",$X33=""),"",$I33+$X33*($J33-$I33))</f>
        <v/>
      </c>
    </row>
    <row r="34">
      <c r="A34" s="15" t="inlineStr">
        <is>
          <t>Chile_1</t>
        </is>
      </c>
      <c r="B34" s="16" t="inlineStr">
        <is>
          <t>Inn-Flow</t>
        </is>
      </c>
      <c r="C34" s="15" t="inlineStr">
        <is>
          <t>Inn-Flow</t>
        </is>
      </c>
      <c r="D34" s="15" t="inlineStr"/>
      <c r="E34" s="15" t="inlineStr">
        <is>
          <t>No</t>
        </is>
      </c>
      <c r="F34" s="15" t="inlineStr">
        <is>
          <t>Active</t>
        </is>
      </c>
      <c r="G34" s="25" t="n"/>
      <c r="H34" s="17" t="n">
        <v>1</v>
      </c>
      <c r="I34" s="26" t="n"/>
      <c r="J34" s="26" t="n"/>
      <c r="K34" s="25" t="n"/>
      <c r="L34" s="25" t="n"/>
      <c r="M34" s="25" t="n"/>
      <c r="N34" s="25" t="n"/>
      <c r="O34" s="25" t="n"/>
      <c r="P34" s="25" t="n"/>
      <c r="Q34" s="19">
        <f>IF($A34="","",COUNTIFS(Assignments!$C$2:$C$769,$A34,Assignments!$G$2:$G$769,"Active"))</f>
        <v/>
      </c>
      <c r="R34" s="20">
        <f>IF($A34="","",SUMIFS(Assignments!$I$2:$I$769,Assignments!$C$2:$C$769,$A34,Assignments!$G$2:$G$769,"Active"))</f>
        <v/>
      </c>
      <c r="S34" s="16" t="inlineStr">
        <is>
          <t>Summary tab only (WIP)</t>
        </is>
      </c>
      <c r="T34" s="27" t="n"/>
      <c r="U34" s="25" t="n"/>
      <c r="V34" s="22">
        <f>IF($U34="","",IFERROR(INDEX(Templates!$K$3:$K$10,MATCH($U34,Templates!$A$3:$A$10,0)),""))</f>
        <v/>
      </c>
      <c r="W34" s="22">
        <f>IF($U34="","",IFERROR(INDEX(Templates!$L$3:$L$10,MATCH($U34,Templates!$A$3:$A$10,0)),""))</f>
        <v/>
      </c>
      <c r="X34" s="23">
        <f>IF($U34="","",IFERROR(INDEX(Templates!$J$3:$J$10,MATCH($U34,Templates!$A$3:$A$10,0)),""))</f>
        <v/>
      </c>
      <c r="Y34" s="24">
        <f>IF(OR($U34="",$I34="",$J34="",$X34=""),"",$I34+$X34*($J34-$I34))</f>
        <v/>
      </c>
    </row>
    <row r="35">
      <c r="A35" s="15" t="inlineStr">
        <is>
          <t>Circuit_1</t>
        </is>
      </c>
      <c r="B35" s="16" t="inlineStr">
        <is>
          <t>LS Power</t>
        </is>
      </c>
      <c r="C35" s="15" t="inlineStr">
        <is>
          <t>LS Power</t>
        </is>
      </c>
      <c r="D35" s="15" t="inlineStr"/>
      <c r="E35" s="15" t="inlineStr">
        <is>
          <t>No</t>
        </is>
      </c>
      <c r="F35" s="15" t="inlineStr">
        <is>
          <t>Active</t>
        </is>
      </c>
      <c r="G35" s="25" t="n"/>
      <c r="H35" s="17" t="n">
        <v>1</v>
      </c>
      <c r="I35" s="26" t="n"/>
      <c r="J35" s="26" t="n"/>
      <c r="K35" s="25" t="n"/>
      <c r="L35" s="25" t="n"/>
      <c r="M35" s="25" t="n"/>
      <c r="N35" s="25" t="n"/>
      <c r="O35" s="25" t="n"/>
      <c r="P35" s="25" t="n"/>
      <c r="Q35" s="19">
        <f>IF($A35="","",COUNTIFS(Assignments!$C$2:$C$769,$A35,Assignments!$G$2:$G$769,"Active"))</f>
        <v/>
      </c>
      <c r="R35" s="20">
        <f>IF($A35="","",SUMIFS(Assignments!$I$2:$I$769,Assignments!$C$2:$C$769,$A35,Assignments!$G$2:$G$769,"Active"))</f>
        <v/>
      </c>
      <c r="S35" s="16" t="inlineStr">
        <is>
          <t>WIP</t>
        </is>
      </c>
      <c r="T35" s="27" t="n"/>
      <c r="U35" s="25" t="n"/>
      <c r="V35" s="22">
        <f>IF($U35="","",IFERROR(INDEX(Templates!$K$3:$K$10,MATCH($U35,Templates!$A$3:$A$10,0)),""))</f>
        <v/>
      </c>
      <c r="W35" s="22">
        <f>IF($U35="","",IFERROR(INDEX(Templates!$L$3:$L$10,MATCH($U35,Templates!$A$3:$A$10,0)),""))</f>
        <v/>
      </c>
      <c r="X35" s="23">
        <f>IF($U35="","",IFERROR(INDEX(Templates!$J$3:$J$10,MATCH($U35,Templates!$A$3:$A$10,0)),""))</f>
        <v/>
      </c>
      <c r="Y35" s="24">
        <f>IF(OR($U35="",$I35="",$J35="",$X35=""),"",$I35+$X35*($J35-$I35))</f>
        <v/>
      </c>
    </row>
    <row r="36">
      <c r="A36" s="15" t="inlineStr">
        <is>
          <t>CLS_1</t>
        </is>
      </c>
      <c r="B36" s="16" t="inlineStr">
        <is>
          <t>Embark</t>
        </is>
      </c>
      <c r="C36" s="15" t="inlineStr">
        <is>
          <t>Embark</t>
        </is>
      </c>
      <c r="D36" s="15" t="inlineStr"/>
      <c r="E36" s="15" t="inlineStr">
        <is>
          <t>No</t>
        </is>
      </c>
      <c r="F36" s="15" t="inlineStr">
        <is>
          <t>Active</t>
        </is>
      </c>
      <c r="G36" s="25" t="n"/>
      <c r="H36" s="17" t="n">
        <v>1</v>
      </c>
      <c r="I36" s="26" t="n"/>
      <c r="J36" s="26" t="n"/>
      <c r="K36" s="25" t="n"/>
      <c r="L36" s="25" t="n"/>
      <c r="M36" s="25" t="n"/>
      <c r="N36" s="25" t="n"/>
      <c r="O36" s="25" t="n"/>
      <c r="P36" s="25" t="n"/>
      <c r="Q36" s="19">
        <f>IF($A36="","",COUNTIFS(Assignments!$C$2:$C$769,$A36,Assignments!$G$2:$G$769,"Active"))</f>
        <v/>
      </c>
      <c r="R36" s="20">
        <f>IF($A36="","",SUMIFS(Assignments!$I$2:$I$769,Assignments!$C$2:$C$769,$A36,Assignments!$G$2:$G$769,"Active"))</f>
        <v/>
      </c>
      <c r="S36" s="16" t="inlineStr">
        <is>
          <t>WIP</t>
        </is>
      </c>
      <c r="T36" s="27" t="n"/>
      <c r="U36" s="25" t="n"/>
      <c r="V36" s="22">
        <f>IF($U36="","",IFERROR(INDEX(Templates!$K$3:$K$10,MATCH($U36,Templates!$A$3:$A$10,0)),""))</f>
        <v/>
      </c>
      <c r="W36" s="22">
        <f>IF($U36="","",IFERROR(INDEX(Templates!$L$3:$L$10,MATCH($U36,Templates!$A$3:$A$10,0)),""))</f>
        <v/>
      </c>
      <c r="X36" s="23">
        <f>IF($U36="","",IFERROR(INDEX(Templates!$J$3:$J$10,MATCH($U36,Templates!$A$3:$A$10,0)),""))</f>
        <v/>
      </c>
      <c r="Y36" s="24">
        <f>IF(OR($U36="",$I36="",$J36="",$X36=""),"",$I36+$X36*($J36-$I36))</f>
        <v/>
      </c>
    </row>
    <row r="37">
      <c r="A37" s="15" t="inlineStr">
        <is>
          <t>Cohost_1</t>
        </is>
      </c>
      <c r="B37" s="16" t="inlineStr">
        <is>
          <t>AwayDay</t>
        </is>
      </c>
      <c r="C37" s="15" t="inlineStr">
        <is>
          <t>AwayDay</t>
        </is>
      </c>
      <c r="D37" s="15" t="inlineStr"/>
      <c r="E37" s="15" t="inlineStr">
        <is>
          <t>No</t>
        </is>
      </c>
      <c r="F37" s="15" t="inlineStr">
        <is>
          <t>Active</t>
        </is>
      </c>
      <c r="G37" s="25" t="n"/>
      <c r="H37" s="17" t="n">
        <v>1</v>
      </c>
      <c r="I37" s="26" t="n"/>
      <c r="J37" s="26" t="n"/>
      <c r="K37" s="25" t="n"/>
      <c r="L37" s="25" t="n"/>
      <c r="M37" s="25" t="n"/>
      <c r="N37" s="25" t="n"/>
      <c r="O37" s="25" t="n"/>
      <c r="P37" s="25" t="n"/>
      <c r="Q37" s="19">
        <f>IF($A37="","",COUNTIFS(Assignments!$C$2:$C$769,$A37,Assignments!$G$2:$G$769,"Active"))</f>
        <v/>
      </c>
      <c r="R37" s="20">
        <f>IF($A37="","",SUMIFS(Assignments!$I$2:$I$769,Assignments!$C$2:$C$769,$A37,Assignments!$G$2:$G$769,"Active"))</f>
        <v/>
      </c>
      <c r="S37" s="16" t="inlineStr">
        <is>
          <t>WIP</t>
        </is>
      </c>
      <c r="T37" s="27" t="n"/>
      <c r="U37" s="25" t="n"/>
      <c r="V37" s="22">
        <f>IF($U37="","",IFERROR(INDEX(Templates!$K$3:$K$10,MATCH($U37,Templates!$A$3:$A$10,0)),""))</f>
        <v/>
      </c>
      <c r="W37" s="22">
        <f>IF($U37="","",IFERROR(INDEX(Templates!$L$3:$L$10,MATCH($U37,Templates!$A$3:$A$10,0)),""))</f>
        <v/>
      </c>
      <c r="X37" s="23">
        <f>IF($U37="","",IFERROR(INDEX(Templates!$J$3:$J$10,MATCH($U37,Templates!$A$3:$A$10,0)),""))</f>
        <v/>
      </c>
      <c r="Y37" s="24">
        <f>IF(OR($U37="",$I37="",$J37="",$X37=""),"",$I37+$X37*($J37-$I37))</f>
        <v/>
      </c>
    </row>
    <row r="38">
      <c r="A38" s="15" t="inlineStr">
        <is>
          <t>Colt_2</t>
        </is>
      </c>
      <c r="B38" s="16" t="inlineStr">
        <is>
          <t>Blackstone Management Partners LLC</t>
        </is>
      </c>
      <c r="C38" s="15" t="inlineStr">
        <is>
          <t>Blackstone Management Partners LLC</t>
        </is>
      </c>
      <c r="D38" s="15" t="inlineStr"/>
      <c r="E38" s="15" t="inlineStr">
        <is>
          <t>No</t>
        </is>
      </c>
      <c r="F38" s="15" t="inlineStr">
        <is>
          <t>Active</t>
        </is>
      </c>
      <c r="G38" s="25" t="n"/>
      <c r="H38" s="17" t="n">
        <v>1</v>
      </c>
      <c r="I38" s="26" t="n"/>
      <c r="J38" s="26" t="n"/>
      <c r="K38" s="25" t="n"/>
      <c r="L38" s="25" t="n"/>
      <c r="M38" s="25" t="n"/>
      <c r="N38" s="25" t="n"/>
      <c r="O38" s="25" t="n"/>
      <c r="P38" s="25" t="n"/>
      <c r="Q38" s="19">
        <f>IF($A38="","",COUNTIFS(Assignments!$C$2:$C$769,$A38,Assignments!$G$2:$G$769,"Active"))</f>
        <v/>
      </c>
      <c r="R38" s="20">
        <f>IF($A38="","",SUMIFS(Assignments!$I$2:$I$769,Assignments!$C$2:$C$769,$A38,Assignments!$G$2:$G$769,"Active"))</f>
        <v/>
      </c>
      <c r="S38" s="16" t="inlineStr">
        <is>
          <t>WIP</t>
        </is>
      </c>
      <c r="T38" s="27" t="n"/>
      <c r="U38" s="25" t="n"/>
      <c r="V38" s="22">
        <f>IF($U38="","",IFERROR(INDEX(Templates!$K$3:$K$10,MATCH($U38,Templates!$A$3:$A$10,0)),""))</f>
        <v/>
      </c>
      <c r="W38" s="22">
        <f>IF($U38="","",IFERROR(INDEX(Templates!$L$3:$L$10,MATCH($U38,Templates!$A$3:$A$10,0)),""))</f>
        <v/>
      </c>
      <c r="X38" s="23">
        <f>IF($U38="","",IFERROR(INDEX(Templates!$J$3:$J$10,MATCH($U38,Templates!$A$3:$A$10,0)),""))</f>
        <v/>
      </c>
      <c r="Y38" s="24">
        <f>IF(OR($U38="",$I38="",$J38="",$X38=""),"",$I38+$X38*($J38-$I38))</f>
        <v/>
      </c>
    </row>
    <row r="39">
      <c r="A39" s="15" t="inlineStr">
        <is>
          <t>Concrete_1</t>
        </is>
      </c>
      <c r="B39" s="16" t="inlineStr">
        <is>
          <t>Lime Rock New Energy L.P.</t>
        </is>
      </c>
      <c r="C39" s="15" t="inlineStr">
        <is>
          <t>Lime Rock New Energy L.P.</t>
        </is>
      </c>
      <c r="D39" s="15" t="inlineStr"/>
      <c r="E39" s="15" t="inlineStr">
        <is>
          <t>No</t>
        </is>
      </c>
      <c r="F39" s="15" t="inlineStr">
        <is>
          <t>Active</t>
        </is>
      </c>
      <c r="G39" s="25" t="n"/>
      <c r="H39" s="17" t="n">
        <v>1</v>
      </c>
      <c r="I39" s="26" t="n"/>
      <c r="J39" s="26" t="n"/>
      <c r="K39" s="25" t="n"/>
      <c r="L39" s="25" t="n"/>
      <c r="M39" s="25" t="n"/>
      <c r="N39" s="25" t="n"/>
      <c r="O39" s="25" t="n"/>
      <c r="P39" s="25" t="n"/>
      <c r="Q39" s="19">
        <f>IF($A39="","",COUNTIFS(Assignments!$C$2:$C$769,$A39,Assignments!$G$2:$G$769,"Active"))</f>
        <v/>
      </c>
      <c r="R39" s="20">
        <f>IF($A39="","",SUMIFS(Assignments!$I$2:$I$769,Assignments!$C$2:$C$769,$A39,Assignments!$G$2:$G$769,"Active"))</f>
        <v/>
      </c>
      <c r="S39" s="16" t="inlineStr">
        <is>
          <t>WIP</t>
        </is>
      </c>
      <c r="T39" s="27" t="n"/>
      <c r="U39" s="25" t="n"/>
      <c r="V39" s="22">
        <f>IF($U39="","",IFERROR(INDEX(Templates!$K$3:$K$10,MATCH($U39,Templates!$A$3:$A$10,0)),""))</f>
        <v/>
      </c>
      <c r="W39" s="22">
        <f>IF($U39="","",IFERROR(INDEX(Templates!$L$3:$L$10,MATCH($U39,Templates!$A$3:$A$10,0)),""))</f>
        <v/>
      </c>
      <c r="X39" s="23">
        <f>IF($U39="","",IFERROR(INDEX(Templates!$J$3:$J$10,MATCH($U39,Templates!$A$3:$A$10,0)),""))</f>
        <v/>
      </c>
      <c r="Y39" s="24">
        <f>IF(OR($U39="",$I39="",$J39="",$X39=""),"",$I39+$X39*($J39-$I39))</f>
        <v/>
      </c>
    </row>
    <row r="40">
      <c r="A40" s="15" t="inlineStr">
        <is>
          <t>Copia_3</t>
        </is>
      </c>
      <c r="B40" s="16" t="inlineStr">
        <is>
          <t>Copia Power</t>
        </is>
      </c>
      <c r="C40" s="15" t="inlineStr">
        <is>
          <t>Copia Power</t>
        </is>
      </c>
      <c r="D40" s="15" t="inlineStr"/>
      <c r="E40" s="15" t="inlineStr">
        <is>
          <t>No</t>
        </is>
      </c>
      <c r="F40" s="15" t="inlineStr">
        <is>
          <t>Active</t>
        </is>
      </c>
      <c r="G40" s="25" t="n"/>
      <c r="H40" s="17" t="n">
        <v>1</v>
      </c>
      <c r="I40" s="26" t="n"/>
      <c r="J40" s="26" t="n"/>
      <c r="K40" s="25" t="n"/>
      <c r="L40" s="25" t="n"/>
      <c r="M40" s="25" t="n"/>
      <c r="N40" s="25" t="n"/>
      <c r="O40" s="25" t="n"/>
      <c r="P40" s="25" t="n"/>
      <c r="Q40" s="19">
        <f>IF($A40="","",COUNTIFS(Assignments!$C$2:$C$769,$A40,Assignments!$G$2:$G$769,"Active"))</f>
        <v/>
      </c>
      <c r="R40" s="20">
        <f>IF($A40="","",SUMIFS(Assignments!$I$2:$I$769,Assignments!$C$2:$C$769,$A40,Assignments!$G$2:$G$769,"Active"))</f>
        <v/>
      </c>
      <c r="S40" s="16" t="inlineStr">
        <is>
          <t>WIP</t>
        </is>
      </c>
      <c r="T40" s="27" t="n"/>
      <c r="U40" s="25" t="n"/>
      <c r="V40" s="22">
        <f>IF($U40="","",IFERROR(INDEX(Templates!$K$3:$K$10,MATCH($U40,Templates!$A$3:$A$10,0)),""))</f>
        <v/>
      </c>
      <c r="W40" s="22">
        <f>IF($U40="","",IFERROR(INDEX(Templates!$L$3:$L$10,MATCH($U40,Templates!$A$3:$A$10,0)),""))</f>
        <v/>
      </c>
      <c r="X40" s="23">
        <f>IF($U40="","",IFERROR(INDEX(Templates!$J$3:$J$10,MATCH($U40,Templates!$A$3:$A$10,0)),""))</f>
        <v/>
      </c>
      <c r="Y40" s="24">
        <f>IF(OR($U40="",$I40="",$J40="",$X40=""),"",$I40+$X40*($J40-$I40))</f>
        <v/>
      </c>
    </row>
    <row r="41">
      <c r="A41" s="15" t="inlineStr">
        <is>
          <t>CopiaAdHoc_1</t>
        </is>
      </c>
      <c r="B41" s="16" t="inlineStr">
        <is>
          <t>Copia Power</t>
        </is>
      </c>
      <c r="C41" s="15" t="inlineStr">
        <is>
          <t>Copia Power</t>
        </is>
      </c>
      <c r="D41" s="15" t="inlineStr"/>
      <c r="E41" s="15" t="inlineStr">
        <is>
          <t>No</t>
        </is>
      </c>
      <c r="F41" s="15" t="inlineStr">
        <is>
          <t>Active</t>
        </is>
      </c>
      <c r="G41" s="25" t="n"/>
      <c r="H41" s="17" t="n">
        <v>1</v>
      </c>
      <c r="I41" s="26" t="n"/>
      <c r="J41" s="26" t="n"/>
      <c r="K41" s="25" t="n"/>
      <c r="L41" s="25" t="n"/>
      <c r="M41" s="25" t="n"/>
      <c r="N41" s="25" t="n"/>
      <c r="O41" s="25" t="n"/>
      <c r="P41" s="25" t="n"/>
      <c r="Q41" s="19">
        <f>IF($A41="","",COUNTIFS(Assignments!$C$2:$C$769,$A41,Assignments!$G$2:$G$769,"Active"))</f>
        <v/>
      </c>
      <c r="R41" s="20">
        <f>IF($A41="","",SUMIFS(Assignments!$I$2:$I$769,Assignments!$C$2:$C$769,$A41,Assignments!$G$2:$G$769,"Active"))</f>
        <v/>
      </c>
      <c r="S41" s="16" t="inlineStr">
        <is>
          <t>WIP</t>
        </is>
      </c>
      <c r="T41" s="27" t="n"/>
      <c r="U41" s="25" t="n"/>
      <c r="V41" s="22">
        <f>IF($U41="","",IFERROR(INDEX(Templates!$K$3:$K$10,MATCH($U41,Templates!$A$3:$A$10,0)),""))</f>
        <v/>
      </c>
      <c r="W41" s="22">
        <f>IF($U41="","",IFERROR(INDEX(Templates!$L$3:$L$10,MATCH($U41,Templates!$A$3:$A$10,0)),""))</f>
        <v/>
      </c>
      <c r="X41" s="23">
        <f>IF($U41="","",IFERROR(INDEX(Templates!$J$3:$J$10,MATCH($U41,Templates!$A$3:$A$10,0)),""))</f>
        <v/>
      </c>
      <c r="Y41" s="24">
        <f>IF(OR($U41="",$I41="",$J41="",$X41=""),"",$I41+$X41*($J41-$I41))</f>
        <v/>
      </c>
    </row>
    <row r="42">
      <c r="A42" s="15" t="inlineStr">
        <is>
          <t>Coral II_1</t>
        </is>
      </c>
      <c r="B42" s="16" t="inlineStr">
        <is>
          <t>John Laing</t>
        </is>
      </c>
      <c r="C42" s="15" t="inlineStr">
        <is>
          <t>John Laing</t>
        </is>
      </c>
      <c r="D42" s="15" t="inlineStr"/>
      <c r="E42" s="15" t="inlineStr">
        <is>
          <t>No</t>
        </is>
      </c>
      <c r="F42" s="15" t="inlineStr">
        <is>
          <t>Active</t>
        </is>
      </c>
      <c r="G42" s="25" t="n"/>
      <c r="H42" s="17" t="n">
        <v>1</v>
      </c>
      <c r="I42" s="26" t="n"/>
      <c r="J42" s="26" t="n"/>
      <c r="K42" s="25" t="n"/>
      <c r="L42" s="25" t="n"/>
      <c r="M42" s="25" t="n"/>
      <c r="N42" s="25" t="n"/>
      <c r="O42" s="25" t="n"/>
      <c r="P42" s="25" t="n"/>
      <c r="Q42" s="19">
        <f>IF($A42="","",COUNTIFS(Assignments!$C$2:$C$769,$A42,Assignments!$G$2:$G$769,"Active"))</f>
        <v/>
      </c>
      <c r="R42" s="20">
        <f>IF($A42="","",SUMIFS(Assignments!$I$2:$I$769,Assignments!$C$2:$C$769,$A42,Assignments!$G$2:$G$769,"Active"))</f>
        <v/>
      </c>
      <c r="S42" s="16" t="inlineStr">
        <is>
          <t>WIP</t>
        </is>
      </c>
      <c r="T42" s="27" t="n"/>
      <c r="U42" s="25" t="n"/>
      <c r="V42" s="22">
        <f>IF($U42="","",IFERROR(INDEX(Templates!$K$3:$K$10,MATCH($U42,Templates!$A$3:$A$10,0)),""))</f>
        <v/>
      </c>
      <c r="W42" s="22">
        <f>IF($U42="","",IFERROR(INDEX(Templates!$L$3:$L$10,MATCH($U42,Templates!$A$3:$A$10,0)),""))</f>
        <v/>
      </c>
      <c r="X42" s="23">
        <f>IF($U42="","",IFERROR(INDEX(Templates!$J$3:$J$10,MATCH($U42,Templates!$A$3:$A$10,0)),""))</f>
        <v/>
      </c>
      <c r="Y42" s="24">
        <f>IF(OR($U42="",$I42="",$J42="",$X42=""),"",$I42+$X42*($J42-$I42))</f>
        <v/>
      </c>
    </row>
    <row r="43">
      <c r="A43" s="15" t="inlineStr">
        <is>
          <t>Cosmetic _1</t>
        </is>
      </c>
      <c r="B43" s="16" t="inlineStr">
        <is>
          <t>Taxand Global : Arsene TaxAnd</t>
        </is>
      </c>
      <c r="C43" s="15" t="inlineStr">
        <is>
          <t>Taxand Global</t>
        </is>
      </c>
      <c r="D43" s="15" t="inlineStr">
        <is>
          <t>Arsene TaxAnd</t>
        </is>
      </c>
      <c r="E43" s="15" t="inlineStr">
        <is>
          <t>No</t>
        </is>
      </c>
      <c r="F43" s="15" t="inlineStr">
        <is>
          <t>Active</t>
        </is>
      </c>
      <c r="G43" s="25" t="n"/>
      <c r="H43" s="17" t="n">
        <v>1</v>
      </c>
      <c r="I43" s="26" t="n"/>
      <c r="J43" s="26" t="n"/>
      <c r="K43" s="25" t="n"/>
      <c r="L43" s="25" t="n"/>
      <c r="M43" s="25" t="n"/>
      <c r="N43" s="25" t="n"/>
      <c r="O43" s="25" t="n"/>
      <c r="P43" s="25" t="n"/>
      <c r="Q43" s="19">
        <f>IF($A43="","",COUNTIFS(Assignments!$C$2:$C$769,$A43,Assignments!$G$2:$G$769,"Active"))</f>
        <v/>
      </c>
      <c r="R43" s="20">
        <f>IF($A43="","",SUMIFS(Assignments!$I$2:$I$769,Assignments!$C$2:$C$769,$A43,Assignments!$G$2:$G$769,"Active"))</f>
        <v/>
      </c>
      <c r="S43" s="16" t="inlineStr">
        <is>
          <t>Proposal + WIP (duplicate rows merged)</t>
        </is>
      </c>
      <c r="T43" s="27" t="n"/>
      <c r="U43" s="25" t="n"/>
      <c r="V43" s="22">
        <f>IF($U43="","",IFERROR(INDEX(Templates!$K$3:$K$10,MATCH($U43,Templates!$A$3:$A$10,0)),""))</f>
        <v/>
      </c>
      <c r="W43" s="22">
        <f>IF($U43="","",IFERROR(INDEX(Templates!$L$3:$L$10,MATCH($U43,Templates!$A$3:$A$10,0)),""))</f>
        <v/>
      </c>
      <c r="X43" s="23">
        <f>IF($U43="","",IFERROR(INDEX(Templates!$J$3:$J$10,MATCH($U43,Templates!$A$3:$A$10,0)),""))</f>
        <v/>
      </c>
      <c r="Y43" s="24">
        <f>IF(OR($U43="",$I43="",$J43="",$X43=""),"",$I43+$X43*($J43-$I43))</f>
        <v/>
      </c>
    </row>
    <row r="44">
      <c r="A44" s="15" t="inlineStr">
        <is>
          <t>Cotton_1</t>
        </is>
      </c>
      <c r="B44" s="16" t="inlineStr">
        <is>
          <t>Northleaf Capital Partners</t>
        </is>
      </c>
      <c r="C44" s="15" t="inlineStr">
        <is>
          <t>Northleaf Capital Partners</t>
        </is>
      </c>
      <c r="D44" s="15" t="inlineStr"/>
      <c r="E44" s="15" t="inlineStr">
        <is>
          <t>No</t>
        </is>
      </c>
      <c r="F44" s="15" t="inlineStr">
        <is>
          <t>Active</t>
        </is>
      </c>
      <c r="G44" s="25" t="n"/>
      <c r="H44" s="17" t="n">
        <v>1</v>
      </c>
      <c r="I44" s="26" t="n"/>
      <c r="J44" s="26" t="n"/>
      <c r="K44" s="25" t="n"/>
      <c r="L44" s="25" t="n"/>
      <c r="M44" s="25" t="n"/>
      <c r="N44" s="25" t="n"/>
      <c r="O44" s="25" t="n"/>
      <c r="P44" s="25" t="n"/>
      <c r="Q44" s="19">
        <f>IF($A44="","",COUNTIFS(Assignments!$C$2:$C$769,$A44,Assignments!$G$2:$G$769,"Active"))</f>
        <v/>
      </c>
      <c r="R44" s="20">
        <f>IF($A44="","",SUMIFS(Assignments!$I$2:$I$769,Assignments!$C$2:$C$769,$A44,Assignments!$G$2:$G$769,"Active"))</f>
        <v/>
      </c>
      <c r="S44" s="16" t="inlineStr">
        <is>
          <t>WIP</t>
        </is>
      </c>
      <c r="T44" s="27" t="n"/>
      <c r="U44" s="25" t="n"/>
      <c r="V44" s="22">
        <f>IF($U44="","",IFERROR(INDEX(Templates!$K$3:$K$10,MATCH($U44,Templates!$A$3:$A$10,0)),""))</f>
        <v/>
      </c>
      <c r="W44" s="22">
        <f>IF($U44="","",IFERROR(INDEX(Templates!$L$3:$L$10,MATCH($U44,Templates!$A$3:$A$10,0)),""))</f>
        <v/>
      </c>
      <c r="X44" s="23">
        <f>IF($U44="","",IFERROR(INDEX(Templates!$J$3:$J$10,MATCH($U44,Templates!$A$3:$A$10,0)),""))</f>
        <v/>
      </c>
      <c r="Y44" s="24">
        <f>IF(OR($U44="",$I44="",$J44="",$X44=""),"",$I44+$X44*($J44-$I44))</f>
        <v/>
      </c>
    </row>
    <row r="45">
      <c r="A45" s="15" t="inlineStr">
        <is>
          <t>Cowboy_1</t>
        </is>
      </c>
      <c r="B45" s="16" t="inlineStr">
        <is>
          <t>Enbridge</t>
        </is>
      </c>
      <c r="C45" s="15" t="inlineStr">
        <is>
          <t>Enbridge</t>
        </is>
      </c>
      <c r="D45" s="15" t="inlineStr"/>
      <c r="E45" s="15" t="inlineStr">
        <is>
          <t>No</t>
        </is>
      </c>
      <c r="F45" s="15" t="inlineStr">
        <is>
          <t>Active</t>
        </is>
      </c>
      <c r="G45" s="25" t="n"/>
      <c r="H45" s="17" t="n">
        <v>1</v>
      </c>
      <c r="I45" s="26" t="n"/>
      <c r="J45" s="26" t="n"/>
      <c r="K45" s="25" t="n"/>
      <c r="L45" s="25" t="n"/>
      <c r="M45" s="25" t="n"/>
      <c r="N45" s="25" t="n"/>
      <c r="O45" s="25" t="n"/>
      <c r="P45" s="25" t="n"/>
      <c r="Q45" s="19">
        <f>IF($A45="","",COUNTIFS(Assignments!$C$2:$C$769,$A45,Assignments!$G$2:$G$769,"Active"))</f>
        <v/>
      </c>
      <c r="R45" s="20">
        <f>IF($A45="","",SUMIFS(Assignments!$I$2:$I$769,Assignments!$C$2:$C$769,$A45,Assignments!$G$2:$G$769,"Active"))</f>
        <v/>
      </c>
      <c r="S45" s="16" t="inlineStr">
        <is>
          <t>WIP</t>
        </is>
      </c>
      <c r="T45" s="27" t="n"/>
      <c r="U45" s="25" t="n"/>
      <c r="V45" s="22">
        <f>IF($U45="","",IFERROR(INDEX(Templates!$K$3:$K$10,MATCH($U45,Templates!$A$3:$A$10,0)),""))</f>
        <v/>
      </c>
      <c r="W45" s="22">
        <f>IF($U45="","",IFERROR(INDEX(Templates!$L$3:$L$10,MATCH($U45,Templates!$A$3:$A$10,0)),""))</f>
        <v/>
      </c>
      <c r="X45" s="23">
        <f>IF($U45="","",IFERROR(INDEX(Templates!$J$3:$J$10,MATCH($U45,Templates!$A$3:$A$10,0)),""))</f>
        <v/>
      </c>
      <c r="Y45" s="24">
        <f>IF(OR($U45="",$I45="",$J45="",$X45=""),"",$I45+$X45*($J45-$I45))</f>
        <v/>
      </c>
    </row>
    <row r="46">
      <c r="A46" s="15" t="inlineStr">
        <is>
          <t>Cross_1</t>
        </is>
      </c>
      <c r="B46" s="16" t="inlineStr">
        <is>
          <t>Solertia MGA Ltd.</t>
        </is>
      </c>
      <c r="C46" s="15" t="inlineStr">
        <is>
          <t>Solertia MGA Ltd.</t>
        </is>
      </c>
      <c r="D46" s="15" t="inlineStr"/>
      <c r="E46" s="15" t="inlineStr">
        <is>
          <t>No</t>
        </is>
      </c>
      <c r="F46" s="15" t="inlineStr">
        <is>
          <t>Active</t>
        </is>
      </c>
      <c r="G46" s="25" t="n"/>
      <c r="H46" s="17" t="n">
        <v>1</v>
      </c>
      <c r="I46" s="26" t="n"/>
      <c r="J46" s="26" t="n"/>
      <c r="K46" s="25" t="n"/>
      <c r="L46" s="25" t="n"/>
      <c r="M46" s="25" t="n"/>
      <c r="N46" s="25" t="n"/>
      <c r="O46" s="25" t="n"/>
      <c r="P46" s="25" t="n"/>
      <c r="Q46" s="19">
        <f>IF($A46="","",COUNTIFS(Assignments!$C$2:$C$769,$A46,Assignments!$G$2:$G$769,"Active"))</f>
        <v/>
      </c>
      <c r="R46" s="20">
        <f>IF($A46="","",SUMIFS(Assignments!$I$2:$I$769,Assignments!$C$2:$C$769,$A46,Assignments!$G$2:$G$769,"Active"))</f>
        <v/>
      </c>
      <c r="S46" s="16" t="inlineStr">
        <is>
          <t>WIP</t>
        </is>
      </c>
      <c r="T46" s="27" t="n"/>
      <c r="U46" s="25" t="n"/>
      <c r="V46" s="22">
        <f>IF($U46="","",IFERROR(INDEX(Templates!$K$3:$K$10,MATCH($U46,Templates!$A$3:$A$10,0)),""))</f>
        <v/>
      </c>
      <c r="W46" s="22">
        <f>IF($U46="","",IFERROR(INDEX(Templates!$L$3:$L$10,MATCH($U46,Templates!$A$3:$A$10,0)),""))</f>
        <v/>
      </c>
      <c r="X46" s="23">
        <f>IF($U46="","",IFERROR(INDEX(Templates!$J$3:$J$10,MATCH($U46,Templates!$A$3:$A$10,0)),""))</f>
        <v/>
      </c>
      <c r="Y46" s="24">
        <f>IF(OR($U46="",$I46="",$J46="",$X46=""),"",$I46+$X46*($J46-$I46))</f>
        <v/>
      </c>
    </row>
    <row r="47">
      <c r="A47" s="15" t="inlineStr">
        <is>
          <t>Dawn_1</t>
        </is>
      </c>
      <c r="B47" s="16" t="inlineStr">
        <is>
          <t>Liberty GTS</t>
        </is>
      </c>
      <c r="C47" s="15" t="inlineStr">
        <is>
          <t>Liberty GTS</t>
        </is>
      </c>
      <c r="D47" s="15" t="inlineStr"/>
      <c r="E47" s="15" t="inlineStr">
        <is>
          <t>No</t>
        </is>
      </c>
      <c r="F47" s="15" t="inlineStr">
        <is>
          <t>Active</t>
        </is>
      </c>
      <c r="G47" s="25" t="n"/>
      <c r="H47" s="17" t="n">
        <v>1</v>
      </c>
      <c r="I47" s="26" t="n"/>
      <c r="J47" s="26" t="n"/>
      <c r="K47" s="25" t="n"/>
      <c r="L47" s="25" t="n"/>
      <c r="M47" s="25" t="n"/>
      <c r="N47" s="25" t="n"/>
      <c r="O47" s="25" t="n"/>
      <c r="P47" s="25" t="n"/>
      <c r="Q47" s="19">
        <f>IF($A47="","",COUNTIFS(Assignments!$C$2:$C$769,$A47,Assignments!$G$2:$G$769,"Active"))</f>
        <v/>
      </c>
      <c r="R47" s="20">
        <f>IF($A47="","",SUMIFS(Assignments!$I$2:$I$769,Assignments!$C$2:$C$769,$A47,Assignments!$G$2:$G$769,"Active"))</f>
        <v/>
      </c>
      <c r="S47" s="16" t="inlineStr">
        <is>
          <t>WIP</t>
        </is>
      </c>
      <c r="T47" s="27" t="n"/>
      <c r="U47" s="25" t="n"/>
      <c r="V47" s="22">
        <f>IF($U47="","",IFERROR(INDEX(Templates!$K$3:$K$10,MATCH($U47,Templates!$A$3:$A$10,0)),""))</f>
        <v/>
      </c>
      <c r="W47" s="22">
        <f>IF($U47="","",IFERROR(INDEX(Templates!$L$3:$L$10,MATCH($U47,Templates!$A$3:$A$10,0)),""))</f>
        <v/>
      </c>
      <c r="X47" s="23">
        <f>IF($U47="","",IFERROR(INDEX(Templates!$J$3:$J$10,MATCH($U47,Templates!$A$3:$A$10,0)),""))</f>
        <v/>
      </c>
      <c r="Y47" s="24">
        <f>IF(OR($U47="",$I47="",$J47="",$X47=""),"",$I47+$X47*($J47-$I47))</f>
        <v/>
      </c>
    </row>
    <row r="48">
      <c r="A48" s="15" t="inlineStr">
        <is>
          <t>DEBT analysis_1</t>
        </is>
      </c>
      <c r="B48" s="16" t="inlineStr">
        <is>
          <t>Arsene TaxAnd</t>
        </is>
      </c>
      <c r="C48" s="15" t="inlineStr">
        <is>
          <t>Arsene TaxAnd</t>
        </is>
      </c>
      <c r="D48" s="15" t="inlineStr"/>
      <c r="E48" s="15" t="inlineStr">
        <is>
          <t>No</t>
        </is>
      </c>
      <c r="F48" s="15" t="inlineStr">
        <is>
          <t>Active</t>
        </is>
      </c>
      <c r="G48" s="25" t="n"/>
      <c r="H48" s="17" t="n">
        <v>1</v>
      </c>
      <c r="I48" s="26" t="n"/>
      <c r="J48" s="26" t="n"/>
      <c r="K48" s="25" t="n"/>
      <c r="L48" s="25" t="n"/>
      <c r="M48" s="25" t="n"/>
      <c r="N48" s="25" t="n"/>
      <c r="O48" s="25" t="n"/>
      <c r="P48" s="25" t="n"/>
      <c r="Q48" s="19">
        <f>IF($A48="","",COUNTIFS(Assignments!$C$2:$C$769,$A48,Assignments!$G$2:$G$769,"Active"))</f>
        <v/>
      </c>
      <c r="R48" s="20">
        <f>IF($A48="","",SUMIFS(Assignments!$I$2:$I$769,Assignments!$C$2:$C$769,$A48,Assignments!$G$2:$G$769,"Active"))</f>
        <v/>
      </c>
      <c r="S48" s="16" t="inlineStr">
        <is>
          <t>WIP</t>
        </is>
      </c>
      <c r="T48" s="27" t="n"/>
      <c r="U48" s="25" t="n"/>
      <c r="V48" s="22">
        <f>IF($U48="","",IFERROR(INDEX(Templates!$K$3:$K$10,MATCH($U48,Templates!$A$3:$A$10,0)),""))</f>
        <v/>
      </c>
      <c r="W48" s="22">
        <f>IF($U48="","",IFERROR(INDEX(Templates!$L$3:$L$10,MATCH($U48,Templates!$A$3:$A$10,0)),""))</f>
        <v/>
      </c>
      <c r="X48" s="23">
        <f>IF($U48="","",IFERROR(INDEX(Templates!$J$3:$J$10,MATCH($U48,Templates!$A$3:$A$10,0)),""))</f>
        <v/>
      </c>
      <c r="Y48" s="24">
        <f>IF(OR($U48="",$I48="",$J48="",$X48=""),"",$I48+$X48*($J48-$I48))</f>
        <v/>
      </c>
    </row>
    <row r="49">
      <c r="A49" s="15" t="inlineStr">
        <is>
          <t>Delaware_1</t>
        </is>
      </c>
      <c r="B49" s="16" t="inlineStr">
        <is>
          <t>CDS</t>
        </is>
      </c>
      <c r="C49" s="15" t="inlineStr">
        <is>
          <t>CDS</t>
        </is>
      </c>
      <c r="D49" s="15" t="inlineStr"/>
      <c r="E49" s="15" t="inlineStr">
        <is>
          <t>No</t>
        </is>
      </c>
      <c r="F49" s="15" t="inlineStr">
        <is>
          <t>Active</t>
        </is>
      </c>
      <c r="G49" s="25" t="n"/>
      <c r="H49" s="17" t="n">
        <v>1</v>
      </c>
      <c r="I49" s="26" t="n"/>
      <c r="J49" s="26" t="n"/>
      <c r="K49" s="25" t="n"/>
      <c r="L49" s="25" t="n"/>
      <c r="M49" s="25" t="n"/>
      <c r="N49" s="25" t="n"/>
      <c r="O49" s="25" t="n"/>
      <c r="P49" s="25" t="n"/>
      <c r="Q49" s="19">
        <f>IF($A49="","",COUNTIFS(Assignments!$C$2:$C$769,$A49,Assignments!$G$2:$G$769,"Active"))</f>
        <v/>
      </c>
      <c r="R49" s="20">
        <f>IF($A49="","",SUMIFS(Assignments!$I$2:$I$769,Assignments!$C$2:$C$769,$A49,Assignments!$G$2:$G$769,"Active"))</f>
        <v/>
      </c>
      <c r="S49" s="16" t="inlineStr">
        <is>
          <t>WIP</t>
        </is>
      </c>
      <c r="T49" s="27" t="n"/>
      <c r="U49" s="25" t="n"/>
      <c r="V49" s="22">
        <f>IF($U49="","",IFERROR(INDEX(Templates!$K$3:$K$10,MATCH($U49,Templates!$A$3:$A$10,0)),""))</f>
        <v/>
      </c>
      <c r="W49" s="22">
        <f>IF($U49="","",IFERROR(INDEX(Templates!$L$3:$L$10,MATCH($U49,Templates!$A$3:$A$10,0)),""))</f>
        <v/>
      </c>
      <c r="X49" s="23">
        <f>IF($U49="","",IFERROR(INDEX(Templates!$J$3:$J$10,MATCH($U49,Templates!$A$3:$A$10,0)),""))</f>
        <v/>
      </c>
      <c r="Y49" s="24">
        <f>IF(OR($U49="",$I49="",$J49="",$X49=""),"",$I49+$X49*($J49-$I49))</f>
        <v/>
      </c>
    </row>
    <row r="50">
      <c r="A50" s="15" t="inlineStr">
        <is>
          <t>Denali_3</t>
        </is>
      </c>
      <c r="B50" s="16" t="inlineStr">
        <is>
          <t>ECP</t>
        </is>
      </c>
      <c r="C50" s="15" t="inlineStr">
        <is>
          <t>ECP</t>
        </is>
      </c>
      <c r="D50" s="15" t="inlineStr"/>
      <c r="E50" s="15" t="inlineStr">
        <is>
          <t>No</t>
        </is>
      </c>
      <c r="F50" s="15" t="inlineStr">
        <is>
          <t>Active</t>
        </is>
      </c>
      <c r="G50" s="25" t="n"/>
      <c r="H50" s="17" t="n">
        <v>1</v>
      </c>
      <c r="I50" s="26" t="n"/>
      <c r="J50" s="26" t="n"/>
      <c r="K50" s="25" t="n"/>
      <c r="L50" s="25" t="n"/>
      <c r="M50" s="25" t="n"/>
      <c r="N50" s="25" t="n"/>
      <c r="O50" s="25" t="n"/>
      <c r="P50" s="25" t="n"/>
      <c r="Q50" s="19">
        <f>IF($A50="","",COUNTIFS(Assignments!$C$2:$C$769,$A50,Assignments!$G$2:$G$769,"Active"))</f>
        <v/>
      </c>
      <c r="R50" s="20">
        <f>IF($A50="","",SUMIFS(Assignments!$I$2:$I$769,Assignments!$C$2:$C$769,$A50,Assignments!$G$2:$G$769,"Active"))</f>
        <v/>
      </c>
      <c r="S50" s="16" t="inlineStr">
        <is>
          <t>WIP</t>
        </is>
      </c>
      <c r="T50" s="27" t="n"/>
      <c r="U50" s="25" t="n"/>
      <c r="V50" s="22">
        <f>IF($U50="","",IFERROR(INDEX(Templates!$K$3:$K$10,MATCH($U50,Templates!$A$3:$A$10,0)),""))</f>
        <v/>
      </c>
      <c r="W50" s="22">
        <f>IF($U50="","",IFERROR(INDEX(Templates!$L$3:$L$10,MATCH($U50,Templates!$A$3:$A$10,0)),""))</f>
        <v/>
      </c>
      <c r="X50" s="23">
        <f>IF($U50="","",IFERROR(INDEX(Templates!$J$3:$J$10,MATCH($U50,Templates!$A$3:$A$10,0)),""))</f>
        <v/>
      </c>
      <c r="Y50" s="24">
        <f>IF(OR($U50="",$I50="",$J50="",$X50=""),"",$I50+$X50*($J50-$I50))</f>
        <v/>
      </c>
    </row>
    <row r="51">
      <c r="A51" s="15" t="inlineStr">
        <is>
          <t>Denergy_1</t>
        </is>
      </c>
      <c r="B51" s="16" t="inlineStr">
        <is>
          <t>Denrgy LLC</t>
        </is>
      </c>
      <c r="C51" s="15" t="inlineStr">
        <is>
          <t>Denrgy LLC</t>
        </is>
      </c>
      <c r="D51" s="15" t="inlineStr"/>
      <c r="E51" s="15" t="inlineStr">
        <is>
          <t>No</t>
        </is>
      </c>
      <c r="F51" s="15" t="inlineStr">
        <is>
          <t>Active</t>
        </is>
      </c>
      <c r="G51" s="25" t="n"/>
      <c r="H51" s="17" t="n">
        <v>1</v>
      </c>
      <c r="I51" s="26" t="n"/>
      <c r="J51" s="26" t="n"/>
      <c r="K51" s="25" t="n"/>
      <c r="L51" s="25" t="n"/>
      <c r="M51" s="25" t="n"/>
      <c r="N51" s="25" t="n"/>
      <c r="O51" s="25" t="n"/>
      <c r="P51" s="25" t="n"/>
      <c r="Q51" s="19">
        <f>IF($A51="","",COUNTIFS(Assignments!$C$2:$C$769,$A51,Assignments!$G$2:$G$769,"Active"))</f>
        <v/>
      </c>
      <c r="R51" s="20">
        <f>IF($A51="","",SUMIFS(Assignments!$I$2:$I$769,Assignments!$C$2:$C$769,$A51,Assignments!$G$2:$G$769,"Active"))</f>
        <v/>
      </c>
      <c r="S51" s="16" t="inlineStr">
        <is>
          <t>WIP</t>
        </is>
      </c>
      <c r="T51" s="27" t="n"/>
      <c r="U51" s="25" t="n"/>
      <c r="V51" s="22">
        <f>IF($U51="","",IFERROR(INDEX(Templates!$K$3:$K$10,MATCH($U51,Templates!$A$3:$A$10,0)),""))</f>
        <v/>
      </c>
      <c r="W51" s="22">
        <f>IF($U51="","",IFERROR(INDEX(Templates!$L$3:$L$10,MATCH($U51,Templates!$A$3:$A$10,0)),""))</f>
        <v/>
      </c>
      <c r="X51" s="23">
        <f>IF($U51="","",IFERROR(INDEX(Templates!$J$3:$J$10,MATCH($U51,Templates!$A$3:$A$10,0)),""))</f>
        <v/>
      </c>
      <c r="Y51" s="24">
        <f>IF(OR($U51="",$I51="",$J51="",$X51=""),"",$I51+$X51*($J51-$I51))</f>
        <v/>
      </c>
    </row>
    <row r="52">
      <c r="A52" s="15" t="inlineStr">
        <is>
          <t>Dental_1</t>
        </is>
      </c>
      <c r="B52" s="16" t="inlineStr">
        <is>
          <t>Thurston Group, LLC</t>
        </is>
      </c>
      <c r="C52" s="15" t="inlineStr">
        <is>
          <t>Thurston Group, LLC</t>
        </is>
      </c>
      <c r="D52" s="15" t="inlineStr"/>
      <c r="E52" s="15" t="inlineStr">
        <is>
          <t>No</t>
        </is>
      </c>
      <c r="F52" s="15" t="inlineStr">
        <is>
          <t>Active</t>
        </is>
      </c>
      <c r="G52" s="25" t="n"/>
      <c r="H52" s="17" t="n">
        <v>1</v>
      </c>
      <c r="I52" s="26" t="n"/>
      <c r="J52" s="26" t="n"/>
      <c r="K52" s="25" t="n"/>
      <c r="L52" s="25" t="n"/>
      <c r="M52" s="25" t="n"/>
      <c r="N52" s="25" t="n"/>
      <c r="O52" s="25" t="n"/>
      <c r="P52" s="25" t="n"/>
      <c r="Q52" s="19">
        <f>IF($A52="","",COUNTIFS(Assignments!$C$2:$C$769,$A52,Assignments!$G$2:$G$769,"Active"))</f>
        <v/>
      </c>
      <c r="R52" s="20">
        <f>IF($A52="","",SUMIFS(Assignments!$I$2:$I$769,Assignments!$C$2:$C$769,$A52,Assignments!$G$2:$G$769,"Active"))</f>
        <v/>
      </c>
      <c r="S52" s="16" t="inlineStr">
        <is>
          <t>WIP</t>
        </is>
      </c>
      <c r="T52" s="27" t="n"/>
      <c r="U52" s="25" t="n"/>
      <c r="V52" s="22">
        <f>IF($U52="","",IFERROR(INDEX(Templates!$K$3:$K$10,MATCH($U52,Templates!$A$3:$A$10,0)),""))</f>
        <v/>
      </c>
      <c r="W52" s="22">
        <f>IF($U52="","",IFERROR(INDEX(Templates!$L$3:$L$10,MATCH($U52,Templates!$A$3:$A$10,0)),""))</f>
        <v/>
      </c>
      <c r="X52" s="23">
        <f>IF($U52="","",IFERROR(INDEX(Templates!$J$3:$J$10,MATCH($U52,Templates!$A$3:$A$10,0)),""))</f>
        <v/>
      </c>
      <c r="Y52" s="24">
        <f>IF(OR($U52="",$I52="",$J52="",$X52=""),"",$I52+$X52*($J52-$I52))</f>
        <v/>
      </c>
    </row>
    <row r="53">
      <c r="A53" s="15" t="inlineStr">
        <is>
          <t>Destiny_1</t>
        </is>
      </c>
      <c r="B53" s="16" t="inlineStr">
        <is>
          <t>Euclid Transactional</t>
        </is>
      </c>
      <c r="C53" s="15" t="inlineStr">
        <is>
          <t>Euclid Transactional</t>
        </is>
      </c>
      <c r="D53" s="15" t="inlineStr"/>
      <c r="E53" s="15" t="inlineStr">
        <is>
          <t>No</t>
        </is>
      </c>
      <c r="F53" s="15" t="inlineStr">
        <is>
          <t>Active</t>
        </is>
      </c>
      <c r="G53" s="25" t="n"/>
      <c r="H53" s="17" t="n">
        <v>1</v>
      </c>
      <c r="I53" s="26" t="n"/>
      <c r="J53" s="26" t="n"/>
      <c r="K53" s="25" t="n"/>
      <c r="L53" s="25" t="n"/>
      <c r="M53" s="25" t="n"/>
      <c r="N53" s="25" t="n"/>
      <c r="O53" s="25" t="n"/>
      <c r="P53" s="25" t="n"/>
      <c r="Q53" s="19">
        <f>IF($A53="","",COUNTIFS(Assignments!$C$2:$C$769,$A53,Assignments!$G$2:$G$769,"Active"))</f>
        <v/>
      </c>
      <c r="R53" s="20">
        <f>IF($A53="","",SUMIFS(Assignments!$I$2:$I$769,Assignments!$C$2:$C$769,$A53,Assignments!$G$2:$G$769,"Active"))</f>
        <v/>
      </c>
      <c r="S53" s="16" t="inlineStr">
        <is>
          <t>WIP</t>
        </is>
      </c>
      <c r="T53" s="27" t="n"/>
      <c r="U53" s="25" t="n"/>
      <c r="V53" s="22">
        <f>IF($U53="","",IFERROR(INDEX(Templates!$K$3:$K$10,MATCH($U53,Templates!$A$3:$A$10,0)),""))</f>
        <v/>
      </c>
      <c r="W53" s="22">
        <f>IF($U53="","",IFERROR(INDEX(Templates!$L$3:$L$10,MATCH($U53,Templates!$A$3:$A$10,0)),""))</f>
        <v/>
      </c>
      <c r="X53" s="23">
        <f>IF($U53="","",IFERROR(INDEX(Templates!$J$3:$J$10,MATCH($U53,Templates!$A$3:$A$10,0)),""))</f>
        <v/>
      </c>
      <c r="Y53" s="24">
        <f>IF(OR($U53="",$I53="",$J53="",$X53=""),"",$I53+$X53*($J53-$I53))</f>
        <v/>
      </c>
    </row>
    <row r="54">
      <c r="A54" s="15" t="inlineStr">
        <is>
          <t>DIF - Diverso_1</t>
        </is>
      </c>
      <c r="B54" s="16" t="inlineStr">
        <is>
          <t>CVC Capital Partners : DIF Capital Partners : Diverso Energy</t>
        </is>
      </c>
      <c r="C54" s="15" t="inlineStr">
        <is>
          <t>CVC Capital Partners</t>
        </is>
      </c>
      <c r="D54" s="15" t="inlineStr">
        <is>
          <t>Diverso Energy</t>
        </is>
      </c>
      <c r="E54" s="15" t="inlineStr">
        <is>
          <t>No</t>
        </is>
      </c>
      <c r="F54" s="15" t="inlineStr">
        <is>
          <t>Active</t>
        </is>
      </c>
      <c r="G54" s="25" t="n"/>
      <c r="H54" s="17" t="n">
        <v>1</v>
      </c>
      <c r="I54" s="26" t="n"/>
      <c r="J54" s="26" t="n"/>
      <c r="K54" s="25" t="n"/>
      <c r="L54" s="25" t="n"/>
      <c r="M54" s="25" t="n"/>
      <c r="N54" s="25" t="n"/>
      <c r="O54" s="25" t="n"/>
      <c r="P54" s="25" t="n"/>
      <c r="Q54" s="19">
        <f>IF($A54="","",COUNTIFS(Assignments!$C$2:$C$769,$A54,Assignments!$G$2:$G$769,"Active"))</f>
        <v/>
      </c>
      <c r="R54" s="20">
        <f>IF($A54="","",SUMIFS(Assignments!$I$2:$I$769,Assignments!$C$2:$C$769,$A54,Assignments!$G$2:$G$769,"Active"))</f>
        <v/>
      </c>
      <c r="S54" s="16" t="inlineStr">
        <is>
          <t>WIP</t>
        </is>
      </c>
      <c r="T54" s="27" t="n"/>
      <c r="U54" s="25" t="n"/>
      <c r="V54" s="22">
        <f>IF($U54="","",IFERROR(INDEX(Templates!$K$3:$K$10,MATCH($U54,Templates!$A$3:$A$10,0)),""))</f>
        <v/>
      </c>
      <c r="W54" s="22">
        <f>IF($U54="","",IFERROR(INDEX(Templates!$L$3:$L$10,MATCH($U54,Templates!$A$3:$A$10,0)),""))</f>
        <v/>
      </c>
      <c r="X54" s="23">
        <f>IF($U54="","",IFERROR(INDEX(Templates!$J$3:$J$10,MATCH($U54,Templates!$A$3:$A$10,0)),""))</f>
        <v/>
      </c>
      <c r="Y54" s="24">
        <f>IF(OR($U54="",$I54="",$J54="",$X54=""),"",$I54+$X54*($J54-$I54))</f>
        <v/>
      </c>
    </row>
    <row r="55">
      <c r="A55" s="15" t="inlineStr">
        <is>
          <t>DIF Brahms_1</t>
        </is>
      </c>
      <c r="B55" s="16" t="inlineStr">
        <is>
          <t>CVC Capital Partners : DIF Capital Partners</t>
        </is>
      </c>
      <c r="C55" s="15" t="inlineStr">
        <is>
          <t>CVC Capital Partners</t>
        </is>
      </c>
      <c r="D55" s="15" t="inlineStr">
        <is>
          <t>DIF Capital Partners</t>
        </is>
      </c>
      <c r="E55" s="15" t="inlineStr">
        <is>
          <t>No</t>
        </is>
      </c>
      <c r="F55" s="15" t="inlineStr">
        <is>
          <t>Active</t>
        </is>
      </c>
      <c r="G55" s="25" t="n"/>
      <c r="H55" s="17" t="n">
        <v>1</v>
      </c>
      <c r="I55" s="26" t="n"/>
      <c r="J55" s="26" t="n"/>
      <c r="K55" s="25" t="n"/>
      <c r="L55" s="25" t="n"/>
      <c r="M55" s="25" t="n"/>
      <c r="N55" s="25" t="n"/>
      <c r="O55" s="25" t="n"/>
      <c r="P55" s="25" t="n"/>
      <c r="Q55" s="19">
        <f>IF($A55="","",COUNTIFS(Assignments!$C$2:$C$769,$A55,Assignments!$G$2:$G$769,"Active"))</f>
        <v/>
      </c>
      <c r="R55" s="20">
        <f>IF($A55="","",SUMIFS(Assignments!$I$2:$I$769,Assignments!$C$2:$C$769,$A55,Assignments!$G$2:$G$769,"Active"))</f>
        <v/>
      </c>
      <c r="S55" s="16" t="inlineStr">
        <is>
          <t>WIP</t>
        </is>
      </c>
      <c r="T55" s="27" t="n"/>
      <c r="U55" s="25" t="n"/>
      <c r="V55" s="22">
        <f>IF($U55="","",IFERROR(INDEX(Templates!$K$3:$K$10,MATCH($U55,Templates!$A$3:$A$10,0)),""))</f>
        <v/>
      </c>
      <c r="W55" s="22">
        <f>IF($U55="","",IFERROR(INDEX(Templates!$L$3:$L$10,MATCH($U55,Templates!$A$3:$A$10,0)),""))</f>
        <v/>
      </c>
      <c r="X55" s="23">
        <f>IF($U55="","",IFERROR(INDEX(Templates!$J$3:$J$10,MATCH($U55,Templates!$A$3:$A$10,0)),""))</f>
        <v/>
      </c>
      <c r="Y55" s="24">
        <f>IF(OR($U55="",$I55="",$J55="",$X55=""),"",$I55+$X55*($J55-$I55))</f>
        <v/>
      </c>
    </row>
    <row r="56">
      <c r="A56" s="15" t="inlineStr">
        <is>
          <t>DIF Twister_2</t>
        </is>
      </c>
      <c r="B56" s="16" t="inlineStr">
        <is>
          <t>DIF Infra 4 US LLC</t>
        </is>
      </c>
      <c r="C56" s="15" t="inlineStr">
        <is>
          <t>DIF Infra 4 US LLC</t>
        </is>
      </c>
      <c r="D56" s="15" t="inlineStr"/>
      <c r="E56" s="15" t="inlineStr">
        <is>
          <t>No</t>
        </is>
      </c>
      <c r="F56" s="15" t="inlineStr">
        <is>
          <t>Active</t>
        </is>
      </c>
      <c r="G56" s="25" t="n"/>
      <c r="H56" s="17" t="n">
        <v>1</v>
      </c>
      <c r="I56" s="26" t="n"/>
      <c r="J56" s="26" t="n"/>
      <c r="K56" s="25" t="n"/>
      <c r="L56" s="25" t="n"/>
      <c r="M56" s="25" t="n"/>
      <c r="N56" s="25" t="n"/>
      <c r="O56" s="25" t="n"/>
      <c r="P56" s="25" t="n"/>
      <c r="Q56" s="19">
        <f>IF($A56="","",COUNTIFS(Assignments!$C$2:$C$769,$A56,Assignments!$G$2:$G$769,"Active"))</f>
        <v/>
      </c>
      <c r="R56" s="20">
        <f>IF($A56="","",SUMIFS(Assignments!$I$2:$I$769,Assignments!$C$2:$C$769,$A56,Assignments!$G$2:$G$769,"Active"))</f>
        <v/>
      </c>
      <c r="S56" s="16" t="inlineStr">
        <is>
          <t>WIP</t>
        </is>
      </c>
      <c r="T56" s="27" t="n"/>
      <c r="U56" s="25" t="n"/>
      <c r="V56" s="22">
        <f>IF($U56="","",IFERROR(INDEX(Templates!$K$3:$K$10,MATCH($U56,Templates!$A$3:$A$10,0)),""))</f>
        <v/>
      </c>
      <c r="W56" s="22">
        <f>IF($U56="","",IFERROR(INDEX(Templates!$L$3:$L$10,MATCH($U56,Templates!$A$3:$A$10,0)),""))</f>
        <v/>
      </c>
      <c r="X56" s="23">
        <f>IF($U56="","",IFERROR(INDEX(Templates!$J$3:$J$10,MATCH($U56,Templates!$A$3:$A$10,0)),""))</f>
        <v/>
      </c>
      <c r="Y56" s="24">
        <f>IF(OR($U56="",$I56="",$J56="",$X56=""),"",$I56+$X56*($J56-$I56))</f>
        <v/>
      </c>
    </row>
    <row r="57">
      <c r="A57" s="15" t="inlineStr">
        <is>
          <t>Diploma_1</t>
        </is>
      </c>
      <c r="B57" s="16" t="inlineStr">
        <is>
          <t>Beacon Software, Inc.</t>
        </is>
      </c>
      <c r="C57" s="15" t="inlineStr">
        <is>
          <t>Beacon Software, Inc.</t>
        </is>
      </c>
      <c r="D57" s="15" t="inlineStr"/>
      <c r="E57" s="15" t="inlineStr">
        <is>
          <t>No</t>
        </is>
      </c>
      <c r="F57" s="15" t="inlineStr">
        <is>
          <t>Active</t>
        </is>
      </c>
      <c r="G57" s="25" t="n"/>
      <c r="H57" s="17" t="n">
        <v>1</v>
      </c>
      <c r="I57" s="26" t="n"/>
      <c r="J57" s="26" t="n"/>
      <c r="K57" s="25" t="n"/>
      <c r="L57" s="25" t="n"/>
      <c r="M57" s="25" t="n"/>
      <c r="N57" s="25" t="n"/>
      <c r="O57" s="25" t="n"/>
      <c r="P57" s="25" t="n"/>
      <c r="Q57" s="19">
        <f>IF($A57="","",COUNTIFS(Assignments!$C$2:$C$769,$A57,Assignments!$G$2:$G$769,"Active"))</f>
        <v/>
      </c>
      <c r="R57" s="20">
        <f>IF($A57="","",SUMIFS(Assignments!$I$2:$I$769,Assignments!$C$2:$C$769,$A57,Assignments!$G$2:$G$769,"Active"))</f>
        <v/>
      </c>
      <c r="S57" s="16" t="inlineStr">
        <is>
          <t>WIP</t>
        </is>
      </c>
      <c r="T57" s="27" t="n"/>
      <c r="U57" s="25" t="n"/>
      <c r="V57" s="22">
        <f>IF($U57="","",IFERROR(INDEX(Templates!$K$3:$K$10,MATCH($U57,Templates!$A$3:$A$10,0)),""))</f>
        <v/>
      </c>
      <c r="W57" s="22">
        <f>IF($U57="","",IFERROR(INDEX(Templates!$L$3:$L$10,MATCH($U57,Templates!$A$3:$A$10,0)),""))</f>
        <v/>
      </c>
      <c r="X57" s="23">
        <f>IF($U57="","",IFERROR(INDEX(Templates!$J$3:$J$10,MATCH($U57,Templates!$A$3:$A$10,0)),""))</f>
        <v/>
      </c>
      <c r="Y57" s="24">
        <f>IF(OR($U57="",$I57="",$J57="",$X57=""),"",$I57+$X57*($J57-$I57))</f>
        <v/>
      </c>
    </row>
    <row r="58">
      <c r="A58" s="15" t="inlineStr">
        <is>
          <t>Doc_1</t>
        </is>
      </c>
      <c r="B58" s="16" t="inlineStr">
        <is>
          <t>Ethos Specialty Insurance Services</t>
        </is>
      </c>
      <c r="C58" s="15" t="inlineStr">
        <is>
          <t>Ethos Specialty Insurance Services</t>
        </is>
      </c>
      <c r="D58" s="15" t="inlineStr"/>
      <c r="E58" s="15" t="inlineStr">
        <is>
          <t>No</t>
        </is>
      </c>
      <c r="F58" s="15" t="inlineStr">
        <is>
          <t>Active</t>
        </is>
      </c>
      <c r="G58" s="25" t="n"/>
      <c r="H58" s="17" t="n">
        <v>1</v>
      </c>
      <c r="I58" s="26" t="n"/>
      <c r="J58" s="26" t="n"/>
      <c r="K58" s="25" t="n"/>
      <c r="L58" s="25" t="n"/>
      <c r="M58" s="25" t="n"/>
      <c r="N58" s="25" t="n"/>
      <c r="O58" s="25" t="n"/>
      <c r="P58" s="25" t="n"/>
      <c r="Q58" s="19">
        <f>IF($A58="","",COUNTIFS(Assignments!$C$2:$C$769,$A58,Assignments!$G$2:$G$769,"Active"))</f>
        <v/>
      </c>
      <c r="R58" s="20">
        <f>IF($A58="","",SUMIFS(Assignments!$I$2:$I$769,Assignments!$C$2:$C$769,$A58,Assignments!$G$2:$G$769,"Active"))</f>
        <v/>
      </c>
      <c r="S58" s="16" t="inlineStr">
        <is>
          <t>WIP</t>
        </is>
      </c>
      <c r="T58" s="27" t="n"/>
      <c r="U58" s="25" t="n"/>
      <c r="V58" s="22">
        <f>IF($U58="","",IFERROR(INDEX(Templates!$K$3:$K$10,MATCH($U58,Templates!$A$3:$A$10,0)),""))</f>
        <v/>
      </c>
      <c r="W58" s="22">
        <f>IF($U58="","",IFERROR(INDEX(Templates!$L$3:$L$10,MATCH($U58,Templates!$A$3:$A$10,0)),""))</f>
        <v/>
      </c>
      <c r="X58" s="23">
        <f>IF($U58="","",IFERROR(INDEX(Templates!$J$3:$J$10,MATCH($U58,Templates!$A$3:$A$10,0)),""))</f>
        <v/>
      </c>
      <c r="Y58" s="24">
        <f>IF(OR($U58="",$I58="",$J58="",$X58=""),"",$I58+$X58*($J58-$I58))</f>
        <v/>
      </c>
    </row>
    <row r="59">
      <c r="A59" s="15" t="inlineStr">
        <is>
          <t>Dorsia_1</t>
        </is>
      </c>
      <c r="B59" s="16" t="inlineStr">
        <is>
          <t>Fengate</t>
        </is>
      </c>
      <c r="C59" s="15" t="inlineStr">
        <is>
          <t>Fengate</t>
        </is>
      </c>
      <c r="D59" s="15" t="inlineStr"/>
      <c r="E59" s="15" t="inlineStr">
        <is>
          <t>No</t>
        </is>
      </c>
      <c r="F59" s="15" t="inlineStr">
        <is>
          <t>Active</t>
        </is>
      </c>
      <c r="G59" s="25" t="n"/>
      <c r="H59" s="17" t="n">
        <v>1</v>
      </c>
      <c r="I59" s="26" t="n"/>
      <c r="J59" s="26" t="n"/>
      <c r="K59" s="25" t="n"/>
      <c r="L59" s="25" t="n"/>
      <c r="M59" s="25" t="n"/>
      <c r="N59" s="25" t="n"/>
      <c r="O59" s="25" t="n"/>
      <c r="P59" s="25" t="n"/>
      <c r="Q59" s="19">
        <f>IF($A59="","",COUNTIFS(Assignments!$C$2:$C$769,$A59,Assignments!$G$2:$G$769,"Active"))</f>
        <v/>
      </c>
      <c r="R59" s="20">
        <f>IF($A59="","",SUMIFS(Assignments!$I$2:$I$769,Assignments!$C$2:$C$769,$A59,Assignments!$G$2:$G$769,"Active"))</f>
        <v/>
      </c>
      <c r="S59" s="16" t="inlineStr">
        <is>
          <t>WIP</t>
        </is>
      </c>
      <c r="T59" s="27" t="n"/>
      <c r="U59" s="25" t="n"/>
      <c r="V59" s="22">
        <f>IF($U59="","",IFERROR(INDEX(Templates!$K$3:$K$10,MATCH($U59,Templates!$A$3:$A$10,0)),""))</f>
        <v/>
      </c>
      <c r="W59" s="22">
        <f>IF($U59="","",IFERROR(INDEX(Templates!$L$3:$L$10,MATCH($U59,Templates!$A$3:$A$10,0)),""))</f>
        <v/>
      </c>
      <c r="X59" s="23">
        <f>IF($U59="","",IFERROR(INDEX(Templates!$J$3:$J$10,MATCH($U59,Templates!$A$3:$A$10,0)),""))</f>
        <v/>
      </c>
      <c r="Y59" s="24">
        <f>IF(OR($U59="",$I59="",$J59="",$X59=""),"",$I59+$X59*($J59-$I59))</f>
        <v/>
      </c>
    </row>
    <row r="60">
      <c r="A60" s="15" t="inlineStr">
        <is>
          <t>Dupont_1</t>
        </is>
      </c>
      <c r="B60" s="16" t="inlineStr">
        <is>
          <t>Ares Management Corporation</t>
        </is>
      </c>
      <c r="C60" s="15" t="inlineStr">
        <is>
          <t>Ares Management Corporation</t>
        </is>
      </c>
      <c r="D60" s="15" t="inlineStr"/>
      <c r="E60" s="15" t="inlineStr">
        <is>
          <t>No</t>
        </is>
      </c>
      <c r="F60" s="15" t="inlineStr">
        <is>
          <t>Active</t>
        </is>
      </c>
      <c r="G60" s="25" t="n"/>
      <c r="H60" s="17" t="n">
        <v>1</v>
      </c>
      <c r="I60" s="26" t="n"/>
      <c r="J60" s="26" t="n"/>
      <c r="K60" s="25" t="n"/>
      <c r="L60" s="25" t="n"/>
      <c r="M60" s="25" t="n"/>
      <c r="N60" s="25" t="n"/>
      <c r="O60" s="25" t="n"/>
      <c r="P60" s="25" t="n"/>
      <c r="Q60" s="19">
        <f>IF($A60="","",COUNTIFS(Assignments!$C$2:$C$769,$A60,Assignments!$G$2:$G$769,"Active"))</f>
        <v/>
      </c>
      <c r="R60" s="20">
        <f>IF($A60="","",SUMIFS(Assignments!$I$2:$I$769,Assignments!$C$2:$C$769,$A60,Assignments!$G$2:$G$769,"Active"))</f>
        <v/>
      </c>
      <c r="S60" s="16" t="inlineStr">
        <is>
          <t>WIP</t>
        </is>
      </c>
      <c r="T60" s="27" t="n"/>
      <c r="U60" s="25" t="n"/>
      <c r="V60" s="22">
        <f>IF($U60="","",IFERROR(INDEX(Templates!$K$3:$K$10,MATCH($U60,Templates!$A$3:$A$10,0)),""))</f>
        <v/>
      </c>
      <c r="W60" s="22">
        <f>IF($U60="","",IFERROR(INDEX(Templates!$L$3:$L$10,MATCH($U60,Templates!$A$3:$A$10,0)),""))</f>
        <v/>
      </c>
      <c r="X60" s="23">
        <f>IF($U60="","",IFERROR(INDEX(Templates!$J$3:$J$10,MATCH($U60,Templates!$A$3:$A$10,0)),""))</f>
        <v/>
      </c>
      <c r="Y60" s="24">
        <f>IF(OR($U60="",$I60="",$J60="",$X60=""),"",$I60+$X60*($J60-$I60))</f>
        <v/>
      </c>
    </row>
    <row r="61">
      <c r="A61" s="15" t="inlineStr">
        <is>
          <t>Eagle_5</t>
        </is>
      </c>
      <c r="B61" s="16" t="inlineStr">
        <is>
          <t>Infrared Capital Partners</t>
        </is>
      </c>
      <c r="C61" s="15" t="inlineStr">
        <is>
          <t>Infrared Capital Partners</t>
        </is>
      </c>
      <c r="D61" s="15" t="inlineStr"/>
      <c r="E61" s="15" t="inlineStr">
        <is>
          <t>No</t>
        </is>
      </c>
      <c r="F61" s="15" t="inlineStr">
        <is>
          <t>Active</t>
        </is>
      </c>
      <c r="G61" s="25" t="n"/>
      <c r="H61" s="17" t="n">
        <v>1</v>
      </c>
      <c r="I61" s="26" t="n"/>
      <c r="J61" s="26" t="n"/>
      <c r="K61" s="25" t="n"/>
      <c r="L61" s="25" t="n"/>
      <c r="M61" s="25" t="n"/>
      <c r="N61" s="25" t="n"/>
      <c r="O61" s="25" t="n"/>
      <c r="P61" s="25" t="n"/>
      <c r="Q61" s="19">
        <f>IF($A61="","",COUNTIFS(Assignments!$C$2:$C$769,$A61,Assignments!$G$2:$G$769,"Active"))</f>
        <v/>
      </c>
      <c r="R61" s="20">
        <f>IF($A61="","",SUMIFS(Assignments!$I$2:$I$769,Assignments!$C$2:$C$769,$A61,Assignments!$G$2:$G$769,"Active"))</f>
        <v/>
      </c>
      <c r="S61" s="16" t="inlineStr">
        <is>
          <t>WIP</t>
        </is>
      </c>
      <c r="T61" s="27" t="n"/>
      <c r="U61" s="25" t="n"/>
      <c r="V61" s="22">
        <f>IF($U61="","",IFERROR(INDEX(Templates!$K$3:$K$10,MATCH($U61,Templates!$A$3:$A$10,0)),""))</f>
        <v/>
      </c>
      <c r="W61" s="22">
        <f>IF($U61="","",IFERROR(INDEX(Templates!$L$3:$L$10,MATCH($U61,Templates!$A$3:$A$10,0)),""))</f>
        <v/>
      </c>
      <c r="X61" s="23">
        <f>IF($U61="","",IFERROR(INDEX(Templates!$J$3:$J$10,MATCH($U61,Templates!$A$3:$A$10,0)),""))</f>
        <v/>
      </c>
      <c r="Y61" s="24">
        <f>IF(OR($U61="",$I61="",$J61="",$X61=""),"",$I61+$X61*($J61-$I61))</f>
        <v/>
      </c>
    </row>
    <row r="62">
      <c r="A62" s="15" t="inlineStr">
        <is>
          <t>Eagle_7</t>
        </is>
      </c>
      <c r="B62" s="16" t="inlineStr">
        <is>
          <t>LS Power</t>
        </is>
      </c>
      <c r="C62" s="15" t="inlineStr">
        <is>
          <t>LS Power</t>
        </is>
      </c>
      <c r="D62" s="15" t="inlineStr"/>
      <c r="E62" s="15" t="inlineStr">
        <is>
          <t>No</t>
        </is>
      </c>
      <c r="F62" s="15" t="inlineStr">
        <is>
          <t>Active</t>
        </is>
      </c>
      <c r="G62" s="25" t="n"/>
      <c r="H62" s="17" t="n">
        <v>1</v>
      </c>
      <c r="I62" s="26" t="n"/>
      <c r="J62" s="26" t="n"/>
      <c r="K62" s="25" t="n"/>
      <c r="L62" s="25" t="n"/>
      <c r="M62" s="25" t="n"/>
      <c r="N62" s="25" t="n"/>
      <c r="O62" s="25" t="n"/>
      <c r="P62" s="25" t="n"/>
      <c r="Q62" s="19">
        <f>IF($A62="","",COUNTIFS(Assignments!$C$2:$C$769,$A62,Assignments!$G$2:$G$769,"Active"))</f>
        <v/>
      </c>
      <c r="R62" s="20">
        <f>IF($A62="","",SUMIFS(Assignments!$I$2:$I$769,Assignments!$C$2:$C$769,$A62,Assignments!$G$2:$G$769,"Active"))</f>
        <v/>
      </c>
      <c r="S62" s="16" t="inlineStr">
        <is>
          <t>WIP</t>
        </is>
      </c>
      <c r="T62" s="27" t="n"/>
      <c r="U62" s="25" t="n"/>
      <c r="V62" s="22">
        <f>IF($U62="","",IFERROR(INDEX(Templates!$K$3:$K$10,MATCH($U62,Templates!$A$3:$A$10,0)),""))</f>
        <v/>
      </c>
      <c r="W62" s="22">
        <f>IF($U62="","",IFERROR(INDEX(Templates!$L$3:$L$10,MATCH($U62,Templates!$A$3:$A$10,0)),""))</f>
        <v/>
      </c>
      <c r="X62" s="23">
        <f>IF($U62="","",IFERROR(INDEX(Templates!$J$3:$J$10,MATCH($U62,Templates!$A$3:$A$10,0)),""))</f>
        <v/>
      </c>
      <c r="Y62" s="24">
        <f>IF(OR($U62="",$I62="",$J62="",$X62=""),"",$I62+$X62*($J62-$I62))</f>
        <v/>
      </c>
    </row>
    <row r="63">
      <c r="A63" s="15" t="inlineStr">
        <is>
          <t>Earthshine_2</t>
        </is>
      </c>
      <c r="B63" s="16" t="inlineStr">
        <is>
          <t>Mosaic Insurance</t>
        </is>
      </c>
      <c r="C63" s="15" t="inlineStr">
        <is>
          <t>Mosaic Insurance</t>
        </is>
      </c>
      <c r="D63" s="15" t="inlineStr"/>
      <c r="E63" s="15" t="inlineStr">
        <is>
          <t>No</t>
        </is>
      </c>
      <c r="F63" s="15" t="inlineStr">
        <is>
          <t>Active</t>
        </is>
      </c>
      <c r="G63" s="25" t="n"/>
      <c r="H63" s="17" t="n">
        <v>1</v>
      </c>
      <c r="I63" s="26" t="n"/>
      <c r="J63" s="26" t="n"/>
      <c r="K63" s="25" t="n"/>
      <c r="L63" s="25" t="n"/>
      <c r="M63" s="25" t="n"/>
      <c r="N63" s="25" t="n"/>
      <c r="O63" s="25" t="n"/>
      <c r="P63" s="25" t="n"/>
      <c r="Q63" s="19">
        <f>IF($A63="","",COUNTIFS(Assignments!$C$2:$C$769,$A63,Assignments!$G$2:$G$769,"Active"))</f>
        <v/>
      </c>
      <c r="R63" s="20">
        <f>IF($A63="","",SUMIFS(Assignments!$I$2:$I$769,Assignments!$C$2:$C$769,$A63,Assignments!$G$2:$G$769,"Active"))</f>
        <v/>
      </c>
      <c r="S63" s="16" t="inlineStr">
        <is>
          <t>WIP</t>
        </is>
      </c>
      <c r="T63" s="27" t="n"/>
      <c r="U63" s="25" t="n"/>
      <c r="V63" s="22">
        <f>IF($U63="","",IFERROR(INDEX(Templates!$K$3:$K$10,MATCH($U63,Templates!$A$3:$A$10,0)),""))</f>
        <v/>
      </c>
      <c r="W63" s="22">
        <f>IF($U63="","",IFERROR(INDEX(Templates!$L$3:$L$10,MATCH($U63,Templates!$A$3:$A$10,0)),""))</f>
        <v/>
      </c>
      <c r="X63" s="23">
        <f>IF($U63="","",IFERROR(INDEX(Templates!$J$3:$J$10,MATCH($U63,Templates!$A$3:$A$10,0)),""))</f>
        <v/>
      </c>
      <c r="Y63" s="24">
        <f>IF(OR($U63="",$I63="",$J63="",$X63=""),"",$I63+$X63*($J63-$I63))</f>
        <v/>
      </c>
    </row>
    <row r="64">
      <c r="A64" s="15" t="inlineStr">
        <is>
          <t>Elektron_1</t>
        </is>
      </c>
      <c r="B64" s="16" t="inlineStr">
        <is>
          <t>Ethos Specialty Insurance Services</t>
        </is>
      </c>
      <c r="C64" s="15" t="inlineStr">
        <is>
          <t>Ethos Specialty Insurance Services</t>
        </is>
      </c>
      <c r="D64" s="15" t="inlineStr"/>
      <c r="E64" s="15" t="inlineStr">
        <is>
          <t>No</t>
        </is>
      </c>
      <c r="F64" s="15" t="inlineStr">
        <is>
          <t>Active</t>
        </is>
      </c>
      <c r="G64" s="25" t="n"/>
      <c r="H64" s="17" t="n">
        <v>1</v>
      </c>
      <c r="I64" s="26" t="n"/>
      <c r="J64" s="26" t="n"/>
      <c r="K64" s="25" t="n"/>
      <c r="L64" s="25" t="n"/>
      <c r="M64" s="25" t="n"/>
      <c r="N64" s="25" t="n"/>
      <c r="O64" s="25" t="n"/>
      <c r="P64" s="25" t="n"/>
      <c r="Q64" s="19">
        <f>IF($A64="","",COUNTIFS(Assignments!$C$2:$C$769,$A64,Assignments!$G$2:$G$769,"Active"))</f>
        <v/>
      </c>
      <c r="R64" s="20">
        <f>IF($A64="","",SUMIFS(Assignments!$I$2:$I$769,Assignments!$C$2:$C$769,$A64,Assignments!$G$2:$G$769,"Active"))</f>
        <v/>
      </c>
      <c r="S64" s="16" t="inlineStr">
        <is>
          <t>WIP</t>
        </is>
      </c>
      <c r="T64" s="27" t="n"/>
      <c r="U64" s="25" t="n"/>
      <c r="V64" s="22">
        <f>IF($U64="","",IFERROR(INDEX(Templates!$K$3:$K$10,MATCH($U64,Templates!$A$3:$A$10,0)),""))</f>
        <v/>
      </c>
      <c r="W64" s="22">
        <f>IF($U64="","",IFERROR(INDEX(Templates!$L$3:$L$10,MATCH($U64,Templates!$A$3:$A$10,0)),""))</f>
        <v/>
      </c>
      <c r="X64" s="23">
        <f>IF($U64="","",IFERROR(INDEX(Templates!$J$3:$J$10,MATCH($U64,Templates!$A$3:$A$10,0)),""))</f>
        <v/>
      </c>
      <c r="Y64" s="24">
        <f>IF(OR($U64="",$I64="",$J64="",$X64=""),"",$I64+$X64*($J64-$I64))</f>
        <v/>
      </c>
    </row>
    <row r="65">
      <c r="A65" s="15" t="inlineStr">
        <is>
          <t>Emerald_6</t>
        </is>
      </c>
      <c r="B65" s="16" t="inlineStr">
        <is>
          <t>Repsol Renewables NA</t>
        </is>
      </c>
      <c r="C65" s="15" t="inlineStr">
        <is>
          <t>Repsol Renewables NA</t>
        </is>
      </c>
      <c r="D65" s="15" t="inlineStr"/>
      <c r="E65" s="15" t="inlineStr">
        <is>
          <t>No</t>
        </is>
      </c>
      <c r="F65" s="15" t="inlineStr">
        <is>
          <t>Active</t>
        </is>
      </c>
      <c r="G65" s="25" t="n"/>
      <c r="H65" s="17" t="n">
        <v>1</v>
      </c>
      <c r="I65" s="26" t="n"/>
      <c r="J65" s="26" t="n"/>
      <c r="K65" s="25" t="n"/>
      <c r="L65" s="25" t="n"/>
      <c r="M65" s="25" t="n"/>
      <c r="N65" s="25" t="n"/>
      <c r="O65" s="25" t="n"/>
      <c r="P65" s="25" t="n"/>
      <c r="Q65" s="19">
        <f>IF($A65="","",COUNTIFS(Assignments!$C$2:$C$769,$A65,Assignments!$G$2:$G$769,"Active"))</f>
        <v/>
      </c>
      <c r="R65" s="20">
        <f>IF($A65="","",SUMIFS(Assignments!$I$2:$I$769,Assignments!$C$2:$C$769,$A65,Assignments!$G$2:$G$769,"Active"))</f>
        <v/>
      </c>
      <c r="S65" s="16" t="inlineStr">
        <is>
          <t>WIP</t>
        </is>
      </c>
      <c r="T65" s="27" t="n"/>
      <c r="U65" s="25" t="n"/>
      <c r="V65" s="22">
        <f>IF($U65="","",IFERROR(INDEX(Templates!$K$3:$K$10,MATCH($U65,Templates!$A$3:$A$10,0)),""))</f>
        <v/>
      </c>
      <c r="W65" s="22">
        <f>IF($U65="","",IFERROR(INDEX(Templates!$L$3:$L$10,MATCH($U65,Templates!$A$3:$A$10,0)),""))</f>
        <v/>
      </c>
      <c r="X65" s="23">
        <f>IF($U65="","",IFERROR(INDEX(Templates!$J$3:$J$10,MATCH($U65,Templates!$A$3:$A$10,0)),""))</f>
        <v/>
      </c>
      <c r="Y65" s="24">
        <f>IF(OR($U65="",$I65="",$J65="",$X65=""),"",$I65+$X65*($J65-$I65))</f>
        <v/>
      </c>
    </row>
    <row r="66">
      <c r="A66" s="15" t="inlineStr">
        <is>
          <t>Enterprise_1</t>
        </is>
      </c>
      <c r="B66" s="16" t="inlineStr">
        <is>
          <t>Link 1 IT Solutions, LLC</t>
        </is>
      </c>
      <c r="C66" s="15" t="inlineStr">
        <is>
          <t>Link 1 IT Solutions, LLC</t>
        </is>
      </c>
      <c r="D66" s="15" t="inlineStr"/>
      <c r="E66" s="15" t="inlineStr">
        <is>
          <t>No</t>
        </is>
      </c>
      <c r="F66" s="15" t="inlineStr">
        <is>
          <t>Active</t>
        </is>
      </c>
      <c r="G66" s="25" t="n"/>
      <c r="H66" s="17" t="n">
        <v>1</v>
      </c>
      <c r="I66" s="26" t="n"/>
      <c r="J66" s="26" t="n"/>
      <c r="K66" s="25" t="n"/>
      <c r="L66" s="25" t="n"/>
      <c r="M66" s="25" t="n"/>
      <c r="N66" s="25" t="n"/>
      <c r="O66" s="25" t="n"/>
      <c r="P66" s="25" t="n"/>
      <c r="Q66" s="19">
        <f>IF($A66="","",COUNTIFS(Assignments!$C$2:$C$769,$A66,Assignments!$G$2:$G$769,"Active"))</f>
        <v/>
      </c>
      <c r="R66" s="20">
        <f>IF($A66="","",SUMIFS(Assignments!$I$2:$I$769,Assignments!$C$2:$C$769,$A66,Assignments!$G$2:$G$769,"Active"))</f>
        <v/>
      </c>
      <c r="S66" s="16" t="inlineStr">
        <is>
          <t>WIP</t>
        </is>
      </c>
      <c r="T66" s="27" t="n"/>
      <c r="U66" s="25" t="n"/>
      <c r="V66" s="22">
        <f>IF($U66="","",IFERROR(INDEX(Templates!$K$3:$K$10,MATCH($U66,Templates!$A$3:$A$10,0)),""))</f>
        <v/>
      </c>
      <c r="W66" s="22">
        <f>IF($U66="","",IFERROR(INDEX(Templates!$L$3:$L$10,MATCH($U66,Templates!$A$3:$A$10,0)),""))</f>
        <v/>
      </c>
      <c r="X66" s="23">
        <f>IF($U66="","",IFERROR(INDEX(Templates!$J$3:$J$10,MATCH($U66,Templates!$A$3:$A$10,0)),""))</f>
        <v/>
      </c>
      <c r="Y66" s="24">
        <f>IF(OR($U66="",$I66="",$J66="",$X66=""),"",$I66+$X66*($J66-$I66))</f>
        <v/>
      </c>
    </row>
    <row r="67">
      <c r="A67" s="15" t="inlineStr">
        <is>
          <t>EOS</t>
        </is>
      </c>
      <c r="B67" s="16" t="inlineStr">
        <is>
          <t>Eight Advisory</t>
        </is>
      </c>
      <c r="C67" s="15" t="inlineStr">
        <is>
          <t>Eight Advisory</t>
        </is>
      </c>
      <c r="D67" s="15" t="inlineStr"/>
      <c r="E67" s="15" t="inlineStr">
        <is>
          <t>No</t>
        </is>
      </c>
      <c r="F67" s="15" t="inlineStr">
        <is>
          <t>Active</t>
        </is>
      </c>
      <c r="G67" s="25" t="n"/>
      <c r="H67" s="17" t="n">
        <v>1</v>
      </c>
      <c r="I67" s="26" t="n"/>
      <c r="J67" s="26" t="n"/>
      <c r="K67" s="25" t="n"/>
      <c r="L67" s="25" t="n"/>
      <c r="M67" s="25" t="n"/>
      <c r="N67" s="25" t="n"/>
      <c r="O67" s="25" t="n"/>
      <c r="P67" s="25" t="n"/>
      <c r="Q67" s="19">
        <f>IF($A67="","",COUNTIFS(Assignments!$C$2:$C$769,$A67,Assignments!$G$2:$G$769,"Active"))</f>
        <v/>
      </c>
      <c r="R67" s="20">
        <f>IF($A67="","",SUMIFS(Assignments!$I$2:$I$769,Assignments!$C$2:$C$769,$A67,Assignments!$G$2:$G$769,"Active"))</f>
        <v/>
      </c>
      <c r="S67" s="16" t="inlineStr">
        <is>
          <t>Summary tab only (WIP)</t>
        </is>
      </c>
      <c r="T67" s="27" t="n"/>
      <c r="U67" s="25" t="n"/>
      <c r="V67" s="22">
        <f>IF($U67="","",IFERROR(INDEX(Templates!$K$3:$K$10,MATCH($U67,Templates!$A$3:$A$10,0)),""))</f>
        <v/>
      </c>
      <c r="W67" s="22">
        <f>IF($U67="","",IFERROR(INDEX(Templates!$L$3:$L$10,MATCH($U67,Templates!$A$3:$A$10,0)),""))</f>
        <v/>
      </c>
      <c r="X67" s="23">
        <f>IF($U67="","",IFERROR(INDEX(Templates!$J$3:$J$10,MATCH($U67,Templates!$A$3:$A$10,0)),""))</f>
        <v/>
      </c>
      <c r="Y67" s="24">
        <f>IF(OR($U67="",$I67="",$J67="",$X67=""),"",$I67+$X67*($J67-$I67))</f>
        <v/>
      </c>
    </row>
    <row r="68">
      <c r="A68" s="15" t="inlineStr">
        <is>
          <t>EOS VDD_1</t>
        </is>
      </c>
      <c r="B68" s="16" t="inlineStr">
        <is>
          <t>Eight Advisory</t>
        </is>
      </c>
      <c r="C68" s="15" t="inlineStr">
        <is>
          <t>Eight Advisory</t>
        </is>
      </c>
      <c r="D68" s="15" t="inlineStr"/>
      <c r="E68" s="15" t="inlineStr">
        <is>
          <t>No</t>
        </is>
      </c>
      <c r="F68" s="15" t="inlineStr">
        <is>
          <t>Active</t>
        </is>
      </c>
      <c r="G68" s="25" t="n"/>
      <c r="H68" s="17" t="n">
        <v>1</v>
      </c>
      <c r="I68" s="26" t="n"/>
      <c r="J68" s="26" t="n"/>
      <c r="K68" s="25" t="n"/>
      <c r="L68" s="25" t="n"/>
      <c r="M68" s="25" t="n"/>
      <c r="N68" s="25" t="n"/>
      <c r="O68" s="25" t="n"/>
      <c r="P68" s="25" t="n"/>
      <c r="Q68" s="19">
        <f>IF($A68="","",COUNTIFS(Assignments!$C$2:$C$769,$A68,Assignments!$G$2:$G$769,"Active"))</f>
        <v/>
      </c>
      <c r="R68" s="20">
        <f>IF($A68="","",SUMIFS(Assignments!$I$2:$I$769,Assignments!$C$2:$C$769,$A68,Assignments!$G$2:$G$769,"Active"))</f>
        <v/>
      </c>
      <c r="S68" s="16" t="inlineStr">
        <is>
          <t>Summary tab only (WIP)</t>
        </is>
      </c>
      <c r="T68" s="27" t="n"/>
      <c r="U68" s="25" t="n"/>
      <c r="V68" s="22">
        <f>IF($U68="","",IFERROR(INDEX(Templates!$K$3:$K$10,MATCH($U68,Templates!$A$3:$A$10,0)),""))</f>
        <v/>
      </c>
      <c r="W68" s="22">
        <f>IF($U68="","",IFERROR(INDEX(Templates!$L$3:$L$10,MATCH($U68,Templates!$A$3:$A$10,0)),""))</f>
        <v/>
      </c>
      <c r="X68" s="23">
        <f>IF($U68="","",IFERROR(INDEX(Templates!$J$3:$J$10,MATCH($U68,Templates!$A$3:$A$10,0)),""))</f>
        <v/>
      </c>
      <c r="Y68" s="24">
        <f>IF(OR($U68="",$I68="",$J68="",$X68=""),"",$I68+$X68*($J68-$I68))</f>
        <v/>
      </c>
    </row>
    <row r="69">
      <c r="A69" s="15" t="inlineStr">
        <is>
          <t>Etonia_1</t>
        </is>
      </c>
      <c r="B69" s="16" t="inlineStr">
        <is>
          <t>Ethos Specialty Insurance Services</t>
        </is>
      </c>
      <c r="C69" s="15" t="inlineStr">
        <is>
          <t>Ethos Specialty Insurance Services</t>
        </is>
      </c>
      <c r="D69" s="15" t="inlineStr"/>
      <c r="E69" s="15" t="inlineStr">
        <is>
          <t>No</t>
        </is>
      </c>
      <c r="F69" s="15" t="inlineStr">
        <is>
          <t>Active</t>
        </is>
      </c>
      <c r="G69" s="25" t="n"/>
      <c r="H69" s="17" t="n">
        <v>1</v>
      </c>
      <c r="I69" s="26" t="n"/>
      <c r="J69" s="26" t="n"/>
      <c r="K69" s="25" t="n"/>
      <c r="L69" s="25" t="n"/>
      <c r="M69" s="25" t="n"/>
      <c r="N69" s="25" t="n"/>
      <c r="O69" s="25" t="n"/>
      <c r="P69" s="25" t="n"/>
      <c r="Q69" s="19">
        <f>IF($A69="","",COUNTIFS(Assignments!$C$2:$C$769,$A69,Assignments!$G$2:$G$769,"Active"))</f>
        <v/>
      </c>
      <c r="R69" s="20">
        <f>IF($A69="","",SUMIFS(Assignments!$I$2:$I$769,Assignments!$C$2:$C$769,$A69,Assignments!$G$2:$G$769,"Active"))</f>
        <v/>
      </c>
      <c r="S69" s="16" t="inlineStr">
        <is>
          <t>WIP</t>
        </is>
      </c>
      <c r="T69" s="27" t="n"/>
      <c r="U69" s="25" t="n"/>
      <c r="V69" s="22">
        <f>IF($U69="","",IFERROR(INDEX(Templates!$K$3:$K$10,MATCH($U69,Templates!$A$3:$A$10,0)),""))</f>
        <v/>
      </c>
      <c r="W69" s="22">
        <f>IF($U69="","",IFERROR(INDEX(Templates!$L$3:$L$10,MATCH($U69,Templates!$A$3:$A$10,0)),""))</f>
        <v/>
      </c>
      <c r="X69" s="23">
        <f>IF($U69="","",IFERROR(INDEX(Templates!$J$3:$J$10,MATCH($U69,Templates!$A$3:$A$10,0)),""))</f>
        <v/>
      </c>
      <c r="Y69" s="24">
        <f>IF(OR($U69="",$I69="",$J69="",$X69=""),"",$I69+$X69*($J69-$I69))</f>
        <v/>
      </c>
    </row>
    <row r="70">
      <c r="A70" s="15" t="inlineStr">
        <is>
          <t>Etude_2</t>
        </is>
      </c>
      <c r="B70" s="16" t="inlineStr">
        <is>
          <t>Liberty GTS</t>
        </is>
      </c>
      <c r="C70" s="15" t="inlineStr">
        <is>
          <t>Liberty GTS</t>
        </is>
      </c>
      <c r="D70" s="15" t="inlineStr"/>
      <c r="E70" s="15" t="inlineStr">
        <is>
          <t>No</t>
        </is>
      </c>
      <c r="F70" s="15" t="inlineStr">
        <is>
          <t>Active</t>
        </is>
      </c>
      <c r="G70" s="25" t="n"/>
      <c r="H70" s="17" t="n">
        <v>1</v>
      </c>
      <c r="I70" s="26" t="n"/>
      <c r="J70" s="26" t="n"/>
      <c r="K70" s="25" t="n"/>
      <c r="L70" s="25" t="n"/>
      <c r="M70" s="25" t="n"/>
      <c r="N70" s="25" t="n"/>
      <c r="O70" s="25" t="n"/>
      <c r="P70" s="25" t="n"/>
      <c r="Q70" s="19">
        <f>IF($A70="","",COUNTIFS(Assignments!$C$2:$C$769,$A70,Assignments!$G$2:$G$769,"Active"))</f>
        <v/>
      </c>
      <c r="R70" s="20">
        <f>IF($A70="","",SUMIFS(Assignments!$I$2:$I$769,Assignments!$C$2:$C$769,$A70,Assignments!$G$2:$G$769,"Active"))</f>
        <v/>
      </c>
      <c r="S70" s="16" t="inlineStr">
        <is>
          <t>WIP</t>
        </is>
      </c>
      <c r="T70" s="27" t="n"/>
      <c r="U70" s="25" t="n"/>
      <c r="V70" s="22">
        <f>IF($U70="","",IFERROR(INDEX(Templates!$K$3:$K$10,MATCH($U70,Templates!$A$3:$A$10,0)),""))</f>
        <v/>
      </c>
      <c r="W70" s="22">
        <f>IF($U70="","",IFERROR(INDEX(Templates!$L$3:$L$10,MATCH($U70,Templates!$A$3:$A$10,0)),""))</f>
        <v/>
      </c>
      <c r="X70" s="23">
        <f>IF($U70="","",IFERROR(INDEX(Templates!$J$3:$J$10,MATCH($U70,Templates!$A$3:$A$10,0)),""))</f>
        <v/>
      </c>
      <c r="Y70" s="24">
        <f>IF(OR($U70="",$I70="",$J70="",$X70=""),"",$I70+$X70*($J70-$I70))</f>
        <v/>
      </c>
    </row>
    <row r="71">
      <c r="A71" s="15" t="inlineStr">
        <is>
          <t>Fengate_4</t>
        </is>
      </c>
      <c r="B71" s="16" t="inlineStr">
        <is>
          <t>Fengate</t>
        </is>
      </c>
      <c r="C71" s="15" t="inlineStr">
        <is>
          <t>Fengate</t>
        </is>
      </c>
      <c r="D71" s="15" t="inlineStr"/>
      <c r="E71" s="15" t="inlineStr">
        <is>
          <t>No</t>
        </is>
      </c>
      <c r="F71" s="15" t="inlineStr">
        <is>
          <t>Active</t>
        </is>
      </c>
      <c r="G71" s="25" t="n"/>
      <c r="H71" s="17" t="n">
        <v>1</v>
      </c>
      <c r="I71" s="26" t="n"/>
      <c r="J71" s="26" t="n"/>
      <c r="K71" s="25" t="n"/>
      <c r="L71" s="25" t="n"/>
      <c r="M71" s="25" t="n"/>
      <c r="N71" s="25" t="n"/>
      <c r="O71" s="25" t="n"/>
      <c r="P71" s="25" t="n"/>
      <c r="Q71" s="19">
        <f>IF($A71="","",COUNTIFS(Assignments!$C$2:$C$769,$A71,Assignments!$G$2:$G$769,"Active"))</f>
        <v/>
      </c>
      <c r="R71" s="20">
        <f>IF($A71="","",SUMIFS(Assignments!$I$2:$I$769,Assignments!$C$2:$C$769,$A71,Assignments!$G$2:$G$769,"Active"))</f>
        <v/>
      </c>
      <c r="S71" s="16" t="inlineStr">
        <is>
          <t>WIP</t>
        </is>
      </c>
      <c r="T71" s="27" t="n"/>
      <c r="U71" s="25" t="n"/>
      <c r="V71" s="22">
        <f>IF($U71="","",IFERROR(INDEX(Templates!$K$3:$K$10,MATCH($U71,Templates!$A$3:$A$10,0)),""))</f>
        <v/>
      </c>
      <c r="W71" s="22">
        <f>IF($U71="","",IFERROR(INDEX(Templates!$L$3:$L$10,MATCH($U71,Templates!$A$3:$A$10,0)),""))</f>
        <v/>
      </c>
      <c r="X71" s="23">
        <f>IF($U71="","",IFERROR(INDEX(Templates!$J$3:$J$10,MATCH($U71,Templates!$A$3:$A$10,0)),""))</f>
        <v/>
      </c>
      <c r="Y71" s="24">
        <f>IF(OR($U71="",$I71="",$J71="",$X71=""),"",$I71+$X71*($J71-$I71))</f>
        <v/>
      </c>
    </row>
    <row r="72">
      <c r="A72" s="15" t="inlineStr">
        <is>
          <t>FIRPTA_Sunraycer_1</t>
        </is>
      </c>
      <c r="B72" s="16" t="inlineStr">
        <is>
          <t>Sunraycer</t>
        </is>
      </c>
      <c r="C72" s="15" t="inlineStr">
        <is>
          <t>Sunraycer</t>
        </is>
      </c>
      <c r="D72" s="15" t="inlineStr"/>
      <c r="E72" s="15" t="inlineStr">
        <is>
          <t>No</t>
        </is>
      </c>
      <c r="F72" s="15" t="inlineStr">
        <is>
          <t>Active</t>
        </is>
      </c>
      <c r="G72" s="25" t="n"/>
      <c r="H72" s="17" t="n">
        <v>1</v>
      </c>
      <c r="I72" s="26" t="n"/>
      <c r="J72" s="26" t="n"/>
      <c r="K72" s="25" t="n"/>
      <c r="L72" s="25" t="n"/>
      <c r="M72" s="25" t="n"/>
      <c r="N72" s="25" t="n"/>
      <c r="O72" s="25" t="n"/>
      <c r="P72" s="25" t="n"/>
      <c r="Q72" s="19">
        <f>IF($A72="","",COUNTIFS(Assignments!$C$2:$C$769,$A72,Assignments!$G$2:$G$769,"Active"))</f>
        <v/>
      </c>
      <c r="R72" s="20">
        <f>IF($A72="","",SUMIFS(Assignments!$I$2:$I$769,Assignments!$C$2:$C$769,$A72,Assignments!$G$2:$G$769,"Active"))</f>
        <v/>
      </c>
      <c r="S72" s="16" t="inlineStr">
        <is>
          <t>WIP</t>
        </is>
      </c>
      <c r="T72" s="27" t="n"/>
      <c r="U72" s="25" t="n"/>
      <c r="V72" s="22">
        <f>IF($U72="","",IFERROR(INDEX(Templates!$K$3:$K$10,MATCH($U72,Templates!$A$3:$A$10,0)),""))</f>
        <v/>
      </c>
      <c r="W72" s="22">
        <f>IF($U72="","",IFERROR(INDEX(Templates!$L$3:$L$10,MATCH($U72,Templates!$A$3:$A$10,0)),""))</f>
        <v/>
      </c>
      <c r="X72" s="23">
        <f>IF($U72="","",IFERROR(INDEX(Templates!$J$3:$J$10,MATCH($U72,Templates!$A$3:$A$10,0)),""))</f>
        <v/>
      </c>
      <c r="Y72" s="24">
        <f>IF(OR($U72="",$I72="",$J72="",$X72=""),"",$I72+$X72*($J72-$I72))</f>
        <v/>
      </c>
    </row>
    <row r="73">
      <c r="A73" s="15" t="inlineStr">
        <is>
          <t>Fortress_3</t>
        </is>
      </c>
      <c r="B73" s="16" t="inlineStr">
        <is>
          <t>The Blackstone Group : Aypa Power</t>
        </is>
      </c>
      <c r="C73" s="15" t="inlineStr">
        <is>
          <t>The Blackstone Group</t>
        </is>
      </c>
      <c r="D73" s="15" t="inlineStr">
        <is>
          <t>Aypa Power</t>
        </is>
      </c>
      <c r="E73" s="15" t="inlineStr">
        <is>
          <t>No</t>
        </is>
      </c>
      <c r="F73" s="15" t="inlineStr">
        <is>
          <t>Active</t>
        </is>
      </c>
      <c r="G73" s="25" t="n"/>
      <c r="H73" s="17" t="n">
        <v>1</v>
      </c>
      <c r="I73" s="26" t="n"/>
      <c r="J73" s="26" t="n"/>
      <c r="K73" s="25" t="n"/>
      <c r="L73" s="25" t="n"/>
      <c r="M73" s="25" t="n"/>
      <c r="N73" s="25" t="n"/>
      <c r="O73" s="25" t="n"/>
      <c r="P73" s="25" t="n"/>
      <c r="Q73" s="19">
        <f>IF($A73="","",COUNTIFS(Assignments!$C$2:$C$769,$A73,Assignments!$G$2:$G$769,"Active"))</f>
        <v/>
      </c>
      <c r="R73" s="20">
        <f>IF($A73="","",SUMIFS(Assignments!$I$2:$I$769,Assignments!$C$2:$C$769,$A73,Assignments!$G$2:$G$769,"Active"))</f>
        <v/>
      </c>
      <c r="S73" s="16" t="inlineStr">
        <is>
          <t>WIP</t>
        </is>
      </c>
      <c r="T73" s="27" t="n"/>
      <c r="U73" s="25" t="n"/>
      <c r="V73" s="22">
        <f>IF($U73="","",IFERROR(INDEX(Templates!$K$3:$K$10,MATCH($U73,Templates!$A$3:$A$10,0)),""))</f>
        <v/>
      </c>
      <c r="W73" s="22">
        <f>IF($U73="","",IFERROR(INDEX(Templates!$L$3:$L$10,MATCH($U73,Templates!$A$3:$A$10,0)),""))</f>
        <v/>
      </c>
      <c r="X73" s="23">
        <f>IF($U73="","",IFERROR(INDEX(Templates!$J$3:$J$10,MATCH($U73,Templates!$A$3:$A$10,0)),""))</f>
        <v/>
      </c>
      <c r="Y73" s="24">
        <f>IF(OR($U73="",$I73="",$J73="",$X73=""),"",$I73+$X73*($J73-$I73))</f>
        <v/>
      </c>
    </row>
    <row r="74">
      <c r="A74" s="15" t="inlineStr">
        <is>
          <t>Fury_1</t>
        </is>
      </c>
      <c r="B74" s="16" t="inlineStr">
        <is>
          <t>Macquarie Group</t>
        </is>
      </c>
      <c r="C74" s="15" t="inlineStr">
        <is>
          <t>Macquarie Group</t>
        </is>
      </c>
      <c r="D74" s="15" t="inlineStr"/>
      <c r="E74" s="15" t="inlineStr">
        <is>
          <t>No</t>
        </is>
      </c>
      <c r="F74" s="15" t="inlineStr">
        <is>
          <t>Active</t>
        </is>
      </c>
      <c r="G74" s="25" t="n"/>
      <c r="H74" s="17" t="n">
        <v>1</v>
      </c>
      <c r="I74" s="26" t="n"/>
      <c r="J74" s="26" t="n"/>
      <c r="K74" s="25" t="n"/>
      <c r="L74" s="25" t="n"/>
      <c r="M74" s="25" t="n"/>
      <c r="N74" s="25" t="n"/>
      <c r="O74" s="25" t="n"/>
      <c r="P74" s="25" t="n"/>
      <c r="Q74" s="19">
        <f>IF($A74="","",COUNTIFS(Assignments!$C$2:$C$769,$A74,Assignments!$G$2:$G$769,"Active"))</f>
        <v/>
      </c>
      <c r="R74" s="20">
        <f>IF($A74="","",SUMIFS(Assignments!$I$2:$I$769,Assignments!$C$2:$C$769,$A74,Assignments!$G$2:$G$769,"Active"))</f>
        <v/>
      </c>
      <c r="S74" s="16" t="inlineStr">
        <is>
          <t>WIP</t>
        </is>
      </c>
      <c r="T74" s="27" t="n"/>
      <c r="U74" s="25" t="n"/>
      <c r="V74" s="22">
        <f>IF($U74="","",IFERROR(INDEX(Templates!$K$3:$K$10,MATCH($U74,Templates!$A$3:$A$10,0)),""))</f>
        <v/>
      </c>
      <c r="W74" s="22">
        <f>IF($U74="","",IFERROR(INDEX(Templates!$L$3:$L$10,MATCH($U74,Templates!$A$3:$A$10,0)),""))</f>
        <v/>
      </c>
      <c r="X74" s="23">
        <f>IF($U74="","",IFERROR(INDEX(Templates!$J$3:$J$10,MATCH($U74,Templates!$A$3:$A$10,0)),""))</f>
        <v/>
      </c>
      <c r="Y74" s="24">
        <f>IF(OR($U74="",$I74="",$J74="",$X74=""),"",$I74+$X74*($J74-$I74))</f>
        <v/>
      </c>
    </row>
    <row r="75">
      <c r="A75" s="15" t="inlineStr">
        <is>
          <t>Galaxy_1</t>
        </is>
      </c>
      <c r="B75" s="16" t="inlineStr">
        <is>
          <t>Ardent Equity</t>
        </is>
      </c>
      <c r="C75" s="15" t="inlineStr">
        <is>
          <t>Ardent Equity</t>
        </is>
      </c>
      <c r="D75" s="15" t="inlineStr"/>
      <c r="E75" s="15" t="inlineStr">
        <is>
          <t>No</t>
        </is>
      </c>
      <c r="F75" s="15" t="inlineStr">
        <is>
          <t>Active</t>
        </is>
      </c>
      <c r="G75" s="25" t="n"/>
      <c r="H75" s="17" t="n">
        <v>1</v>
      </c>
      <c r="I75" s="26" t="n"/>
      <c r="J75" s="26" t="n"/>
      <c r="K75" s="25" t="n"/>
      <c r="L75" s="25" t="n"/>
      <c r="M75" s="25" t="n"/>
      <c r="N75" s="25" t="n"/>
      <c r="O75" s="25" t="n"/>
      <c r="P75" s="25" t="n"/>
      <c r="Q75" s="19">
        <f>IF($A75="","",COUNTIFS(Assignments!$C$2:$C$769,$A75,Assignments!$G$2:$G$769,"Active"))</f>
        <v/>
      </c>
      <c r="R75" s="20">
        <f>IF($A75="","",SUMIFS(Assignments!$I$2:$I$769,Assignments!$C$2:$C$769,$A75,Assignments!$G$2:$G$769,"Active"))</f>
        <v/>
      </c>
      <c r="S75" s="16" t="inlineStr">
        <is>
          <t>WIP</t>
        </is>
      </c>
      <c r="T75" s="27" t="n"/>
      <c r="U75" s="25" t="n"/>
      <c r="V75" s="22">
        <f>IF($U75="","",IFERROR(INDEX(Templates!$K$3:$K$10,MATCH($U75,Templates!$A$3:$A$10,0)),""))</f>
        <v/>
      </c>
      <c r="W75" s="22">
        <f>IF($U75="","",IFERROR(INDEX(Templates!$L$3:$L$10,MATCH($U75,Templates!$A$3:$A$10,0)),""))</f>
        <v/>
      </c>
      <c r="X75" s="23">
        <f>IF($U75="","",IFERROR(INDEX(Templates!$J$3:$J$10,MATCH($U75,Templates!$A$3:$A$10,0)),""))</f>
        <v/>
      </c>
      <c r="Y75" s="24">
        <f>IF(OR($U75="",$I75="",$J75="",$X75=""),"",$I75+$X75*($J75-$I75))</f>
        <v/>
      </c>
    </row>
    <row r="76">
      <c r="A76" s="15" t="inlineStr">
        <is>
          <t>Gambit_1</t>
        </is>
      </c>
      <c r="B76" s="16" t="inlineStr">
        <is>
          <t>Ares Management Corporation</t>
        </is>
      </c>
      <c r="C76" s="15" t="inlineStr">
        <is>
          <t>Ares Management Corporation</t>
        </is>
      </c>
      <c r="D76" s="15" t="inlineStr"/>
      <c r="E76" s="15" t="inlineStr">
        <is>
          <t>No</t>
        </is>
      </c>
      <c r="F76" s="15" t="inlineStr">
        <is>
          <t>Active</t>
        </is>
      </c>
      <c r="G76" s="25" t="n"/>
      <c r="H76" s="17" t="n">
        <v>1</v>
      </c>
      <c r="I76" s="26" t="n"/>
      <c r="J76" s="26" t="n"/>
      <c r="K76" s="25" t="n"/>
      <c r="L76" s="25" t="n"/>
      <c r="M76" s="25" t="n"/>
      <c r="N76" s="25" t="n"/>
      <c r="O76" s="25" t="n"/>
      <c r="P76" s="25" t="n"/>
      <c r="Q76" s="19">
        <f>IF($A76="","",COUNTIFS(Assignments!$C$2:$C$769,$A76,Assignments!$G$2:$G$769,"Active"))</f>
        <v/>
      </c>
      <c r="R76" s="20">
        <f>IF($A76="","",SUMIFS(Assignments!$I$2:$I$769,Assignments!$C$2:$C$769,$A76,Assignments!$G$2:$G$769,"Active"))</f>
        <v/>
      </c>
      <c r="S76" s="16" t="inlineStr">
        <is>
          <t>WIP</t>
        </is>
      </c>
      <c r="T76" s="27" t="n"/>
      <c r="U76" s="25" t="n"/>
      <c r="V76" s="22">
        <f>IF($U76="","",IFERROR(INDEX(Templates!$K$3:$K$10,MATCH($U76,Templates!$A$3:$A$10,0)),""))</f>
        <v/>
      </c>
      <c r="W76" s="22">
        <f>IF($U76="","",IFERROR(INDEX(Templates!$L$3:$L$10,MATCH($U76,Templates!$A$3:$A$10,0)),""))</f>
        <v/>
      </c>
      <c r="X76" s="23">
        <f>IF($U76="","",IFERROR(INDEX(Templates!$J$3:$J$10,MATCH($U76,Templates!$A$3:$A$10,0)),""))</f>
        <v/>
      </c>
      <c r="Y76" s="24">
        <f>IF(OR($U76="",$I76="",$J76="",$X76=""),"",$I76+$X76*($J76-$I76))</f>
        <v/>
      </c>
    </row>
    <row r="77">
      <c r="A77" s="15" t="inlineStr">
        <is>
          <t>Gateway_3</t>
        </is>
      </c>
      <c r="B77" s="16" t="inlineStr">
        <is>
          <t>Northleaf Capital Partners</t>
        </is>
      </c>
      <c r="C77" s="15" t="inlineStr">
        <is>
          <t>Northleaf Capital Partners</t>
        </is>
      </c>
      <c r="D77" s="15" t="inlineStr"/>
      <c r="E77" s="15" t="inlineStr">
        <is>
          <t>No</t>
        </is>
      </c>
      <c r="F77" s="15" t="inlineStr">
        <is>
          <t>Active</t>
        </is>
      </c>
      <c r="G77" s="25" t="n"/>
      <c r="H77" s="17" t="n">
        <v>1</v>
      </c>
      <c r="I77" s="26" t="n"/>
      <c r="J77" s="26" t="n"/>
      <c r="K77" s="25" t="n"/>
      <c r="L77" s="25" t="n"/>
      <c r="M77" s="25" t="n"/>
      <c r="N77" s="25" t="n"/>
      <c r="O77" s="25" t="n"/>
      <c r="P77" s="25" t="n"/>
      <c r="Q77" s="19">
        <f>IF($A77="","",COUNTIFS(Assignments!$C$2:$C$769,$A77,Assignments!$G$2:$G$769,"Active"))</f>
        <v/>
      </c>
      <c r="R77" s="20">
        <f>IF($A77="","",SUMIFS(Assignments!$I$2:$I$769,Assignments!$C$2:$C$769,$A77,Assignments!$G$2:$G$769,"Active"))</f>
        <v/>
      </c>
      <c r="S77" s="16" t="inlineStr">
        <is>
          <t>WIP</t>
        </is>
      </c>
      <c r="T77" s="27" t="n"/>
      <c r="U77" s="25" t="n"/>
      <c r="V77" s="22">
        <f>IF($U77="","",IFERROR(INDEX(Templates!$K$3:$K$10,MATCH($U77,Templates!$A$3:$A$10,0)),""))</f>
        <v/>
      </c>
      <c r="W77" s="22">
        <f>IF($U77="","",IFERROR(INDEX(Templates!$L$3:$L$10,MATCH($U77,Templates!$A$3:$A$10,0)),""))</f>
        <v/>
      </c>
      <c r="X77" s="23">
        <f>IF($U77="","",IFERROR(INDEX(Templates!$J$3:$J$10,MATCH($U77,Templates!$A$3:$A$10,0)),""))</f>
        <v/>
      </c>
      <c r="Y77" s="24">
        <f>IF(OR($U77="",$I77="",$J77="",$X77=""),"",$I77+$X77*($J77-$I77))</f>
        <v/>
      </c>
    </row>
    <row r="78">
      <c r="A78" s="15" t="inlineStr">
        <is>
          <t>Geneseo_1</t>
        </is>
      </c>
      <c r="B78" s="16" t="inlineStr">
        <is>
          <t>CVC Capital Partners : DIF Capital Partners : Joink</t>
        </is>
      </c>
      <c r="C78" s="15" t="inlineStr">
        <is>
          <t>CVC Capital Partners</t>
        </is>
      </c>
      <c r="D78" s="15" t="inlineStr">
        <is>
          <t>Joink</t>
        </is>
      </c>
      <c r="E78" s="15" t="inlineStr">
        <is>
          <t>No</t>
        </is>
      </c>
      <c r="F78" s="15" t="inlineStr">
        <is>
          <t>Active</t>
        </is>
      </c>
      <c r="G78" s="25" t="n"/>
      <c r="H78" s="17" t="n">
        <v>1</v>
      </c>
      <c r="I78" s="26" t="n"/>
      <c r="J78" s="26" t="n"/>
      <c r="K78" s="25" t="n"/>
      <c r="L78" s="25" t="n"/>
      <c r="M78" s="25" t="n"/>
      <c r="N78" s="25" t="n"/>
      <c r="O78" s="25" t="n"/>
      <c r="P78" s="25" t="n"/>
      <c r="Q78" s="19">
        <f>IF($A78="","",COUNTIFS(Assignments!$C$2:$C$769,$A78,Assignments!$G$2:$G$769,"Active"))</f>
        <v/>
      </c>
      <c r="R78" s="20">
        <f>IF($A78="","",SUMIFS(Assignments!$I$2:$I$769,Assignments!$C$2:$C$769,$A78,Assignments!$G$2:$G$769,"Active"))</f>
        <v/>
      </c>
      <c r="S78" s="16" t="inlineStr">
        <is>
          <t>WIP</t>
        </is>
      </c>
      <c r="T78" s="27" t="n"/>
      <c r="U78" s="25" t="n"/>
      <c r="V78" s="22">
        <f>IF($U78="","",IFERROR(INDEX(Templates!$K$3:$K$10,MATCH($U78,Templates!$A$3:$A$10,0)),""))</f>
        <v/>
      </c>
      <c r="W78" s="22">
        <f>IF($U78="","",IFERROR(INDEX(Templates!$L$3:$L$10,MATCH($U78,Templates!$A$3:$A$10,0)),""))</f>
        <v/>
      </c>
      <c r="X78" s="23">
        <f>IF($U78="","",IFERROR(INDEX(Templates!$J$3:$J$10,MATCH($U78,Templates!$A$3:$A$10,0)),""))</f>
        <v/>
      </c>
      <c r="Y78" s="24">
        <f>IF(OR($U78="",$I78="",$J78="",$X78=""),"",$I78+$X78*($J78-$I78))</f>
        <v/>
      </c>
    </row>
    <row r="79">
      <c r="A79" s="15" t="inlineStr">
        <is>
          <t>Genesis_6</t>
        </is>
      </c>
      <c r="B79" s="16" t="inlineStr">
        <is>
          <t>Sumitomo Corporation of Americas</t>
        </is>
      </c>
      <c r="C79" s="15" t="inlineStr">
        <is>
          <t>Sumitomo Corporation of Americas</t>
        </is>
      </c>
      <c r="D79" s="15" t="inlineStr"/>
      <c r="E79" s="15" t="inlineStr">
        <is>
          <t>No</t>
        </is>
      </c>
      <c r="F79" s="15" t="inlineStr">
        <is>
          <t>Active</t>
        </is>
      </c>
      <c r="G79" s="25" t="n"/>
      <c r="H79" s="17" t="n">
        <v>1</v>
      </c>
      <c r="I79" s="26" t="n"/>
      <c r="J79" s="26" t="n"/>
      <c r="K79" s="25" t="n"/>
      <c r="L79" s="25" t="n"/>
      <c r="M79" s="25" t="n"/>
      <c r="N79" s="25" t="n"/>
      <c r="O79" s="25" t="n"/>
      <c r="P79" s="25" t="n"/>
      <c r="Q79" s="19">
        <f>IF($A79="","",COUNTIFS(Assignments!$C$2:$C$769,$A79,Assignments!$G$2:$G$769,"Active"))</f>
        <v/>
      </c>
      <c r="R79" s="20">
        <f>IF($A79="","",SUMIFS(Assignments!$I$2:$I$769,Assignments!$C$2:$C$769,$A79,Assignments!$G$2:$G$769,"Active"))</f>
        <v/>
      </c>
      <c r="S79" s="16" t="inlineStr">
        <is>
          <t>WIP</t>
        </is>
      </c>
      <c r="T79" s="27" t="n"/>
      <c r="U79" s="25" t="n"/>
      <c r="V79" s="22">
        <f>IF($U79="","",IFERROR(INDEX(Templates!$K$3:$K$10,MATCH($U79,Templates!$A$3:$A$10,0)),""))</f>
        <v/>
      </c>
      <c r="W79" s="22">
        <f>IF($U79="","",IFERROR(INDEX(Templates!$L$3:$L$10,MATCH($U79,Templates!$A$3:$A$10,0)),""))</f>
        <v/>
      </c>
      <c r="X79" s="23">
        <f>IF($U79="","",IFERROR(INDEX(Templates!$J$3:$J$10,MATCH($U79,Templates!$A$3:$A$10,0)),""))</f>
        <v/>
      </c>
      <c r="Y79" s="24">
        <f>IF(OR($U79="",$I79="",$J79="",$X79=""),"",$I79+$X79*($J79-$I79))</f>
        <v/>
      </c>
    </row>
    <row r="80">
      <c r="A80" s="15" t="inlineStr">
        <is>
          <t>Georgia_3</t>
        </is>
      </c>
      <c r="B80" s="16" t="inlineStr">
        <is>
          <t>Ares Management Corporation</t>
        </is>
      </c>
      <c r="C80" s="15" t="inlineStr">
        <is>
          <t>Ares Management Corporation</t>
        </is>
      </c>
      <c r="D80" s="15" t="inlineStr"/>
      <c r="E80" s="15" t="inlineStr">
        <is>
          <t>No</t>
        </is>
      </c>
      <c r="F80" s="15" t="inlineStr">
        <is>
          <t>Active</t>
        </is>
      </c>
      <c r="G80" s="25" t="n"/>
      <c r="H80" s="17" t="n">
        <v>1</v>
      </c>
      <c r="I80" s="26" t="n"/>
      <c r="J80" s="26" t="n"/>
      <c r="K80" s="25" t="n"/>
      <c r="L80" s="25" t="n"/>
      <c r="M80" s="25" t="n"/>
      <c r="N80" s="25" t="n"/>
      <c r="O80" s="25" t="n"/>
      <c r="P80" s="25" t="n"/>
      <c r="Q80" s="19">
        <f>IF($A80="","",COUNTIFS(Assignments!$C$2:$C$769,$A80,Assignments!$G$2:$G$769,"Active"))</f>
        <v/>
      </c>
      <c r="R80" s="20">
        <f>IF($A80="","",SUMIFS(Assignments!$I$2:$I$769,Assignments!$C$2:$C$769,$A80,Assignments!$G$2:$G$769,"Active"))</f>
        <v/>
      </c>
      <c r="S80" s="16" t="inlineStr">
        <is>
          <t>WIP</t>
        </is>
      </c>
      <c r="T80" s="27" t="n"/>
      <c r="U80" s="25" t="n"/>
      <c r="V80" s="22">
        <f>IF($U80="","",IFERROR(INDEX(Templates!$K$3:$K$10,MATCH($U80,Templates!$A$3:$A$10,0)),""))</f>
        <v/>
      </c>
      <c r="W80" s="22">
        <f>IF($U80="","",IFERROR(INDEX(Templates!$L$3:$L$10,MATCH($U80,Templates!$A$3:$A$10,0)),""))</f>
        <v/>
      </c>
      <c r="X80" s="23">
        <f>IF($U80="","",IFERROR(INDEX(Templates!$J$3:$J$10,MATCH($U80,Templates!$A$3:$A$10,0)),""))</f>
        <v/>
      </c>
      <c r="Y80" s="24">
        <f>IF(OR($U80="",$I80="",$J80="",$X80=""),"",$I80+$X80*($J80-$I80))</f>
        <v/>
      </c>
    </row>
    <row r="81">
      <c r="A81" s="15" t="inlineStr">
        <is>
          <t>Gonzaga_2</t>
        </is>
      </c>
      <c r="B81" s="16" t="inlineStr">
        <is>
          <t>Ethos Specialty Insurance Services</t>
        </is>
      </c>
      <c r="C81" s="15" t="inlineStr">
        <is>
          <t>Ethos Specialty Insurance Services</t>
        </is>
      </c>
      <c r="D81" s="15" t="inlineStr"/>
      <c r="E81" s="15" t="inlineStr">
        <is>
          <t>No</t>
        </is>
      </c>
      <c r="F81" s="15" t="inlineStr">
        <is>
          <t>Active</t>
        </is>
      </c>
      <c r="G81" s="25" t="n"/>
      <c r="H81" s="17" t="n">
        <v>1</v>
      </c>
      <c r="I81" s="26" t="n"/>
      <c r="J81" s="26" t="n"/>
      <c r="K81" s="25" t="n"/>
      <c r="L81" s="25" t="n"/>
      <c r="M81" s="25" t="n"/>
      <c r="N81" s="25" t="n"/>
      <c r="O81" s="25" t="n"/>
      <c r="P81" s="25" t="n"/>
      <c r="Q81" s="19">
        <f>IF($A81="","",COUNTIFS(Assignments!$C$2:$C$769,$A81,Assignments!$G$2:$G$769,"Active"))</f>
        <v/>
      </c>
      <c r="R81" s="20">
        <f>IF($A81="","",SUMIFS(Assignments!$I$2:$I$769,Assignments!$C$2:$C$769,$A81,Assignments!$G$2:$G$769,"Active"))</f>
        <v/>
      </c>
      <c r="S81" s="16" t="inlineStr">
        <is>
          <t>WIP</t>
        </is>
      </c>
      <c r="T81" s="27" t="n"/>
      <c r="U81" s="25" t="n"/>
      <c r="V81" s="22">
        <f>IF($U81="","",IFERROR(INDEX(Templates!$K$3:$K$10,MATCH($U81,Templates!$A$3:$A$10,0)),""))</f>
        <v/>
      </c>
      <c r="W81" s="22">
        <f>IF($U81="","",IFERROR(INDEX(Templates!$L$3:$L$10,MATCH($U81,Templates!$A$3:$A$10,0)),""))</f>
        <v/>
      </c>
      <c r="X81" s="23">
        <f>IF($U81="","",IFERROR(INDEX(Templates!$J$3:$J$10,MATCH($U81,Templates!$A$3:$A$10,0)),""))</f>
        <v/>
      </c>
      <c r="Y81" s="24">
        <f>IF(OR($U81="",$I81="",$J81="",$X81=""),"",$I81+$X81*($J81-$I81))</f>
        <v/>
      </c>
    </row>
    <row r="82">
      <c r="A82" s="15" t="inlineStr">
        <is>
          <t>Goose_1</t>
        </is>
      </c>
      <c r="B82" s="16" t="inlineStr">
        <is>
          <t>CVC Capital Partners : DIF Capital Partners : DIF Infra 8 Canada Holdco 1 ULC</t>
        </is>
      </c>
      <c r="C82" s="15" t="inlineStr">
        <is>
          <t>CVC Capital Partners</t>
        </is>
      </c>
      <c r="D82" s="15" t="inlineStr">
        <is>
          <t>DIF Infra 8 Canada Holdco 1 ULC</t>
        </is>
      </c>
      <c r="E82" s="15" t="inlineStr">
        <is>
          <t>No</t>
        </is>
      </c>
      <c r="F82" s="15" t="inlineStr">
        <is>
          <t>Active</t>
        </is>
      </c>
      <c r="G82" s="25" t="n"/>
      <c r="H82" s="17" t="n">
        <v>1</v>
      </c>
      <c r="I82" s="26" t="n"/>
      <c r="J82" s="26" t="n"/>
      <c r="K82" s="25" t="n"/>
      <c r="L82" s="25" t="n"/>
      <c r="M82" s="25" t="n"/>
      <c r="N82" s="25" t="n"/>
      <c r="O82" s="25" t="n"/>
      <c r="P82" s="25" t="n"/>
      <c r="Q82" s="19">
        <f>IF($A82="","",COUNTIFS(Assignments!$C$2:$C$769,$A82,Assignments!$G$2:$G$769,"Active"))</f>
        <v/>
      </c>
      <c r="R82" s="20">
        <f>IF($A82="","",SUMIFS(Assignments!$I$2:$I$769,Assignments!$C$2:$C$769,$A82,Assignments!$G$2:$G$769,"Active"))</f>
        <v/>
      </c>
      <c r="S82" s="16" t="inlineStr">
        <is>
          <t>WIP</t>
        </is>
      </c>
      <c r="T82" s="27" t="n"/>
      <c r="U82" s="25" t="n"/>
      <c r="V82" s="22">
        <f>IF($U82="","",IFERROR(INDEX(Templates!$K$3:$K$10,MATCH($U82,Templates!$A$3:$A$10,0)),""))</f>
        <v/>
      </c>
      <c r="W82" s="22">
        <f>IF($U82="","",IFERROR(INDEX(Templates!$L$3:$L$10,MATCH($U82,Templates!$A$3:$A$10,0)),""))</f>
        <v/>
      </c>
      <c r="X82" s="23">
        <f>IF($U82="","",IFERROR(INDEX(Templates!$J$3:$J$10,MATCH($U82,Templates!$A$3:$A$10,0)),""))</f>
        <v/>
      </c>
      <c r="Y82" s="24">
        <f>IF(OR($U82="",$I82="",$J82="",$X82=""),"",$I82+$X82*($J82-$I82))</f>
        <v/>
      </c>
    </row>
    <row r="83">
      <c r="A83" s="15" t="inlineStr">
        <is>
          <t>Goose_2</t>
        </is>
      </c>
      <c r="B83" s="16" t="inlineStr">
        <is>
          <t>Golden Goose</t>
        </is>
      </c>
      <c r="C83" s="15" t="inlineStr">
        <is>
          <t>Golden Goose</t>
        </is>
      </c>
      <c r="D83" s="15" t="inlineStr"/>
      <c r="E83" s="15" t="inlineStr">
        <is>
          <t>No</t>
        </is>
      </c>
      <c r="F83" s="15" t="inlineStr">
        <is>
          <t>Active</t>
        </is>
      </c>
      <c r="G83" s="25" t="n"/>
      <c r="H83" s="17" t="n">
        <v>1</v>
      </c>
      <c r="I83" s="26" t="n"/>
      <c r="J83" s="26" t="n"/>
      <c r="K83" s="25" t="n"/>
      <c r="L83" s="25" t="n"/>
      <c r="M83" s="25" t="n"/>
      <c r="N83" s="25" t="n"/>
      <c r="O83" s="25" t="n"/>
      <c r="P83" s="25" t="n"/>
      <c r="Q83" s="19">
        <f>IF($A83="","",COUNTIFS(Assignments!$C$2:$C$769,$A83,Assignments!$G$2:$G$769,"Active"))</f>
        <v/>
      </c>
      <c r="R83" s="20">
        <f>IF($A83="","",SUMIFS(Assignments!$I$2:$I$769,Assignments!$C$2:$C$769,$A83,Assignments!$G$2:$G$769,"Active"))</f>
        <v/>
      </c>
      <c r="S83" s="16" t="inlineStr">
        <is>
          <t>WIP</t>
        </is>
      </c>
      <c r="T83" s="27" t="n"/>
      <c r="U83" s="25" t="n"/>
      <c r="V83" s="22">
        <f>IF($U83="","",IFERROR(INDEX(Templates!$K$3:$K$10,MATCH($U83,Templates!$A$3:$A$10,0)),""))</f>
        <v/>
      </c>
      <c r="W83" s="22">
        <f>IF($U83="","",IFERROR(INDEX(Templates!$L$3:$L$10,MATCH($U83,Templates!$A$3:$A$10,0)),""))</f>
        <v/>
      </c>
      <c r="X83" s="23">
        <f>IF($U83="","",IFERROR(INDEX(Templates!$J$3:$J$10,MATCH($U83,Templates!$A$3:$A$10,0)),""))</f>
        <v/>
      </c>
      <c r="Y83" s="24">
        <f>IF(OR($U83="",$I83="",$J83="",$X83=""),"",$I83+$X83*($J83-$I83))</f>
        <v/>
      </c>
    </row>
    <row r="84">
      <c r="A84" s="15" t="inlineStr">
        <is>
          <t>Graitec Reorg_2</t>
        </is>
      </c>
      <c r="B84" s="16" t="inlineStr">
        <is>
          <t>Arsene TaxAnd</t>
        </is>
      </c>
      <c r="C84" s="15" t="inlineStr">
        <is>
          <t>Arsene TaxAnd</t>
        </is>
      </c>
      <c r="D84" s="15" t="inlineStr"/>
      <c r="E84" s="15" t="inlineStr">
        <is>
          <t>No</t>
        </is>
      </c>
      <c r="F84" s="15" t="inlineStr">
        <is>
          <t>Active</t>
        </is>
      </c>
      <c r="G84" s="25" t="n"/>
      <c r="H84" s="17" t="n">
        <v>1</v>
      </c>
      <c r="I84" s="26" t="n"/>
      <c r="J84" s="26" t="n"/>
      <c r="K84" s="25" t="n"/>
      <c r="L84" s="25" t="n"/>
      <c r="M84" s="25" t="n"/>
      <c r="N84" s="25" t="n"/>
      <c r="O84" s="25" t="n"/>
      <c r="P84" s="25" t="n"/>
      <c r="Q84" s="19">
        <f>IF($A84="","",COUNTIFS(Assignments!$C$2:$C$769,$A84,Assignments!$G$2:$G$769,"Active"))</f>
        <v/>
      </c>
      <c r="R84" s="20">
        <f>IF($A84="","",SUMIFS(Assignments!$I$2:$I$769,Assignments!$C$2:$C$769,$A84,Assignments!$G$2:$G$769,"Active"))</f>
        <v/>
      </c>
      <c r="S84" s="16" t="inlineStr">
        <is>
          <t>WIP</t>
        </is>
      </c>
      <c r="T84" s="27" t="n"/>
      <c r="U84" s="25" t="n"/>
      <c r="V84" s="22">
        <f>IF($U84="","",IFERROR(INDEX(Templates!$K$3:$K$10,MATCH($U84,Templates!$A$3:$A$10,0)),""))</f>
        <v/>
      </c>
      <c r="W84" s="22">
        <f>IF($U84="","",IFERROR(INDEX(Templates!$L$3:$L$10,MATCH($U84,Templates!$A$3:$A$10,0)),""))</f>
        <v/>
      </c>
      <c r="X84" s="23">
        <f>IF($U84="","",IFERROR(INDEX(Templates!$J$3:$J$10,MATCH($U84,Templates!$A$3:$A$10,0)),""))</f>
        <v/>
      </c>
      <c r="Y84" s="24">
        <f>IF(OR($U84="",$I84="",$J84="",$X84=""),"",$I84+$X84*($J84-$I84))</f>
        <v/>
      </c>
    </row>
    <row r="85">
      <c r="A85" s="15" t="inlineStr">
        <is>
          <t>Greenkey_1</t>
        </is>
      </c>
      <c r="B85" s="16" t="inlineStr">
        <is>
          <t>Berkshire Hathaway Specialty Insurance</t>
        </is>
      </c>
      <c r="C85" s="15" t="inlineStr">
        <is>
          <t>Berkshire Hathaway Specialty Insurance</t>
        </is>
      </c>
      <c r="D85" s="15" t="inlineStr"/>
      <c r="E85" s="15" t="inlineStr">
        <is>
          <t>No</t>
        </is>
      </c>
      <c r="F85" s="15" t="inlineStr">
        <is>
          <t>Active</t>
        </is>
      </c>
      <c r="G85" s="25" t="n"/>
      <c r="H85" s="17" t="n">
        <v>1</v>
      </c>
      <c r="I85" s="26" t="n"/>
      <c r="J85" s="26" t="n"/>
      <c r="K85" s="25" t="n"/>
      <c r="L85" s="25" t="n"/>
      <c r="M85" s="25" t="n"/>
      <c r="N85" s="25" t="n"/>
      <c r="O85" s="25" t="n"/>
      <c r="P85" s="25" t="n"/>
      <c r="Q85" s="19">
        <f>IF($A85="","",COUNTIFS(Assignments!$C$2:$C$769,$A85,Assignments!$G$2:$G$769,"Active"))</f>
        <v/>
      </c>
      <c r="R85" s="20">
        <f>IF($A85="","",SUMIFS(Assignments!$I$2:$I$769,Assignments!$C$2:$C$769,$A85,Assignments!$G$2:$G$769,"Active"))</f>
        <v/>
      </c>
      <c r="S85" s="16" t="inlineStr">
        <is>
          <t>WIP</t>
        </is>
      </c>
      <c r="T85" s="27" t="n"/>
      <c r="U85" s="25" t="n"/>
      <c r="V85" s="22">
        <f>IF($U85="","",IFERROR(INDEX(Templates!$K$3:$K$10,MATCH($U85,Templates!$A$3:$A$10,0)),""))</f>
        <v/>
      </c>
      <c r="W85" s="22">
        <f>IF($U85="","",IFERROR(INDEX(Templates!$L$3:$L$10,MATCH($U85,Templates!$A$3:$A$10,0)),""))</f>
        <v/>
      </c>
      <c r="X85" s="23">
        <f>IF($U85="","",IFERROR(INDEX(Templates!$J$3:$J$10,MATCH($U85,Templates!$A$3:$A$10,0)),""))</f>
        <v/>
      </c>
      <c r="Y85" s="24">
        <f>IF(OR($U85="",$I85="",$J85="",$X85=""),"",$I85+$X85*($J85-$I85))</f>
        <v/>
      </c>
    </row>
    <row r="86">
      <c r="A86" s="15" t="inlineStr">
        <is>
          <t>Guardian_3</t>
        </is>
      </c>
      <c r="B86" s="16" t="inlineStr">
        <is>
          <t>PB Acquisitions, LLC</t>
        </is>
      </c>
      <c r="C86" s="15" t="inlineStr">
        <is>
          <t>PB Acquisitions, LLC</t>
        </is>
      </c>
      <c r="D86" s="15" t="inlineStr"/>
      <c r="E86" s="15" t="inlineStr">
        <is>
          <t>No</t>
        </is>
      </c>
      <c r="F86" s="15" t="inlineStr">
        <is>
          <t>Active</t>
        </is>
      </c>
      <c r="G86" s="25" t="n"/>
      <c r="H86" s="17" t="n">
        <v>1</v>
      </c>
      <c r="I86" s="26" t="n"/>
      <c r="J86" s="26" t="n"/>
      <c r="K86" s="25" t="n"/>
      <c r="L86" s="25" t="n"/>
      <c r="M86" s="25" t="n"/>
      <c r="N86" s="25" t="n"/>
      <c r="O86" s="25" t="n"/>
      <c r="P86" s="25" t="n"/>
      <c r="Q86" s="19">
        <f>IF($A86="","",COUNTIFS(Assignments!$C$2:$C$769,$A86,Assignments!$G$2:$G$769,"Active"))</f>
        <v/>
      </c>
      <c r="R86" s="20">
        <f>IF($A86="","",SUMIFS(Assignments!$I$2:$I$769,Assignments!$C$2:$C$769,$A86,Assignments!$G$2:$G$769,"Active"))</f>
        <v/>
      </c>
      <c r="S86" s="16" t="inlineStr">
        <is>
          <t>WIP</t>
        </is>
      </c>
      <c r="T86" s="27" t="n"/>
      <c r="U86" s="25" t="n"/>
      <c r="V86" s="22">
        <f>IF($U86="","",IFERROR(INDEX(Templates!$K$3:$K$10,MATCH($U86,Templates!$A$3:$A$10,0)),""))</f>
        <v/>
      </c>
      <c r="W86" s="22">
        <f>IF($U86="","",IFERROR(INDEX(Templates!$L$3:$L$10,MATCH($U86,Templates!$A$3:$A$10,0)),""))</f>
        <v/>
      </c>
      <c r="X86" s="23">
        <f>IF($U86="","",IFERROR(INDEX(Templates!$J$3:$J$10,MATCH($U86,Templates!$A$3:$A$10,0)),""))</f>
        <v/>
      </c>
      <c r="Y86" s="24">
        <f>IF(OR($U86="",$I86="",$J86="",$X86=""),"",$I86+$X86*($J86-$I86))</f>
        <v/>
      </c>
    </row>
    <row r="87">
      <c r="A87" s="15" t="inlineStr">
        <is>
          <t>Hamby_1</t>
        </is>
      </c>
      <c r="B87" s="16" t="inlineStr">
        <is>
          <t>Abilene GCE LLC</t>
        </is>
      </c>
      <c r="C87" s="15" t="inlineStr">
        <is>
          <t>Abilene GCE LLC</t>
        </is>
      </c>
      <c r="D87" s="15" t="inlineStr"/>
      <c r="E87" s="15" t="inlineStr">
        <is>
          <t>No</t>
        </is>
      </c>
      <c r="F87" s="15" t="inlineStr">
        <is>
          <t>Active</t>
        </is>
      </c>
      <c r="G87" s="25" t="n"/>
      <c r="H87" s="17" t="n">
        <v>1</v>
      </c>
      <c r="I87" s="26" t="n"/>
      <c r="J87" s="26" t="n"/>
      <c r="K87" s="25" t="n"/>
      <c r="L87" s="25" t="n"/>
      <c r="M87" s="25" t="n"/>
      <c r="N87" s="25" t="n"/>
      <c r="O87" s="25" t="n"/>
      <c r="P87" s="25" t="n"/>
      <c r="Q87" s="19">
        <f>IF($A87="","",COUNTIFS(Assignments!$C$2:$C$769,$A87,Assignments!$G$2:$G$769,"Active"))</f>
        <v/>
      </c>
      <c r="R87" s="20">
        <f>IF($A87="","",SUMIFS(Assignments!$I$2:$I$769,Assignments!$C$2:$C$769,$A87,Assignments!$G$2:$G$769,"Active"))</f>
        <v/>
      </c>
      <c r="S87" s="16" t="inlineStr">
        <is>
          <t>WIP</t>
        </is>
      </c>
      <c r="T87" s="27" t="n"/>
      <c r="U87" s="25" t="n"/>
      <c r="V87" s="22">
        <f>IF($U87="","",IFERROR(INDEX(Templates!$K$3:$K$10,MATCH($U87,Templates!$A$3:$A$10,0)),""))</f>
        <v/>
      </c>
      <c r="W87" s="22">
        <f>IF($U87="","",IFERROR(INDEX(Templates!$L$3:$L$10,MATCH($U87,Templates!$A$3:$A$10,0)),""))</f>
        <v/>
      </c>
      <c r="X87" s="23">
        <f>IF($U87="","",IFERROR(INDEX(Templates!$J$3:$J$10,MATCH($U87,Templates!$A$3:$A$10,0)),""))</f>
        <v/>
      </c>
      <c r="Y87" s="24">
        <f>IF(OR($U87="",$I87="",$J87="",$X87=""),"",$I87+$X87*($J87-$I87))</f>
        <v/>
      </c>
    </row>
    <row r="88">
      <c r="A88" s="15" t="inlineStr">
        <is>
          <t>Hatch_1</t>
        </is>
      </c>
      <c r="B88" s="16" t="inlineStr">
        <is>
          <t>Insperience Group</t>
        </is>
      </c>
      <c r="C88" s="15" t="inlineStr">
        <is>
          <t>Insperience Group</t>
        </is>
      </c>
      <c r="D88" s="15" t="inlineStr"/>
      <c r="E88" s="15" t="inlineStr">
        <is>
          <t>No</t>
        </is>
      </c>
      <c r="F88" s="15" t="inlineStr">
        <is>
          <t>Active</t>
        </is>
      </c>
      <c r="G88" s="25" t="n"/>
      <c r="H88" s="17" t="n">
        <v>1</v>
      </c>
      <c r="I88" s="26" t="n"/>
      <c r="J88" s="26" t="n"/>
      <c r="K88" s="25" t="n"/>
      <c r="L88" s="25" t="n"/>
      <c r="M88" s="25" t="n"/>
      <c r="N88" s="25" t="n"/>
      <c r="O88" s="25" t="n"/>
      <c r="P88" s="25" t="n"/>
      <c r="Q88" s="19">
        <f>IF($A88="","",COUNTIFS(Assignments!$C$2:$C$769,$A88,Assignments!$G$2:$G$769,"Active"))</f>
        <v/>
      </c>
      <c r="R88" s="20">
        <f>IF($A88="","",SUMIFS(Assignments!$I$2:$I$769,Assignments!$C$2:$C$769,$A88,Assignments!$G$2:$G$769,"Active"))</f>
        <v/>
      </c>
      <c r="S88" s="16" t="inlineStr">
        <is>
          <t>WIP</t>
        </is>
      </c>
      <c r="T88" s="27" t="n"/>
      <c r="U88" s="25" t="n"/>
      <c r="V88" s="22">
        <f>IF($U88="","",IFERROR(INDEX(Templates!$K$3:$K$10,MATCH($U88,Templates!$A$3:$A$10,0)),""))</f>
        <v/>
      </c>
      <c r="W88" s="22">
        <f>IF($U88="","",IFERROR(INDEX(Templates!$L$3:$L$10,MATCH($U88,Templates!$A$3:$A$10,0)),""))</f>
        <v/>
      </c>
      <c r="X88" s="23">
        <f>IF($U88="","",IFERROR(INDEX(Templates!$J$3:$J$10,MATCH($U88,Templates!$A$3:$A$10,0)),""))</f>
        <v/>
      </c>
      <c r="Y88" s="24">
        <f>IF(OR($U88="",$I88="",$J88="",$X88=""),"",$I88+$X88*($J88-$I88))</f>
        <v/>
      </c>
    </row>
    <row r="89">
      <c r="A89" s="15" t="inlineStr">
        <is>
          <t>Heartland_2</t>
        </is>
      </c>
      <c r="B89" s="16" t="inlineStr">
        <is>
          <t>Sumitomo Corporation of Americas</t>
        </is>
      </c>
      <c r="C89" s="15" t="inlineStr">
        <is>
          <t>Sumitomo Corporation of Americas</t>
        </is>
      </c>
      <c r="D89" s="15" t="inlineStr"/>
      <c r="E89" s="15" t="inlineStr">
        <is>
          <t>No</t>
        </is>
      </c>
      <c r="F89" s="15" t="inlineStr">
        <is>
          <t>Active</t>
        </is>
      </c>
      <c r="G89" s="25" t="n"/>
      <c r="H89" s="17" t="n">
        <v>1</v>
      </c>
      <c r="I89" s="26" t="n"/>
      <c r="J89" s="26" t="n"/>
      <c r="K89" s="25" t="n"/>
      <c r="L89" s="25" t="n"/>
      <c r="M89" s="25" t="n"/>
      <c r="N89" s="25" t="n"/>
      <c r="O89" s="25" t="n"/>
      <c r="P89" s="25" t="n"/>
      <c r="Q89" s="19">
        <f>IF($A89="","",COUNTIFS(Assignments!$C$2:$C$769,$A89,Assignments!$G$2:$G$769,"Active"))</f>
        <v/>
      </c>
      <c r="R89" s="20">
        <f>IF($A89="","",SUMIFS(Assignments!$I$2:$I$769,Assignments!$C$2:$C$769,$A89,Assignments!$G$2:$G$769,"Active"))</f>
        <v/>
      </c>
      <c r="S89" s="16" t="inlineStr">
        <is>
          <t>WIP</t>
        </is>
      </c>
      <c r="T89" s="27" t="n"/>
      <c r="U89" s="25" t="n"/>
      <c r="V89" s="22">
        <f>IF($U89="","",IFERROR(INDEX(Templates!$K$3:$K$10,MATCH($U89,Templates!$A$3:$A$10,0)),""))</f>
        <v/>
      </c>
      <c r="W89" s="22">
        <f>IF($U89="","",IFERROR(INDEX(Templates!$L$3:$L$10,MATCH($U89,Templates!$A$3:$A$10,0)),""))</f>
        <v/>
      </c>
      <c r="X89" s="23">
        <f>IF($U89="","",IFERROR(INDEX(Templates!$J$3:$J$10,MATCH($U89,Templates!$A$3:$A$10,0)),""))</f>
        <v/>
      </c>
      <c r="Y89" s="24">
        <f>IF(OR($U89="",$I89="",$J89="",$X89=""),"",$I89+$X89*($J89-$I89))</f>
        <v/>
      </c>
    </row>
    <row r="90">
      <c r="A90" s="15" t="inlineStr">
        <is>
          <t>Helios_2</t>
        </is>
      </c>
      <c r="B90" s="16" t="inlineStr">
        <is>
          <t>ICEN Risk</t>
        </is>
      </c>
      <c r="C90" s="15" t="inlineStr">
        <is>
          <t>ICEN Risk</t>
        </is>
      </c>
      <c r="D90" s="15" t="inlineStr"/>
      <c r="E90" s="15" t="inlineStr">
        <is>
          <t>No</t>
        </is>
      </c>
      <c r="F90" s="15" t="inlineStr">
        <is>
          <t>Active</t>
        </is>
      </c>
      <c r="G90" s="25" t="n"/>
      <c r="H90" s="17" t="n">
        <v>1</v>
      </c>
      <c r="I90" s="26" t="n"/>
      <c r="J90" s="26" t="n"/>
      <c r="K90" s="25" t="n"/>
      <c r="L90" s="25" t="n"/>
      <c r="M90" s="25" t="n"/>
      <c r="N90" s="25" t="n"/>
      <c r="O90" s="25" t="n"/>
      <c r="P90" s="25" t="n"/>
      <c r="Q90" s="19">
        <f>IF($A90="","",COUNTIFS(Assignments!$C$2:$C$769,$A90,Assignments!$G$2:$G$769,"Active"))</f>
        <v/>
      </c>
      <c r="R90" s="20">
        <f>IF($A90="","",SUMIFS(Assignments!$I$2:$I$769,Assignments!$C$2:$C$769,$A90,Assignments!$G$2:$G$769,"Active"))</f>
        <v/>
      </c>
      <c r="S90" s="16" t="inlineStr">
        <is>
          <t>WIP</t>
        </is>
      </c>
      <c r="T90" s="27" t="n"/>
      <c r="U90" s="25" t="n"/>
      <c r="V90" s="22">
        <f>IF($U90="","",IFERROR(INDEX(Templates!$K$3:$K$10,MATCH($U90,Templates!$A$3:$A$10,0)),""))</f>
        <v/>
      </c>
      <c r="W90" s="22">
        <f>IF($U90="","",IFERROR(INDEX(Templates!$L$3:$L$10,MATCH($U90,Templates!$A$3:$A$10,0)),""))</f>
        <v/>
      </c>
      <c r="X90" s="23">
        <f>IF($U90="","",IFERROR(INDEX(Templates!$J$3:$J$10,MATCH($U90,Templates!$A$3:$A$10,0)),""))</f>
        <v/>
      </c>
      <c r="Y90" s="24">
        <f>IF(OR($U90="",$I90="",$J90="",$X90=""),"",$I90+$X90*($J90-$I90))</f>
        <v/>
      </c>
    </row>
    <row r="91">
      <c r="A91" s="15" t="inlineStr">
        <is>
          <t>Hidden _1</t>
        </is>
      </c>
      <c r="B91" s="16" t="inlineStr">
        <is>
          <t>VALE Insurance Partners</t>
        </is>
      </c>
      <c r="C91" s="15" t="inlineStr">
        <is>
          <t>VALE Insurance Partners</t>
        </is>
      </c>
      <c r="D91" s="15" t="inlineStr"/>
      <c r="E91" s="15" t="inlineStr">
        <is>
          <t>No</t>
        </is>
      </c>
      <c r="F91" s="15" t="inlineStr">
        <is>
          <t>Active</t>
        </is>
      </c>
      <c r="G91" s="25" t="n"/>
      <c r="H91" s="17" t="n">
        <v>1</v>
      </c>
      <c r="I91" s="26" t="n"/>
      <c r="J91" s="26" t="n"/>
      <c r="K91" s="25" t="n"/>
      <c r="L91" s="25" t="n"/>
      <c r="M91" s="25" t="n"/>
      <c r="N91" s="25" t="n"/>
      <c r="O91" s="25" t="n"/>
      <c r="P91" s="25" t="n"/>
      <c r="Q91" s="19">
        <f>IF($A91="","",COUNTIFS(Assignments!$C$2:$C$769,$A91,Assignments!$G$2:$G$769,"Active"))</f>
        <v/>
      </c>
      <c r="R91" s="20">
        <f>IF($A91="","",SUMIFS(Assignments!$I$2:$I$769,Assignments!$C$2:$C$769,$A91,Assignments!$G$2:$G$769,"Active"))</f>
        <v/>
      </c>
      <c r="S91" s="16" t="inlineStr">
        <is>
          <t>WIP</t>
        </is>
      </c>
      <c r="T91" s="27" t="n"/>
      <c r="U91" s="25" t="n"/>
      <c r="V91" s="22">
        <f>IF($U91="","",IFERROR(INDEX(Templates!$K$3:$K$10,MATCH($U91,Templates!$A$3:$A$10,0)),""))</f>
        <v/>
      </c>
      <c r="W91" s="22">
        <f>IF($U91="","",IFERROR(INDEX(Templates!$L$3:$L$10,MATCH($U91,Templates!$A$3:$A$10,0)),""))</f>
        <v/>
      </c>
      <c r="X91" s="23">
        <f>IF($U91="","",IFERROR(INDEX(Templates!$J$3:$J$10,MATCH($U91,Templates!$A$3:$A$10,0)),""))</f>
        <v/>
      </c>
      <c r="Y91" s="24">
        <f>IF(OR($U91="",$I91="",$J91="",$X91=""),"",$I91+$X91*($J91-$I91))</f>
        <v/>
      </c>
    </row>
    <row r="92">
      <c r="A92" s="15" t="inlineStr">
        <is>
          <t>Hop_1</t>
        </is>
      </c>
      <c r="B92" s="16" t="inlineStr">
        <is>
          <t>Lantern Learning Group</t>
        </is>
      </c>
      <c r="C92" s="15" t="inlineStr">
        <is>
          <t>Lantern Learning Group</t>
        </is>
      </c>
      <c r="D92" s="15" t="inlineStr"/>
      <c r="E92" s="15" t="inlineStr">
        <is>
          <t>No</t>
        </is>
      </c>
      <c r="F92" s="15" t="inlineStr">
        <is>
          <t>Active</t>
        </is>
      </c>
      <c r="G92" s="25" t="n"/>
      <c r="H92" s="17" t="n">
        <v>1</v>
      </c>
      <c r="I92" s="26" t="n"/>
      <c r="J92" s="26" t="n"/>
      <c r="K92" s="25" t="n"/>
      <c r="L92" s="25" t="n"/>
      <c r="M92" s="25" t="n"/>
      <c r="N92" s="25" t="n"/>
      <c r="O92" s="25" t="n"/>
      <c r="P92" s="25" t="n"/>
      <c r="Q92" s="19">
        <f>IF($A92="","",COUNTIFS(Assignments!$C$2:$C$769,$A92,Assignments!$G$2:$G$769,"Active"))</f>
        <v/>
      </c>
      <c r="R92" s="20">
        <f>IF($A92="","",SUMIFS(Assignments!$I$2:$I$769,Assignments!$C$2:$C$769,$A92,Assignments!$G$2:$G$769,"Active"))</f>
        <v/>
      </c>
      <c r="S92" s="16" t="inlineStr">
        <is>
          <t>WIP</t>
        </is>
      </c>
      <c r="T92" s="27" t="n"/>
      <c r="U92" s="25" t="n"/>
      <c r="V92" s="22">
        <f>IF($U92="","",IFERROR(INDEX(Templates!$K$3:$K$10,MATCH($U92,Templates!$A$3:$A$10,0)),""))</f>
        <v/>
      </c>
      <c r="W92" s="22">
        <f>IF($U92="","",IFERROR(INDEX(Templates!$L$3:$L$10,MATCH($U92,Templates!$A$3:$A$10,0)),""))</f>
        <v/>
      </c>
      <c r="X92" s="23">
        <f>IF($U92="","",IFERROR(INDEX(Templates!$J$3:$J$10,MATCH($U92,Templates!$A$3:$A$10,0)),""))</f>
        <v/>
      </c>
      <c r="Y92" s="24">
        <f>IF(OR($U92="",$I92="",$J92="",$X92=""),"",$I92+$X92*($J92-$I92))</f>
        <v/>
      </c>
    </row>
    <row r="93">
      <c r="A93" s="15" t="inlineStr">
        <is>
          <t>Horizon_3</t>
        </is>
      </c>
      <c r="B93" s="16" t="inlineStr">
        <is>
          <t>Q-Energy Private Equity</t>
        </is>
      </c>
      <c r="C93" s="15" t="inlineStr">
        <is>
          <t>Q-Energy Private Equity</t>
        </is>
      </c>
      <c r="D93" s="15" t="inlineStr"/>
      <c r="E93" s="15" t="inlineStr">
        <is>
          <t>No</t>
        </is>
      </c>
      <c r="F93" s="15" t="inlineStr">
        <is>
          <t>Active</t>
        </is>
      </c>
      <c r="G93" s="25" t="n"/>
      <c r="H93" s="17" t="n">
        <v>1</v>
      </c>
      <c r="I93" s="26" t="n"/>
      <c r="J93" s="26" t="n"/>
      <c r="K93" s="25" t="n"/>
      <c r="L93" s="25" t="n"/>
      <c r="M93" s="25" t="n"/>
      <c r="N93" s="25" t="n"/>
      <c r="O93" s="25" t="n"/>
      <c r="P93" s="25" t="n"/>
      <c r="Q93" s="19">
        <f>IF($A93="","",COUNTIFS(Assignments!$C$2:$C$769,$A93,Assignments!$G$2:$G$769,"Active"))</f>
        <v/>
      </c>
      <c r="R93" s="20">
        <f>IF($A93="","",SUMIFS(Assignments!$I$2:$I$769,Assignments!$C$2:$C$769,$A93,Assignments!$G$2:$G$769,"Active"))</f>
        <v/>
      </c>
      <c r="S93" s="16" t="inlineStr">
        <is>
          <t>WIP</t>
        </is>
      </c>
      <c r="T93" s="27" t="n"/>
      <c r="U93" s="25" t="n"/>
      <c r="V93" s="22">
        <f>IF($U93="","",IFERROR(INDEX(Templates!$K$3:$K$10,MATCH($U93,Templates!$A$3:$A$10,0)),""))</f>
        <v/>
      </c>
      <c r="W93" s="22">
        <f>IF($U93="","",IFERROR(INDEX(Templates!$L$3:$L$10,MATCH($U93,Templates!$A$3:$A$10,0)),""))</f>
        <v/>
      </c>
      <c r="X93" s="23">
        <f>IF($U93="","",IFERROR(INDEX(Templates!$J$3:$J$10,MATCH($U93,Templates!$A$3:$A$10,0)),""))</f>
        <v/>
      </c>
      <c r="Y93" s="24">
        <f>IF(OR($U93="",$I93="",$J93="",$X93=""),"",$I93+$X93*($J93-$I93))</f>
        <v/>
      </c>
    </row>
    <row r="94">
      <c r="A94" s="15" t="inlineStr">
        <is>
          <t>HVDC Transmission_1</t>
        </is>
      </c>
      <c r="B94" s="16" t="inlineStr">
        <is>
          <t>American Terawatt, Inc.</t>
        </is>
      </c>
      <c r="C94" s="15" t="inlineStr">
        <is>
          <t>American Terawatt, Inc.</t>
        </is>
      </c>
      <c r="D94" s="15" t="inlineStr"/>
      <c r="E94" s="15" t="inlineStr">
        <is>
          <t>No</t>
        </is>
      </c>
      <c r="F94" s="15" t="inlineStr">
        <is>
          <t>Active</t>
        </is>
      </c>
      <c r="G94" s="25" t="n"/>
      <c r="H94" s="17" t="n">
        <v>1</v>
      </c>
      <c r="I94" s="26" t="n"/>
      <c r="J94" s="26" t="n"/>
      <c r="K94" s="25" t="n"/>
      <c r="L94" s="25" t="n"/>
      <c r="M94" s="25" t="n"/>
      <c r="N94" s="25" t="n"/>
      <c r="O94" s="25" t="n"/>
      <c r="P94" s="25" t="n"/>
      <c r="Q94" s="19">
        <f>IF($A94="","",COUNTIFS(Assignments!$C$2:$C$769,$A94,Assignments!$G$2:$G$769,"Active"))</f>
        <v/>
      </c>
      <c r="R94" s="20">
        <f>IF($A94="","",SUMIFS(Assignments!$I$2:$I$769,Assignments!$C$2:$C$769,$A94,Assignments!$G$2:$G$769,"Active"))</f>
        <v/>
      </c>
      <c r="S94" s="16" t="inlineStr">
        <is>
          <t>WIP</t>
        </is>
      </c>
      <c r="T94" s="27" t="n"/>
      <c r="U94" s="25" t="n"/>
      <c r="V94" s="22">
        <f>IF($U94="","",IFERROR(INDEX(Templates!$K$3:$K$10,MATCH($U94,Templates!$A$3:$A$10,0)),""))</f>
        <v/>
      </c>
      <c r="W94" s="22">
        <f>IF($U94="","",IFERROR(INDEX(Templates!$L$3:$L$10,MATCH($U94,Templates!$A$3:$A$10,0)),""))</f>
        <v/>
      </c>
      <c r="X94" s="23">
        <f>IF($U94="","",IFERROR(INDEX(Templates!$J$3:$J$10,MATCH($U94,Templates!$A$3:$A$10,0)),""))</f>
        <v/>
      </c>
      <c r="Y94" s="24">
        <f>IF(OR($U94="",$I94="",$J94="",$X94=""),"",$I94+$X94*($J94-$I94))</f>
        <v/>
      </c>
    </row>
    <row r="95">
      <c r="A95" s="15" t="inlineStr">
        <is>
          <t>Hyacinth_1</t>
        </is>
      </c>
      <c r="B95" s="16" t="inlineStr">
        <is>
          <t>CFC Underwriting</t>
        </is>
      </c>
      <c r="C95" s="15" t="inlineStr">
        <is>
          <t>CFC Underwriting</t>
        </is>
      </c>
      <c r="D95" s="15" t="inlineStr"/>
      <c r="E95" s="15" t="inlineStr">
        <is>
          <t>No</t>
        </is>
      </c>
      <c r="F95" s="15" t="inlineStr">
        <is>
          <t>Active</t>
        </is>
      </c>
      <c r="G95" s="25" t="n"/>
      <c r="H95" s="17" t="n">
        <v>1</v>
      </c>
      <c r="I95" s="26" t="n"/>
      <c r="J95" s="26" t="n"/>
      <c r="K95" s="25" t="n"/>
      <c r="L95" s="25" t="n"/>
      <c r="M95" s="25" t="n"/>
      <c r="N95" s="25" t="n"/>
      <c r="O95" s="25" t="n"/>
      <c r="P95" s="25" t="n"/>
      <c r="Q95" s="19">
        <f>IF($A95="","",COUNTIFS(Assignments!$C$2:$C$769,$A95,Assignments!$G$2:$G$769,"Active"))</f>
        <v/>
      </c>
      <c r="R95" s="20">
        <f>IF($A95="","",SUMIFS(Assignments!$I$2:$I$769,Assignments!$C$2:$C$769,$A95,Assignments!$G$2:$G$769,"Active"))</f>
        <v/>
      </c>
      <c r="S95" s="16" t="inlineStr">
        <is>
          <t>WIP</t>
        </is>
      </c>
      <c r="T95" s="27" t="n"/>
      <c r="U95" s="25" t="n"/>
      <c r="V95" s="22">
        <f>IF($U95="","",IFERROR(INDEX(Templates!$K$3:$K$10,MATCH($U95,Templates!$A$3:$A$10,0)),""))</f>
        <v/>
      </c>
      <c r="W95" s="22">
        <f>IF($U95="","",IFERROR(INDEX(Templates!$L$3:$L$10,MATCH($U95,Templates!$A$3:$A$10,0)),""))</f>
        <v/>
      </c>
      <c r="X95" s="23">
        <f>IF($U95="","",IFERROR(INDEX(Templates!$J$3:$J$10,MATCH($U95,Templates!$A$3:$A$10,0)),""))</f>
        <v/>
      </c>
      <c r="Y95" s="24">
        <f>IF(OR($U95="",$I95="",$J95="",$X95=""),"",$I95+$X95*($J95-$I95))</f>
        <v/>
      </c>
    </row>
    <row r="96">
      <c r="A96" s="15" t="inlineStr">
        <is>
          <t>Hydra_1</t>
        </is>
      </c>
      <c r="B96" s="16" t="inlineStr">
        <is>
          <t>Ethos Specialty Insurance Services</t>
        </is>
      </c>
      <c r="C96" s="15" t="inlineStr">
        <is>
          <t>Ethos Specialty Insurance Services</t>
        </is>
      </c>
      <c r="D96" s="15" t="inlineStr"/>
      <c r="E96" s="15" t="inlineStr">
        <is>
          <t>No</t>
        </is>
      </c>
      <c r="F96" s="15" t="inlineStr">
        <is>
          <t>Active</t>
        </is>
      </c>
      <c r="G96" s="25" t="n"/>
      <c r="H96" s="17" t="n">
        <v>1</v>
      </c>
      <c r="I96" s="26" t="n"/>
      <c r="J96" s="26" t="n"/>
      <c r="K96" s="25" t="n"/>
      <c r="L96" s="25" t="n"/>
      <c r="M96" s="25" t="n"/>
      <c r="N96" s="25" t="n"/>
      <c r="O96" s="25" t="n"/>
      <c r="P96" s="25" t="n"/>
      <c r="Q96" s="19">
        <f>IF($A96="","",COUNTIFS(Assignments!$C$2:$C$769,$A96,Assignments!$G$2:$G$769,"Active"))</f>
        <v/>
      </c>
      <c r="R96" s="20">
        <f>IF($A96="","",SUMIFS(Assignments!$I$2:$I$769,Assignments!$C$2:$C$769,$A96,Assignments!$G$2:$G$769,"Active"))</f>
        <v/>
      </c>
      <c r="S96" s="16" t="inlineStr">
        <is>
          <t>WIP</t>
        </is>
      </c>
      <c r="T96" s="27" t="n"/>
      <c r="U96" s="25" t="n"/>
      <c r="V96" s="22">
        <f>IF($U96="","",IFERROR(INDEX(Templates!$K$3:$K$10,MATCH($U96,Templates!$A$3:$A$10,0)),""))</f>
        <v/>
      </c>
      <c r="W96" s="22">
        <f>IF($U96="","",IFERROR(INDEX(Templates!$L$3:$L$10,MATCH($U96,Templates!$A$3:$A$10,0)),""))</f>
        <v/>
      </c>
      <c r="X96" s="23">
        <f>IF($U96="","",IFERROR(INDEX(Templates!$J$3:$J$10,MATCH($U96,Templates!$A$3:$A$10,0)),""))</f>
        <v/>
      </c>
      <c r="Y96" s="24">
        <f>IF(OR($U96="",$I96="",$J96="",$X96=""),"",$I96+$X96*($J96-$I96))</f>
        <v/>
      </c>
    </row>
    <row r="97">
      <c r="A97" s="15" t="inlineStr">
        <is>
          <t>i3 Broadband _1</t>
        </is>
      </c>
      <c r="B97" s="16" t="inlineStr">
        <is>
          <t>Wren House Infrastructure</t>
        </is>
      </c>
      <c r="C97" s="15" t="inlineStr">
        <is>
          <t>Wren House Infrastructure</t>
        </is>
      </c>
      <c r="D97" s="15" t="inlineStr"/>
      <c r="E97" s="15" t="inlineStr">
        <is>
          <t>No</t>
        </is>
      </c>
      <c r="F97" s="15" t="inlineStr">
        <is>
          <t>Active</t>
        </is>
      </c>
      <c r="G97" s="25" t="n"/>
      <c r="H97" s="17" t="n">
        <v>1</v>
      </c>
      <c r="I97" s="26" t="n"/>
      <c r="J97" s="26" t="n"/>
      <c r="K97" s="25" t="n"/>
      <c r="L97" s="25" t="n"/>
      <c r="M97" s="25" t="n"/>
      <c r="N97" s="25" t="n"/>
      <c r="O97" s="25" t="n"/>
      <c r="P97" s="25" t="n"/>
      <c r="Q97" s="19">
        <f>IF($A97="","",COUNTIFS(Assignments!$C$2:$C$769,$A97,Assignments!$G$2:$G$769,"Active"))</f>
        <v/>
      </c>
      <c r="R97" s="20">
        <f>IF($A97="","",SUMIFS(Assignments!$I$2:$I$769,Assignments!$C$2:$C$769,$A97,Assignments!$G$2:$G$769,"Active"))</f>
        <v/>
      </c>
      <c r="S97" s="16" t="inlineStr">
        <is>
          <t>WIP</t>
        </is>
      </c>
      <c r="T97" s="27" t="n"/>
      <c r="U97" s="25" t="n"/>
      <c r="V97" s="22">
        <f>IF($U97="","",IFERROR(INDEX(Templates!$K$3:$K$10,MATCH($U97,Templates!$A$3:$A$10,0)),""))</f>
        <v/>
      </c>
      <c r="W97" s="22">
        <f>IF($U97="","",IFERROR(INDEX(Templates!$L$3:$L$10,MATCH($U97,Templates!$A$3:$A$10,0)),""))</f>
        <v/>
      </c>
      <c r="X97" s="23">
        <f>IF($U97="","",IFERROR(INDEX(Templates!$J$3:$J$10,MATCH($U97,Templates!$A$3:$A$10,0)),""))</f>
        <v/>
      </c>
      <c r="Y97" s="24">
        <f>IF(OR($U97="",$I97="",$J97="",$X97=""),"",$I97+$X97*($J97-$I97))</f>
        <v/>
      </c>
    </row>
    <row r="98">
      <c r="A98" s="15" t="inlineStr">
        <is>
          <t>IGS_1</t>
        </is>
      </c>
      <c r="B98" s="16" t="inlineStr">
        <is>
          <t>Ethos Specialty Insurance Services</t>
        </is>
      </c>
      <c r="C98" s="15" t="inlineStr">
        <is>
          <t>Ethos Specialty Insurance Services</t>
        </is>
      </c>
      <c r="D98" s="15" t="inlineStr"/>
      <c r="E98" s="15" t="inlineStr">
        <is>
          <t>No</t>
        </is>
      </c>
      <c r="F98" s="15" t="inlineStr">
        <is>
          <t>Active</t>
        </is>
      </c>
      <c r="G98" s="25" t="n"/>
      <c r="H98" s="17" t="n">
        <v>1</v>
      </c>
      <c r="I98" s="26" t="n"/>
      <c r="J98" s="26" t="n"/>
      <c r="K98" s="25" t="n"/>
      <c r="L98" s="25" t="n"/>
      <c r="M98" s="25" t="n"/>
      <c r="N98" s="25" t="n"/>
      <c r="O98" s="25" t="n"/>
      <c r="P98" s="25" t="n"/>
      <c r="Q98" s="19">
        <f>IF($A98="","",COUNTIFS(Assignments!$C$2:$C$769,$A98,Assignments!$G$2:$G$769,"Active"))</f>
        <v/>
      </c>
      <c r="R98" s="20">
        <f>IF($A98="","",SUMIFS(Assignments!$I$2:$I$769,Assignments!$C$2:$C$769,$A98,Assignments!$G$2:$G$769,"Active"))</f>
        <v/>
      </c>
      <c r="S98" s="16" t="inlineStr">
        <is>
          <t>WIP</t>
        </is>
      </c>
      <c r="T98" s="27" t="n"/>
      <c r="U98" s="25" t="n"/>
      <c r="V98" s="22">
        <f>IF($U98="","",IFERROR(INDEX(Templates!$K$3:$K$10,MATCH($U98,Templates!$A$3:$A$10,0)),""))</f>
        <v/>
      </c>
      <c r="W98" s="22">
        <f>IF($U98="","",IFERROR(INDEX(Templates!$L$3:$L$10,MATCH($U98,Templates!$A$3:$A$10,0)),""))</f>
        <v/>
      </c>
      <c r="X98" s="23">
        <f>IF($U98="","",IFERROR(INDEX(Templates!$J$3:$J$10,MATCH($U98,Templates!$A$3:$A$10,0)),""))</f>
        <v/>
      </c>
      <c r="Y98" s="24">
        <f>IF(OR($U98="",$I98="",$J98="",$X98=""),"",$I98+$X98*($J98-$I98))</f>
        <v/>
      </c>
    </row>
    <row r="99">
      <c r="A99" s="15" t="inlineStr">
        <is>
          <t>IMEC_1</t>
        </is>
      </c>
      <c r="B99" s="16" t="inlineStr">
        <is>
          <t>Maven Advisory LLC</t>
        </is>
      </c>
      <c r="C99" s="15" t="inlineStr">
        <is>
          <t>Maven Advisory LLC</t>
        </is>
      </c>
      <c r="D99" s="15" t="inlineStr"/>
      <c r="E99" s="15" t="inlineStr">
        <is>
          <t>No</t>
        </is>
      </c>
      <c r="F99" s="15" t="inlineStr">
        <is>
          <t>Active</t>
        </is>
      </c>
      <c r="G99" s="25" t="n"/>
      <c r="H99" s="17" t="n">
        <v>1</v>
      </c>
      <c r="I99" s="26" t="n"/>
      <c r="J99" s="26" t="n"/>
      <c r="K99" s="25" t="n"/>
      <c r="L99" s="25" t="n"/>
      <c r="M99" s="25" t="n"/>
      <c r="N99" s="25" t="n"/>
      <c r="O99" s="25" t="n"/>
      <c r="P99" s="25" t="n"/>
      <c r="Q99" s="19">
        <f>IF($A99="","",COUNTIFS(Assignments!$C$2:$C$769,$A99,Assignments!$G$2:$G$769,"Active"))</f>
        <v/>
      </c>
      <c r="R99" s="20">
        <f>IF($A99="","",SUMIFS(Assignments!$I$2:$I$769,Assignments!$C$2:$C$769,$A99,Assignments!$G$2:$G$769,"Active"))</f>
        <v/>
      </c>
      <c r="S99" s="16" t="inlineStr">
        <is>
          <t>WIP</t>
        </is>
      </c>
      <c r="T99" s="27" t="n"/>
      <c r="U99" s="25" t="n"/>
      <c r="V99" s="22">
        <f>IF($U99="","",IFERROR(INDEX(Templates!$K$3:$K$10,MATCH($U99,Templates!$A$3:$A$10,0)),""))</f>
        <v/>
      </c>
      <c r="W99" s="22">
        <f>IF($U99="","",IFERROR(INDEX(Templates!$L$3:$L$10,MATCH($U99,Templates!$A$3:$A$10,0)),""))</f>
        <v/>
      </c>
      <c r="X99" s="23">
        <f>IF($U99="","",IFERROR(INDEX(Templates!$J$3:$J$10,MATCH($U99,Templates!$A$3:$A$10,0)),""))</f>
        <v/>
      </c>
      <c r="Y99" s="24">
        <f>IF(OR($U99="",$I99="",$J99="",$X99=""),"",$I99+$X99*($J99-$I99))</f>
        <v/>
      </c>
    </row>
    <row r="100">
      <c r="A100" s="15" t="inlineStr">
        <is>
          <t>Instinct_1</t>
        </is>
      </c>
      <c r="B100" s="16" t="inlineStr">
        <is>
          <t>Brookfield</t>
        </is>
      </c>
      <c r="C100" s="15" t="inlineStr">
        <is>
          <t>Brookfield</t>
        </is>
      </c>
      <c r="D100" s="15" t="inlineStr"/>
      <c r="E100" s="15" t="inlineStr">
        <is>
          <t>No</t>
        </is>
      </c>
      <c r="F100" s="15" t="inlineStr">
        <is>
          <t>Active</t>
        </is>
      </c>
      <c r="G100" s="25" t="n"/>
      <c r="H100" s="17" t="n">
        <v>1</v>
      </c>
      <c r="I100" s="26" t="n"/>
      <c r="J100" s="26" t="n"/>
      <c r="K100" s="25" t="n"/>
      <c r="L100" s="25" t="n"/>
      <c r="M100" s="25" t="n"/>
      <c r="N100" s="25" t="n"/>
      <c r="O100" s="25" t="n"/>
      <c r="P100" s="25" t="n"/>
      <c r="Q100" s="19">
        <f>IF($A100="","",COUNTIFS(Assignments!$C$2:$C$769,$A100,Assignments!$G$2:$G$769,"Active"))</f>
        <v/>
      </c>
      <c r="R100" s="20">
        <f>IF($A100="","",SUMIFS(Assignments!$I$2:$I$769,Assignments!$C$2:$C$769,$A100,Assignments!$G$2:$G$769,"Active"))</f>
        <v/>
      </c>
      <c r="S100" s="16" t="inlineStr">
        <is>
          <t>Summary tab only (WIP)</t>
        </is>
      </c>
      <c r="T100" s="27" t="n"/>
      <c r="U100" s="25" t="n"/>
      <c r="V100" s="22">
        <f>IF($U100="","",IFERROR(INDEX(Templates!$K$3:$K$10,MATCH($U100,Templates!$A$3:$A$10,0)),""))</f>
        <v/>
      </c>
      <c r="W100" s="22">
        <f>IF($U100="","",IFERROR(INDEX(Templates!$L$3:$L$10,MATCH($U100,Templates!$A$3:$A$10,0)),""))</f>
        <v/>
      </c>
      <c r="X100" s="23">
        <f>IF($U100="","",IFERROR(INDEX(Templates!$J$3:$J$10,MATCH($U100,Templates!$A$3:$A$10,0)),""))</f>
        <v/>
      </c>
      <c r="Y100" s="24">
        <f>IF(OR($U100="",$I100="",$J100="",$X100=""),"",$I100+$X100*($J100-$I100))</f>
        <v/>
      </c>
    </row>
    <row r="101">
      <c r="A101" s="15" t="inlineStr">
        <is>
          <t>Irradiant_ITC_1</t>
        </is>
      </c>
      <c r="B101" s="16" t="inlineStr">
        <is>
          <t>Apollo</t>
        </is>
      </c>
      <c r="C101" s="15" t="inlineStr">
        <is>
          <t>Apollo</t>
        </is>
      </c>
      <c r="D101" s="15" t="inlineStr"/>
      <c r="E101" s="15" t="inlineStr">
        <is>
          <t>No</t>
        </is>
      </c>
      <c r="F101" s="15" t="inlineStr">
        <is>
          <t>Active</t>
        </is>
      </c>
      <c r="G101" s="25" t="n"/>
      <c r="H101" s="17" t="n">
        <v>1</v>
      </c>
      <c r="I101" s="26" t="n"/>
      <c r="J101" s="26" t="n"/>
      <c r="K101" s="25" t="n"/>
      <c r="L101" s="25" t="n"/>
      <c r="M101" s="25" t="n"/>
      <c r="N101" s="25" t="n"/>
      <c r="O101" s="25" t="n"/>
      <c r="P101" s="25" t="n"/>
      <c r="Q101" s="19">
        <f>IF($A101="","",COUNTIFS(Assignments!$C$2:$C$769,$A101,Assignments!$G$2:$G$769,"Active"))</f>
        <v/>
      </c>
      <c r="R101" s="20">
        <f>IF($A101="","",SUMIFS(Assignments!$I$2:$I$769,Assignments!$C$2:$C$769,$A101,Assignments!$G$2:$G$769,"Active"))</f>
        <v/>
      </c>
      <c r="S101" s="16" t="inlineStr">
        <is>
          <t>Summary tab only (WIP)</t>
        </is>
      </c>
      <c r="T101" s="27" t="n"/>
      <c r="U101" s="25" t="n"/>
      <c r="V101" s="22">
        <f>IF($U101="","",IFERROR(INDEX(Templates!$K$3:$K$10,MATCH($U101,Templates!$A$3:$A$10,0)),""))</f>
        <v/>
      </c>
      <c r="W101" s="22">
        <f>IF($U101="","",IFERROR(INDEX(Templates!$L$3:$L$10,MATCH($U101,Templates!$A$3:$A$10,0)),""))</f>
        <v/>
      </c>
      <c r="X101" s="23">
        <f>IF($U101="","",IFERROR(INDEX(Templates!$J$3:$J$10,MATCH($U101,Templates!$A$3:$A$10,0)),""))</f>
        <v/>
      </c>
      <c r="Y101" s="24">
        <f>IF(OR($U101="",$I101="",$J101="",$X101=""),"",$I101+$X101*($J101-$I101))</f>
        <v/>
      </c>
    </row>
    <row r="102">
      <c r="A102" s="15" t="inlineStr">
        <is>
          <t>Javelina Gain_1</t>
        </is>
      </c>
      <c r="B102" s="16" t="inlineStr">
        <is>
          <t>Eolic Development Partners</t>
        </is>
      </c>
      <c r="C102" s="15" t="inlineStr">
        <is>
          <t>Eolic Development Partners</t>
        </is>
      </c>
      <c r="D102" s="15" t="inlineStr"/>
      <c r="E102" s="15" t="inlineStr">
        <is>
          <t>No</t>
        </is>
      </c>
      <c r="F102" s="15" t="inlineStr">
        <is>
          <t>Active</t>
        </is>
      </c>
      <c r="G102" s="25" t="n"/>
      <c r="H102" s="17" t="n">
        <v>1</v>
      </c>
      <c r="I102" s="26" t="n"/>
      <c r="J102" s="26" t="n"/>
      <c r="K102" s="25" t="n"/>
      <c r="L102" s="25" t="n"/>
      <c r="M102" s="25" t="n"/>
      <c r="N102" s="25" t="n"/>
      <c r="O102" s="25" t="n"/>
      <c r="P102" s="25" t="n"/>
      <c r="Q102" s="19">
        <f>IF($A102="","",COUNTIFS(Assignments!$C$2:$C$769,$A102,Assignments!$G$2:$G$769,"Active"))</f>
        <v/>
      </c>
      <c r="R102" s="20">
        <f>IF($A102="","",SUMIFS(Assignments!$I$2:$I$769,Assignments!$C$2:$C$769,$A102,Assignments!$G$2:$G$769,"Active"))</f>
        <v/>
      </c>
      <c r="S102" s="16" t="inlineStr">
        <is>
          <t>WIP</t>
        </is>
      </c>
      <c r="T102" s="27" t="n"/>
      <c r="U102" s="25" t="n"/>
      <c r="V102" s="22">
        <f>IF($U102="","",IFERROR(INDEX(Templates!$K$3:$K$10,MATCH($U102,Templates!$A$3:$A$10,0)),""))</f>
        <v/>
      </c>
      <c r="W102" s="22">
        <f>IF($U102="","",IFERROR(INDEX(Templates!$L$3:$L$10,MATCH($U102,Templates!$A$3:$A$10,0)),""))</f>
        <v/>
      </c>
      <c r="X102" s="23">
        <f>IF($U102="","",IFERROR(INDEX(Templates!$J$3:$J$10,MATCH($U102,Templates!$A$3:$A$10,0)),""))</f>
        <v/>
      </c>
      <c r="Y102" s="24">
        <f>IF(OR($U102="",$I102="",$J102="",$X102=""),"",$I102+$X102*($J102-$I102))</f>
        <v/>
      </c>
    </row>
    <row r="103">
      <c r="A103" s="15" t="inlineStr">
        <is>
          <t>Justin_2</t>
        </is>
      </c>
      <c r="B103" s="16" t="inlineStr">
        <is>
          <t>Euclid Transactional</t>
        </is>
      </c>
      <c r="C103" s="15" t="inlineStr">
        <is>
          <t>Euclid Transactional</t>
        </is>
      </c>
      <c r="D103" s="15" t="inlineStr"/>
      <c r="E103" s="15" t="inlineStr">
        <is>
          <t>No</t>
        </is>
      </c>
      <c r="F103" s="15" t="inlineStr">
        <is>
          <t>Active</t>
        </is>
      </c>
      <c r="G103" s="25" t="n"/>
      <c r="H103" s="17" t="n">
        <v>1</v>
      </c>
      <c r="I103" s="26" t="n"/>
      <c r="J103" s="26" t="n"/>
      <c r="K103" s="25" t="n"/>
      <c r="L103" s="25" t="n"/>
      <c r="M103" s="25" t="n"/>
      <c r="N103" s="25" t="n"/>
      <c r="O103" s="25" t="n"/>
      <c r="P103" s="25" t="n"/>
      <c r="Q103" s="19">
        <f>IF($A103="","",COUNTIFS(Assignments!$C$2:$C$769,$A103,Assignments!$G$2:$G$769,"Active"))</f>
        <v/>
      </c>
      <c r="R103" s="20">
        <f>IF($A103="","",SUMIFS(Assignments!$I$2:$I$769,Assignments!$C$2:$C$769,$A103,Assignments!$G$2:$G$769,"Active"))</f>
        <v/>
      </c>
      <c r="S103" s="16" t="inlineStr">
        <is>
          <t>WIP</t>
        </is>
      </c>
      <c r="T103" s="27" t="n"/>
      <c r="U103" s="25" t="n"/>
      <c r="V103" s="22">
        <f>IF($U103="","",IFERROR(INDEX(Templates!$K$3:$K$10,MATCH($U103,Templates!$A$3:$A$10,0)),""))</f>
        <v/>
      </c>
      <c r="W103" s="22">
        <f>IF($U103="","",IFERROR(INDEX(Templates!$L$3:$L$10,MATCH($U103,Templates!$A$3:$A$10,0)),""))</f>
        <v/>
      </c>
      <c r="X103" s="23">
        <f>IF($U103="","",IFERROR(INDEX(Templates!$J$3:$J$10,MATCH($U103,Templates!$A$3:$A$10,0)),""))</f>
        <v/>
      </c>
      <c r="Y103" s="24">
        <f>IF(OR($U103="",$I103="",$J103="",$X103=""),"",$I103+$X103*($J103-$I103))</f>
        <v/>
      </c>
    </row>
    <row r="104">
      <c r="A104" s="15" t="inlineStr">
        <is>
          <t>Kanawha_1</t>
        </is>
      </c>
      <c r="B104" s="16" t="inlineStr">
        <is>
          <t>Franklin L. Haney Company</t>
        </is>
      </c>
      <c r="C104" s="15" t="inlineStr">
        <is>
          <t>Franklin L. Haney Company</t>
        </is>
      </c>
      <c r="D104" s="15" t="inlineStr"/>
      <c r="E104" s="15" t="inlineStr">
        <is>
          <t>No</t>
        </is>
      </c>
      <c r="F104" s="15" t="inlineStr">
        <is>
          <t>Active</t>
        </is>
      </c>
      <c r="G104" s="25" t="n"/>
      <c r="H104" s="17" t="n">
        <v>1</v>
      </c>
      <c r="I104" s="26" t="n"/>
      <c r="J104" s="26" t="n"/>
      <c r="K104" s="25" t="n"/>
      <c r="L104" s="25" t="n"/>
      <c r="M104" s="25" t="n"/>
      <c r="N104" s="25" t="n"/>
      <c r="O104" s="25" t="n"/>
      <c r="P104" s="25" t="n"/>
      <c r="Q104" s="19">
        <f>IF($A104="","",COUNTIFS(Assignments!$C$2:$C$769,$A104,Assignments!$G$2:$G$769,"Active"))</f>
        <v/>
      </c>
      <c r="R104" s="20">
        <f>IF($A104="","",SUMIFS(Assignments!$I$2:$I$769,Assignments!$C$2:$C$769,$A104,Assignments!$G$2:$G$769,"Active"))</f>
        <v/>
      </c>
      <c r="S104" s="16" t="inlineStr">
        <is>
          <t>WIP</t>
        </is>
      </c>
      <c r="T104" s="27" t="n"/>
      <c r="U104" s="25" t="n"/>
      <c r="V104" s="22">
        <f>IF($U104="","",IFERROR(INDEX(Templates!$K$3:$K$10,MATCH($U104,Templates!$A$3:$A$10,0)),""))</f>
        <v/>
      </c>
      <c r="W104" s="22">
        <f>IF($U104="","",IFERROR(INDEX(Templates!$L$3:$L$10,MATCH($U104,Templates!$A$3:$A$10,0)),""))</f>
        <v/>
      </c>
      <c r="X104" s="23">
        <f>IF($U104="","",IFERROR(INDEX(Templates!$J$3:$J$10,MATCH($U104,Templates!$A$3:$A$10,0)),""))</f>
        <v/>
      </c>
      <c r="Y104" s="24">
        <f>IF(OR($U104="",$I104="",$J104="",$X104=""),"",$I104+$X104*($J104-$I104))</f>
        <v/>
      </c>
    </row>
    <row r="105">
      <c r="A105" s="15" t="inlineStr">
        <is>
          <t>Kentucky_1</t>
        </is>
      </c>
      <c r="B105" s="16" t="inlineStr">
        <is>
          <t>The CAM Collective</t>
        </is>
      </c>
      <c r="C105" s="15" t="inlineStr">
        <is>
          <t>The CAM Collective</t>
        </is>
      </c>
      <c r="D105" s="15" t="inlineStr"/>
      <c r="E105" s="15" t="inlineStr">
        <is>
          <t>No</t>
        </is>
      </c>
      <c r="F105" s="15" t="inlineStr">
        <is>
          <t>Active</t>
        </is>
      </c>
      <c r="G105" s="25" t="n"/>
      <c r="H105" s="17" t="n">
        <v>1</v>
      </c>
      <c r="I105" s="26" t="n"/>
      <c r="J105" s="26" t="n"/>
      <c r="K105" s="25" t="n"/>
      <c r="L105" s="25" t="n"/>
      <c r="M105" s="25" t="n"/>
      <c r="N105" s="25" t="n"/>
      <c r="O105" s="25" t="n"/>
      <c r="P105" s="25" t="n"/>
      <c r="Q105" s="19">
        <f>IF($A105="","",COUNTIFS(Assignments!$C$2:$C$769,$A105,Assignments!$G$2:$G$769,"Active"))</f>
        <v/>
      </c>
      <c r="R105" s="20">
        <f>IF($A105="","",SUMIFS(Assignments!$I$2:$I$769,Assignments!$C$2:$C$769,$A105,Assignments!$G$2:$G$769,"Active"))</f>
        <v/>
      </c>
      <c r="S105" s="16" t="inlineStr">
        <is>
          <t>WIP</t>
        </is>
      </c>
      <c r="T105" s="27" t="n"/>
      <c r="U105" s="25" t="n"/>
      <c r="V105" s="22">
        <f>IF($U105="","",IFERROR(INDEX(Templates!$K$3:$K$10,MATCH($U105,Templates!$A$3:$A$10,0)),""))</f>
        <v/>
      </c>
      <c r="W105" s="22">
        <f>IF($U105="","",IFERROR(INDEX(Templates!$L$3:$L$10,MATCH($U105,Templates!$A$3:$A$10,0)),""))</f>
        <v/>
      </c>
      <c r="X105" s="23">
        <f>IF($U105="","",IFERROR(INDEX(Templates!$J$3:$J$10,MATCH($U105,Templates!$A$3:$A$10,0)),""))</f>
        <v/>
      </c>
      <c r="Y105" s="24">
        <f>IF(OR($U105="",$I105="",$J105="",$X105=""),"",$I105+$X105*($J105-$I105))</f>
        <v/>
      </c>
    </row>
    <row r="106">
      <c r="A106" s="15" t="inlineStr">
        <is>
          <t>Lafayette_2</t>
        </is>
      </c>
      <c r="B106" s="16" t="inlineStr">
        <is>
          <t>EDF Renewables North America</t>
        </is>
      </c>
      <c r="C106" s="15" t="inlineStr">
        <is>
          <t>EDF Renewables North America</t>
        </is>
      </c>
      <c r="D106" s="15" t="inlineStr"/>
      <c r="E106" s="15" t="inlineStr">
        <is>
          <t>No</t>
        </is>
      </c>
      <c r="F106" s="15" t="inlineStr">
        <is>
          <t>Active</t>
        </is>
      </c>
      <c r="G106" s="25" t="n"/>
      <c r="H106" s="17" t="n">
        <v>1</v>
      </c>
      <c r="I106" s="26" t="n"/>
      <c r="J106" s="26" t="n"/>
      <c r="K106" s="25" t="n"/>
      <c r="L106" s="25" t="n"/>
      <c r="M106" s="25" t="n"/>
      <c r="N106" s="25" t="n"/>
      <c r="O106" s="25" t="n"/>
      <c r="P106" s="25" t="n"/>
      <c r="Q106" s="19">
        <f>IF($A106="","",COUNTIFS(Assignments!$C$2:$C$769,$A106,Assignments!$G$2:$G$769,"Active"))</f>
        <v/>
      </c>
      <c r="R106" s="20">
        <f>IF($A106="","",SUMIFS(Assignments!$I$2:$I$769,Assignments!$C$2:$C$769,$A106,Assignments!$G$2:$G$769,"Active"))</f>
        <v/>
      </c>
      <c r="S106" s="16" t="inlineStr">
        <is>
          <t>WIP</t>
        </is>
      </c>
      <c r="T106" s="27" t="n"/>
      <c r="U106" s="25" t="n"/>
      <c r="V106" s="22">
        <f>IF($U106="","",IFERROR(INDEX(Templates!$K$3:$K$10,MATCH($U106,Templates!$A$3:$A$10,0)),""))</f>
        <v/>
      </c>
      <c r="W106" s="22">
        <f>IF($U106="","",IFERROR(INDEX(Templates!$L$3:$L$10,MATCH($U106,Templates!$A$3:$A$10,0)),""))</f>
        <v/>
      </c>
      <c r="X106" s="23">
        <f>IF($U106="","",IFERROR(INDEX(Templates!$J$3:$J$10,MATCH($U106,Templates!$A$3:$A$10,0)),""))</f>
        <v/>
      </c>
      <c r="Y106" s="24">
        <f>IF(OR($U106="",$I106="",$J106="",$X106=""),"",$I106+$X106*($J106-$I106))</f>
        <v/>
      </c>
    </row>
    <row r="107">
      <c r="A107" s="15" t="inlineStr">
        <is>
          <t>Long_2</t>
        </is>
      </c>
      <c r="B107" s="16" t="inlineStr">
        <is>
          <t>Euclid Transactional</t>
        </is>
      </c>
      <c r="C107" s="15" t="inlineStr">
        <is>
          <t>Euclid Transactional</t>
        </is>
      </c>
      <c r="D107" s="15" t="inlineStr"/>
      <c r="E107" s="15" t="inlineStr">
        <is>
          <t>No</t>
        </is>
      </c>
      <c r="F107" s="15" t="inlineStr">
        <is>
          <t>Active</t>
        </is>
      </c>
      <c r="G107" s="25" t="n"/>
      <c r="H107" s="17" t="n">
        <v>1</v>
      </c>
      <c r="I107" s="26" t="n"/>
      <c r="J107" s="26" t="n"/>
      <c r="K107" s="25" t="n"/>
      <c r="L107" s="25" t="n"/>
      <c r="M107" s="25" t="n"/>
      <c r="N107" s="25" t="n"/>
      <c r="O107" s="25" t="n"/>
      <c r="P107" s="25" t="n"/>
      <c r="Q107" s="19">
        <f>IF($A107="","",COUNTIFS(Assignments!$C$2:$C$769,$A107,Assignments!$G$2:$G$769,"Active"))</f>
        <v/>
      </c>
      <c r="R107" s="20">
        <f>IF($A107="","",SUMIFS(Assignments!$I$2:$I$769,Assignments!$C$2:$C$769,$A107,Assignments!$G$2:$G$769,"Active"))</f>
        <v/>
      </c>
      <c r="S107" s="16" t="inlineStr">
        <is>
          <t>WIP</t>
        </is>
      </c>
      <c r="T107" s="27" t="n"/>
      <c r="U107" s="25" t="n"/>
      <c r="V107" s="22">
        <f>IF($U107="","",IFERROR(INDEX(Templates!$K$3:$K$10,MATCH($U107,Templates!$A$3:$A$10,0)),""))</f>
        <v/>
      </c>
      <c r="W107" s="22">
        <f>IF($U107="","",IFERROR(INDEX(Templates!$L$3:$L$10,MATCH($U107,Templates!$A$3:$A$10,0)),""))</f>
        <v/>
      </c>
      <c r="X107" s="23">
        <f>IF($U107="","",IFERROR(INDEX(Templates!$J$3:$J$10,MATCH($U107,Templates!$A$3:$A$10,0)),""))</f>
        <v/>
      </c>
      <c r="Y107" s="24">
        <f>IF(OR($U107="",$I107="",$J107="",$X107=""),"",$I107+$X107*($J107-$I107))</f>
        <v/>
      </c>
    </row>
    <row r="108">
      <c r="A108" s="15" t="inlineStr">
        <is>
          <t>Look Inc - Ethos_1</t>
        </is>
      </c>
      <c r="B108" s="16" t="inlineStr">
        <is>
          <t>Ethos Specialty Insurance Services</t>
        </is>
      </c>
      <c r="C108" s="15" t="inlineStr">
        <is>
          <t>Ethos Specialty Insurance Services</t>
        </is>
      </c>
      <c r="D108" s="15" t="inlineStr"/>
      <c r="E108" s="15" t="inlineStr">
        <is>
          <t>No</t>
        </is>
      </c>
      <c r="F108" s="15" t="inlineStr">
        <is>
          <t>Active</t>
        </is>
      </c>
      <c r="G108" s="25" t="n"/>
      <c r="H108" s="17" t="n">
        <v>1</v>
      </c>
      <c r="I108" s="26" t="n"/>
      <c r="J108" s="26" t="n"/>
      <c r="K108" s="25" t="n"/>
      <c r="L108" s="25" t="n"/>
      <c r="M108" s="25" t="n"/>
      <c r="N108" s="25" t="n"/>
      <c r="O108" s="25" t="n"/>
      <c r="P108" s="25" t="n"/>
      <c r="Q108" s="19">
        <f>IF($A108="","",COUNTIFS(Assignments!$C$2:$C$769,$A108,Assignments!$G$2:$G$769,"Active"))</f>
        <v/>
      </c>
      <c r="R108" s="20">
        <f>IF($A108="","",SUMIFS(Assignments!$I$2:$I$769,Assignments!$C$2:$C$769,$A108,Assignments!$G$2:$G$769,"Active"))</f>
        <v/>
      </c>
      <c r="S108" s="16" t="inlineStr">
        <is>
          <t>WIP</t>
        </is>
      </c>
      <c r="T108" s="27" t="n"/>
      <c r="U108" s="25" t="n"/>
      <c r="V108" s="22">
        <f>IF($U108="","",IFERROR(INDEX(Templates!$K$3:$K$10,MATCH($U108,Templates!$A$3:$A$10,0)),""))</f>
        <v/>
      </c>
      <c r="W108" s="22">
        <f>IF($U108="","",IFERROR(INDEX(Templates!$L$3:$L$10,MATCH($U108,Templates!$A$3:$A$10,0)),""))</f>
        <v/>
      </c>
      <c r="X108" s="23">
        <f>IF($U108="","",IFERROR(INDEX(Templates!$J$3:$J$10,MATCH($U108,Templates!$A$3:$A$10,0)),""))</f>
        <v/>
      </c>
      <c r="Y108" s="24">
        <f>IF(OR($U108="",$I108="",$J108="",$X108=""),"",$I108+$X108*($J108-$I108))</f>
        <v/>
      </c>
    </row>
    <row r="109">
      <c r="A109" s="15" t="inlineStr">
        <is>
          <t>Lumenad_1</t>
        </is>
      </c>
      <c r="B109" s="16" t="inlineStr">
        <is>
          <t>Ambridge Group</t>
        </is>
      </c>
      <c r="C109" s="15" t="inlineStr">
        <is>
          <t>Ambridge Group</t>
        </is>
      </c>
      <c r="D109" s="15" t="inlineStr"/>
      <c r="E109" s="15" t="inlineStr">
        <is>
          <t>No</t>
        </is>
      </c>
      <c r="F109" s="15" t="inlineStr">
        <is>
          <t>Active</t>
        </is>
      </c>
      <c r="G109" s="25" t="n"/>
      <c r="H109" s="17" t="n">
        <v>1</v>
      </c>
      <c r="I109" s="26" t="n"/>
      <c r="J109" s="26" t="n"/>
      <c r="K109" s="25" t="n"/>
      <c r="L109" s="25" t="n"/>
      <c r="M109" s="25" t="n"/>
      <c r="N109" s="25" t="n"/>
      <c r="O109" s="25" t="n"/>
      <c r="P109" s="25" t="n"/>
      <c r="Q109" s="19">
        <f>IF($A109="","",COUNTIFS(Assignments!$C$2:$C$769,$A109,Assignments!$G$2:$G$769,"Active"))</f>
        <v/>
      </c>
      <c r="R109" s="20">
        <f>IF($A109="","",SUMIFS(Assignments!$I$2:$I$769,Assignments!$C$2:$C$769,$A109,Assignments!$G$2:$G$769,"Active"))</f>
        <v/>
      </c>
      <c r="S109" s="16" t="inlineStr">
        <is>
          <t>WIP</t>
        </is>
      </c>
      <c r="T109" s="27" t="n"/>
      <c r="U109" s="25" t="n"/>
      <c r="V109" s="22">
        <f>IF($U109="","",IFERROR(INDEX(Templates!$K$3:$K$10,MATCH($U109,Templates!$A$3:$A$10,0)),""))</f>
        <v/>
      </c>
      <c r="W109" s="22">
        <f>IF($U109="","",IFERROR(INDEX(Templates!$L$3:$L$10,MATCH($U109,Templates!$A$3:$A$10,0)),""))</f>
        <v/>
      </c>
      <c r="X109" s="23">
        <f>IF($U109="","",IFERROR(INDEX(Templates!$J$3:$J$10,MATCH($U109,Templates!$A$3:$A$10,0)),""))</f>
        <v/>
      </c>
      <c r="Y109" s="24">
        <f>IF(OR($U109="",$I109="",$J109="",$X109=""),"",$I109+$X109*($J109-$I109))</f>
        <v/>
      </c>
    </row>
    <row r="110">
      <c r="A110" s="15" t="inlineStr">
        <is>
          <t>Mad_1</t>
        </is>
      </c>
      <c r="B110" s="16" t="inlineStr">
        <is>
          <t>Solertia MGA Ltd.</t>
        </is>
      </c>
      <c r="C110" s="15" t="inlineStr">
        <is>
          <t>Solertia MGA Ltd.</t>
        </is>
      </c>
      <c r="D110" s="15" t="inlineStr"/>
      <c r="E110" s="15" t="inlineStr">
        <is>
          <t>No</t>
        </is>
      </c>
      <c r="F110" s="15" t="inlineStr">
        <is>
          <t>Active</t>
        </is>
      </c>
      <c r="G110" s="25" t="n"/>
      <c r="H110" s="17" t="n">
        <v>1</v>
      </c>
      <c r="I110" s="26" t="n"/>
      <c r="J110" s="26" t="n"/>
      <c r="K110" s="25" t="n"/>
      <c r="L110" s="25" t="n"/>
      <c r="M110" s="25" t="n"/>
      <c r="N110" s="25" t="n"/>
      <c r="O110" s="25" t="n"/>
      <c r="P110" s="25" t="n"/>
      <c r="Q110" s="19">
        <f>IF($A110="","",COUNTIFS(Assignments!$C$2:$C$769,$A110,Assignments!$G$2:$G$769,"Active"))</f>
        <v/>
      </c>
      <c r="R110" s="20">
        <f>IF($A110="","",SUMIFS(Assignments!$I$2:$I$769,Assignments!$C$2:$C$769,$A110,Assignments!$G$2:$G$769,"Active"))</f>
        <v/>
      </c>
      <c r="S110" s="16" t="inlineStr">
        <is>
          <t>WIP</t>
        </is>
      </c>
      <c r="T110" s="27" t="n"/>
      <c r="U110" s="25" t="n"/>
      <c r="V110" s="22">
        <f>IF($U110="","",IFERROR(INDEX(Templates!$K$3:$K$10,MATCH($U110,Templates!$A$3:$A$10,0)),""))</f>
        <v/>
      </c>
      <c r="W110" s="22">
        <f>IF($U110="","",IFERROR(INDEX(Templates!$L$3:$L$10,MATCH($U110,Templates!$A$3:$A$10,0)),""))</f>
        <v/>
      </c>
      <c r="X110" s="23">
        <f>IF($U110="","",IFERROR(INDEX(Templates!$J$3:$J$10,MATCH($U110,Templates!$A$3:$A$10,0)),""))</f>
        <v/>
      </c>
      <c r="Y110" s="24">
        <f>IF(OR($U110="",$I110="",$J110="",$X110=""),"",$I110+$X110*($J110-$I110))</f>
        <v/>
      </c>
    </row>
    <row r="111">
      <c r="A111" s="15" t="inlineStr">
        <is>
          <t>Manchester_1</t>
        </is>
      </c>
      <c r="B111" s="16" t="inlineStr">
        <is>
          <t>Fengate</t>
        </is>
      </c>
      <c r="C111" s="15" t="inlineStr">
        <is>
          <t>Fengate</t>
        </is>
      </c>
      <c r="D111" s="15" t="inlineStr"/>
      <c r="E111" s="15" t="inlineStr">
        <is>
          <t>No</t>
        </is>
      </c>
      <c r="F111" s="15" t="inlineStr">
        <is>
          <t>Active</t>
        </is>
      </c>
      <c r="G111" s="25" t="n"/>
      <c r="H111" s="17" t="n">
        <v>1</v>
      </c>
      <c r="I111" s="26" t="n"/>
      <c r="J111" s="26" t="n"/>
      <c r="K111" s="25" t="n"/>
      <c r="L111" s="25" t="n"/>
      <c r="M111" s="25" t="n"/>
      <c r="N111" s="25" t="n"/>
      <c r="O111" s="25" t="n"/>
      <c r="P111" s="25" t="n"/>
      <c r="Q111" s="19">
        <f>IF($A111="","",COUNTIFS(Assignments!$C$2:$C$769,$A111,Assignments!$G$2:$G$769,"Active"))</f>
        <v/>
      </c>
      <c r="R111" s="20">
        <f>IF($A111="","",SUMIFS(Assignments!$I$2:$I$769,Assignments!$C$2:$C$769,$A111,Assignments!$G$2:$G$769,"Active"))</f>
        <v/>
      </c>
      <c r="S111" s="16" t="inlineStr">
        <is>
          <t>Summary tab only (WIP)</t>
        </is>
      </c>
      <c r="T111" s="27" t="n"/>
      <c r="U111" s="25" t="n"/>
      <c r="V111" s="22">
        <f>IF($U111="","",IFERROR(INDEX(Templates!$K$3:$K$10,MATCH($U111,Templates!$A$3:$A$10,0)),""))</f>
        <v/>
      </c>
      <c r="W111" s="22">
        <f>IF($U111="","",IFERROR(INDEX(Templates!$L$3:$L$10,MATCH($U111,Templates!$A$3:$A$10,0)),""))</f>
        <v/>
      </c>
      <c r="X111" s="23">
        <f>IF($U111="","",IFERROR(INDEX(Templates!$J$3:$J$10,MATCH($U111,Templates!$A$3:$A$10,0)),""))</f>
        <v/>
      </c>
      <c r="Y111" s="24">
        <f>IF(OR($U111="",$I111="",$J111="",$X111=""),"",$I111+$X111*($J111-$I111))</f>
        <v/>
      </c>
    </row>
    <row r="112">
      <c r="A112" s="15" t="inlineStr">
        <is>
          <t>Maple_4</t>
        </is>
      </c>
      <c r="B112" s="16" t="inlineStr">
        <is>
          <t>TXO Systems</t>
        </is>
      </c>
      <c r="C112" s="15" t="inlineStr">
        <is>
          <t>TXO Systems</t>
        </is>
      </c>
      <c r="D112" s="15" t="inlineStr"/>
      <c r="E112" s="15" t="inlineStr">
        <is>
          <t>No</t>
        </is>
      </c>
      <c r="F112" s="15" t="inlineStr">
        <is>
          <t>Active</t>
        </is>
      </c>
      <c r="G112" s="25" t="n"/>
      <c r="H112" s="17" t="n">
        <v>1</v>
      </c>
      <c r="I112" s="26" t="n"/>
      <c r="J112" s="26" t="n"/>
      <c r="K112" s="25" t="n"/>
      <c r="L112" s="25" t="n"/>
      <c r="M112" s="25" t="n"/>
      <c r="N112" s="25" t="n"/>
      <c r="O112" s="25" t="n"/>
      <c r="P112" s="25" t="n"/>
      <c r="Q112" s="19">
        <f>IF($A112="","",COUNTIFS(Assignments!$C$2:$C$769,$A112,Assignments!$G$2:$G$769,"Active"))</f>
        <v/>
      </c>
      <c r="R112" s="20">
        <f>IF($A112="","",SUMIFS(Assignments!$I$2:$I$769,Assignments!$C$2:$C$769,$A112,Assignments!$G$2:$G$769,"Active"))</f>
        <v/>
      </c>
      <c r="S112" s="16" t="inlineStr">
        <is>
          <t>WIP</t>
        </is>
      </c>
      <c r="T112" s="27" t="n"/>
      <c r="U112" s="25" t="n"/>
      <c r="V112" s="22">
        <f>IF($U112="","",IFERROR(INDEX(Templates!$K$3:$K$10,MATCH($U112,Templates!$A$3:$A$10,0)),""))</f>
        <v/>
      </c>
      <c r="W112" s="22">
        <f>IF($U112="","",IFERROR(INDEX(Templates!$L$3:$L$10,MATCH($U112,Templates!$A$3:$A$10,0)),""))</f>
        <v/>
      </c>
      <c r="X112" s="23">
        <f>IF($U112="","",IFERROR(INDEX(Templates!$J$3:$J$10,MATCH($U112,Templates!$A$3:$A$10,0)),""))</f>
        <v/>
      </c>
      <c r="Y112" s="24">
        <f>IF(OR($U112="",$I112="",$J112="",$X112=""),"",$I112+$X112*($J112-$I112))</f>
        <v/>
      </c>
    </row>
    <row r="113">
      <c r="A113" s="15" t="inlineStr">
        <is>
          <t>MeadowBrook_1</t>
        </is>
      </c>
      <c r="B113" s="16" t="inlineStr">
        <is>
          <t>Ag-Grid Energy LLC</t>
        </is>
      </c>
      <c r="C113" s="15" t="inlineStr">
        <is>
          <t>Ag-Grid Energy LLC</t>
        </is>
      </c>
      <c r="D113" s="15" t="inlineStr"/>
      <c r="E113" s="15" t="inlineStr">
        <is>
          <t>No</t>
        </is>
      </c>
      <c r="F113" s="15" t="inlineStr">
        <is>
          <t>Active</t>
        </is>
      </c>
      <c r="G113" s="25" t="n"/>
      <c r="H113" s="17" t="n">
        <v>1</v>
      </c>
      <c r="I113" s="26" t="n"/>
      <c r="J113" s="26" t="n"/>
      <c r="K113" s="25" t="n"/>
      <c r="L113" s="25" t="n"/>
      <c r="M113" s="25" t="n"/>
      <c r="N113" s="25" t="n"/>
      <c r="O113" s="25" t="n"/>
      <c r="P113" s="25" t="n"/>
      <c r="Q113" s="19">
        <f>IF($A113="","",COUNTIFS(Assignments!$C$2:$C$769,$A113,Assignments!$G$2:$G$769,"Active"))</f>
        <v/>
      </c>
      <c r="R113" s="20">
        <f>IF($A113="","",SUMIFS(Assignments!$I$2:$I$769,Assignments!$C$2:$C$769,$A113,Assignments!$G$2:$G$769,"Active"))</f>
        <v/>
      </c>
      <c r="S113" s="16" t="inlineStr">
        <is>
          <t>WIP</t>
        </is>
      </c>
      <c r="T113" s="27" t="n"/>
      <c r="U113" s="25" t="n"/>
      <c r="V113" s="22">
        <f>IF($U113="","",IFERROR(INDEX(Templates!$K$3:$K$10,MATCH($U113,Templates!$A$3:$A$10,0)),""))</f>
        <v/>
      </c>
      <c r="W113" s="22">
        <f>IF($U113="","",IFERROR(INDEX(Templates!$L$3:$L$10,MATCH($U113,Templates!$A$3:$A$10,0)),""))</f>
        <v/>
      </c>
      <c r="X113" s="23">
        <f>IF($U113="","",IFERROR(INDEX(Templates!$J$3:$J$10,MATCH($U113,Templates!$A$3:$A$10,0)),""))</f>
        <v/>
      </c>
      <c r="Y113" s="24">
        <f>IF(OR($U113="",$I113="",$J113="",$X113=""),"",$I113+$X113*($J113-$I113))</f>
        <v/>
      </c>
    </row>
    <row r="114">
      <c r="A114" s="15" t="inlineStr">
        <is>
          <t>Medicis_1</t>
        </is>
      </c>
      <c r="B114" s="16" t="inlineStr">
        <is>
          <t>Eight Advisory</t>
        </is>
      </c>
      <c r="C114" s="15" t="inlineStr">
        <is>
          <t>Eight Advisory</t>
        </is>
      </c>
      <c r="D114" s="15" t="inlineStr"/>
      <c r="E114" s="15" t="inlineStr">
        <is>
          <t>No</t>
        </is>
      </c>
      <c r="F114" s="15" t="inlineStr">
        <is>
          <t>Active</t>
        </is>
      </c>
      <c r="G114" s="25" t="n"/>
      <c r="H114" s="17" t="n">
        <v>1</v>
      </c>
      <c r="I114" s="26" t="n"/>
      <c r="J114" s="26" t="n"/>
      <c r="K114" s="25" t="n"/>
      <c r="L114" s="25" t="n"/>
      <c r="M114" s="25" t="n"/>
      <c r="N114" s="25" t="n"/>
      <c r="O114" s="25" t="n"/>
      <c r="P114" s="25" t="n"/>
      <c r="Q114" s="19">
        <f>IF($A114="","",COUNTIFS(Assignments!$C$2:$C$769,$A114,Assignments!$G$2:$G$769,"Active"))</f>
        <v/>
      </c>
      <c r="R114" s="20">
        <f>IF($A114="","",SUMIFS(Assignments!$I$2:$I$769,Assignments!$C$2:$C$769,$A114,Assignments!$G$2:$G$769,"Active"))</f>
        <v/>
      </c>
      <c r="S114" s="16" t="inlineStr">
        <is>
          <t>WIP</t>
        </is>
      </c>
      <c r="T114" s="27" t="n"/>
      <c r="U114" s="25" t="n"/>
      <c r="V114" s="22">
        <f>IF($U114="","",IFERROR(INDEX(Templates!$K$3:$K$10,MATCH($U114,Templates!$A$3:$A$10,0)),""))</f>
        <v/>
      </c>
      <c r="W114" s="22">
        <f>IF($U114="","",IFERROR(INDEX(Templates!$L$3:$L$10,MATCH($U114,Templates!$A$3:$A$10,0)),""))</f>
        <v/>
      </c>
      <c r="X114" s="23">
        <f>IF($U114="","",IFERROR(INDEX(Templates!$J$3:$J$10,MATCH($U114,Templates!$A$3:$A$10,0)),""))</f>
        <v/>
      </c>
      <c r="Y114" s="24">
        <f>IF(OR($U114="",$I114="",$J114="",$X114=""),"",$I114+$X114*($J114-$I114))</f>
        <v/>
      </c>
    </row>
    <row r="115">
      <c r="A115" s="15" t="inlineStr">
        <is>
          <t>MIF_1</t>
        </is>
      </c>
      <c r="B115" s="16" t="inlineStr">
        <is>
          <t>Macquarie Group</t>
        </is>
      </c>
      <c r="C115" s="15" t="inlineStr">
        <is>
          <t>Macquarie Group</t>
        </is>
      </c>
      <c r="D115" s="15" t="inlineStr"/>
      <c r="E115" s="15" t="inlineStr">
        <is>
          <t>No</t>
        </is>
      </c>
      <c r="F115" s="15" t="inlineStr">
        <is>
          <t>Active</t>
        </is>
      </c>
      <c r="G115" s="25" t="n"/>
      <c r="H115" s="17" t="n">
        <v>1</v>
      </c>
      <c r="I115" s="26" t="n"/>
      <c r="J115" s="26" t="n"/>
      <c r="K115" s="25" t="n"/>
      <c r="L115" s="25" t="n"/>
      <c r="M115" s="25" t="n"/>
      <c r="N115" s="25" t="n"/>
      <c r="O115" s="25" t="n"/>
      <c r="P115" s="25" t="n"/>
      <c r="Q115" s="19">
        <f>IF($A115="","",COUNTIFS(Assignments!$C$2:$C$769,$A115,Assignments!$G$2:$G$769,"Active"))</f>
        <v/>
      </c>
      <c r="R115" s="20">
        <f>IF($A115="","",SUMIFS(Assignments!$I$2:$I$769,Assignments!$C$2:$C$769,$A115,Assignments!$G$2:$G$769,"Active"))</f>
        <v/>
      </c>
      <c r="S115" s="16" t="inlineStr">
        <is>
          <t>WIP</t>
        </is>
      </c>
      <c r="T115" s="27" t="n"/>
      <c r="U115" s="25" t="n"/>
      <c r="V115" s="22">
        <f>IF($U115="","",IFERROR(INDEX(Templates!$K$3:$K$10,MATCH($U115,Templates!$A$3:$A$10,0)),""))</f>
        <v/>
      </c>
      <c r="W115" s="22">
        <f>IF($U115="","",IFERROR(INDEX(Templates!$L$3:$L$10,MATCH($U115,Templates!$A$3:$A$10,0)),""))</f>
        <v/>
      </c>
      <c r="X115" s="23">
        <f>IF($U115="","",IFERROR(INDEX(Templates!$J$3:$J$10,MATCH($U115,Templates!$A$3:$A$10,0)),""))</f>
        <v/>
      </c>
      <c r="Y115" s="24">
        <f>IF(OR($U115="",$I115="",$J115="",$X115=""),"",$I115+$X115*($J115-$I115))</f>
        <v/>
      </c>
    </row>
    <row r="116">
      <c r="A116" s="15" t="inlineStr">
        <is>
          <t>MIP_1</t>
        </is>
      </c>
      <c r="B116" s="16" t="inlineStr">
        <is>
          <t>Macquarie Group</t>
        </is>
      </c>
      <c r="C116" s="15" t="inlineStr">
        <is>
          <t>Macquarie Group</t>
        </is>
      </c>
      <c r="D116" s="15" t="inlineStr"/>
      <c r="E116" s="15" t="inlineStr">
        <is>
          <t>No</t>
        </is>
      </c>
      <c r="F116" s="15" t="inlineStr">
        <is>
          <t>Active</t>
        </is>
      </c>
      <c r="G116" s="25" t="n"/>
      <c r="H116" s="17" t="n">
        <v>1</v>
      </c>
      <c r="I116" s="26" t="n"/>
      <c r="J116" s="26" t="n"/>
      <c r="K116" s="25" t="n"/>
      <c r="L116" s="25" t="n"/>
      <c r="M116" s="25" t="n"/>
      <c r="N116" s="25" t="n"/>
      <c r="O116" s="25" t="n"/>
      <c r="P116" s="25" t="n"/>
      <c r="Q116" s="19">
        <f>IF($A116="","",COUNTIFS(Assignments!$C$2:$C$769,$A116,Assignments!$G$2:$G$769,"Active"))</f>
        <v/>
      </c>
      <c r="R116" s="20">
        <f>IF($A116="","",SUMIFS(Assignments!$I$2:$I$769,Assignments!$C$2:$C$769,$A116,Assignments!$G$2:$G$769,"Active"))</f>
        <v/>
      </c>
      <c r="S116" s="16" t="inlineStr">
        <is>
          <t>WIP</t>
        </is>
      </c>
      <c r="T116" s="27" t="n"/>
      <c r="U116" s="25" t="n"/>
      <c r="V116" s="22">
        <f>IF($U116="","",IFERROR(INDEX(Templates!$K$3:$K$10,MATCH($U116,Templates!$A$3:$A$10,0)),""))</f>
        <v/>
      </c>
      <c r="W116" s="22">
        <f>IF($U116="","",IFERROR(INDEX(Templates!$L$3:$L$10,MATCH($U116,Templates!$A$3:$A$10,0)),""))</f>
        <v/>
      </c>
      <c r="X116" s="23">
        <f>IF($U116="","",IFERROR(INDEX(Templates!$J$3:$J$10,MATCH($U116,Templates!$A$3:$A$10,0)),""))</f>
        <v/>
      </c>
      <c r="Y116" s="24">
        <f>IF(OR($U116="",$I116="",$J116="",$X116=""),"",$I116+$X116*($J116-$I116))</f>
        <v/>
      </c>
    </row>
    <row r="117">
      <c r="A117" s="15" t="inlineStr">
        <is>
          <t>Modport_1</t>
        </is>
      </c>
      <c r="B117" s="16" t="inlineStr">
        <is>
          <t>Euclid Transactional</t>
        </is>
      </c>
      <c r="C117" s="15" t="inlineStr">
        <is>
          <t>Euclid Transactional</t>
        </is>
      </c>
      <c r="D117" s="15" t="inlineStr"/>
      <c r="E117" s="15" t="inlineStr">
        <is>
          <t>No</t>
        </is>
      </c>
      <c r="F117" s="15" t="inlineStr">
        <is>
          <t>Active</t>
        </is>
      </c>
      <c r="G117" s="25" t="n"/>
      <c r="H117" s="17" t="n">
        <v>1</v>
      </c>
      <c r="I117" s="26" t="n"/>
      <c r="J117" s="26" t="n"/>
      <c r="K117" s="25" t="n"/>
      <c r="L117" s="25" t="n"/>
      <c r="M117" s="25" t="n"/>
      <c r="N117" s="25" t="n"/>
      <c r="O117" s="25" t="n"/>
      <c r="P117" s="25" t="n"/>
      <c r="Q117" s="19">
        <f>IF($A117="","",COUNTIFS(Assignments!$C$2:$C$769,$A117,Assignments!$G$2:$G$769,"Active"))</f>
        <v/>
      </c>
      <c r="R117" s="20">
        <f>IF($A117="","",SUMIFS(Assignments!$I$2:$I$769,Assignments!$C$2:$C$769,$A117,Assignments!$G$2:$G$769,"Active"))</f>
        <v/>
      </c>
      <c r="S117" s="16" t="inlineStr">
        <is>
          <t>WIP</t>
        </is>
      </c>
      <c r="T117" s="27" t="n"/>
      <c r="U117" s="25" t="n"/>
      <c r="V117" s="22">
        <f>IF($U117="","",IFERROR(INDEX(Templates!$K$3:$K$10,MATCH($U117,Templates!$A$3:$A$10,0)),""))</f>
        <v/>
      </c>
      <c r="W117" s="22">
        <f>IF($U117="","",IFERROR(INDEX(Templates!$L$3:$L$10,MATCH($U117,Templates!$A$3:$A$10,0)),""))</f>
        <v/>
      </c>
      <c r="X117" s="23">
        <f>IF($U117="","",IFERROR(INDEX(Templates!$J$3:$J$10,MATCH($U117,Templates!$A$3:$A$10,0)),""))</f>
        <v/>
      </c>
      <c r="Y117" s="24">
        <f>IF(OR($U117="",$I117="",$J117="",$X117=""),"",$I117+$X117*($J117-$I117))</f>
        <v/>
      </c>
    </row>
    <row r="118">
      <c r="A118" s="15" t="inlineStr">
        <is>
          <t>Mont_1</t>
        </is>
      </c>
      <c r="B118" s="16" t="inlineStr">
        <is>
          <t>RELX Plc</t>
        </is>
      </c>
      <c r="C118" s="15" t="inlineStr">
        <is>
          <t>RELX Plc</t>
        </is>
      </c>
      <c r="D118" s="15" t="inlineStr"/>
      <c r="E118" s="15" t="inlineStr">
        <is>
          <t>No</t>
        </is>
      </c>
      <c r="F118" s="15" t="inlineStr">
        <is>
          <t>Active</t>
        </is>
      </c>
      <c r="G118" s="25" t="n"/>
      <c r="H118" s="17" t="n">
        <v>1</v>
      </c>
      <c r="I118" s="26" t="n"/>
      <c r="J118" s="26" t="n"/>
      <c r="K118" s="25" t="n"/>
      <c r="L118" s="25" t="n"/>
      <c r="M118" s="25" t="n"/>
      <c r="N118" s="25" t="n"/>
      <c r="O118" s="25" t="n"/>
      <c r="P118" s="25" t="n"/>
      <c r="Q118" s="19">
        <f>IF($A118="","",COUNTIFS(Assignments!$C$2:$C$769,$A118,Assignments!$G$2:$G$769,"Active"))</f>
        <v/>
      </c>
      <c r="R118" s="20">
        <f>IF($A118="","",SUMIFS(Assignments!$I$2:$I$769,Assignments!$C$2:$C$769,$A118,Assignments!$G$2:$G$769,"Active"))</f>
        <v/>
      </c>
      <c r="S118" s="16" t="inlineStr">
        <is>
          <t>WIP</t>
        </is>
      </c>
      <c r="T118" s="27" t="n"/>
      <c r="U118" s="25" t="n"/>
      <c r="V118" s="22">
        <f>IF($U118="","",IFERROR(INDEX(Templates!$K$3:$K$10,MATCH($U118,Templates!$A$3:$A$10,0)),""))</f>
        <v/>
      </c>
      <c r="W118" s="22">
        <f>IF($U118="","",IFERROR(INDEX(Templates!$L$3:$L$10,MATCH($U118,Templates!$A$3:$A$10,0)),""))</f>
        <v/>
      </c>
      <c r="X118" s="23">
        <f>IF($U118="","",IFERROR(INDEX(Templates!$J$3:$J$10,MATCH($U118,Templates!$A$3:$A$10,0)),""))</f>
        <v/>
      </c>
      <c r="Y118" s="24">
        <f>IF(OR($U118="",$I118="",$J118="",$X118=""),"",$I118+$X118*($J118-$I118))</f>
        <v/>
      </c>
    </row>
    <row r="119">
      <c r="A119" s="15" t="inlineStr">
        <is>
          <t>Mozart_2</t>
        </is>
      </c>
      <c r="B119" s="16" t="inlineStr">
        <is>
          <t>Eight Advisory</t>
        </is>
      </c>
      <c r="C119" s="15" t="inlineStr">
        <is>
          <t>Eight Advisory</t>
        </is>
      </c>
      <c r="D119" s="15" t="inlineStr"/>
      <c r="E119" s="15" t="inlineStr">
        <is>
          <t>No</t>
        </is>
      </c>
      <c r="F119" s="15" t="inlineStr">
        <is>
          <t>Active</t>
        </is>
      </c>
      <c r="G119" s="25" t="n"/>
      <c r="H119" s="17" t="n">
        <v>1</v>
      </c>
      <c r="I119" s="26" t="n"/>
      <c r="J119" s="26" t="n"/>
      <c r="K119" s="25" t="n"/>
      <c r="L119" s="25" t="n"/>
      <c r="M119" s="25" t="n"/>
      <c r="N119" s="25" t="n"/>
      <c r="O119" s="25" t="n"/>
      <c r="P119" s="25" t="n"/>
      <c r="Q119" s="19">
        <f>IF($A119="","",COUNTIFS(Assignments!$C$2:$C$769,$A119,Assignments!$G$2:$G$769,"Active"))</f>
        <v/>
      </c>
      <c r="R119" s="20">
        <f>IF($A119="","",SUMIFS(Assignments!$I$2:$I$769,Assignments!$C$2:$C$769,$A119,Assignments!$G$2:$G$769,"Active"))</f>
        <v/>
      </c>
      <c r="S119" s="16" t="inlineStr">
        <is>
          <t>WIP</t>
        </is>
      </c>
      <c r="T119" s="27" t="n"/>
      <c r="U119" s="25" t="n"/>
      <c r="V119" s="22">
        <f>IF($U119="","",IFERROR(INDEX(Templates!$K$3:$K$10,MATCH($U119,Templates!$A$3:$A$10,0)),""))</f>
        <v/>
      </c>
      <c r="W119" s="22">
        <f>IF($U119="","",IFERROR(INDEX(Templates!$L$3:$L$10,MATCH($U119,Templates!$A$3:$A$10,0)),""))</f>
        <v/>
      </c>
      <c r="X119" s="23">
        <f>IF($U119="","",IFERROR(INDEX(Templates!$J$3:$J$10,MATCH($U119,Templates!$A$3:$A$10,0)),""))</f>
        <v/>
      </c>
      <c r="Y119" s="24">
        <f>IF(OR($U119="",$I119="",$J119="",$X119=""),"",$I119+$X119*($J119-$I119))</f>
        <v/>
      </c>
    </row>
    <row r="120">
      <c r="A120" s="15" t="inlineStr">
        <is>
          <t>Naples_2</t>
        </is>
      </c>
      <c r="B120" s="16" t="inlineStr">
        <is>
          <t>Health Velocity Capital</t>
        </is>
      </c>
      <c r="C120" s="15" t="inlineStr">
        <is>
          <t>Health Velocity Capital</t>
        </is>
      </c>
      <c r="D120" s="15" t="inlineStr"/>
      <c r="E120" s="15" t="inlineStr">
        <is>
          <t>No</t>
        </is>
      </c>
      <c r="F120" s="15" t="inlineStr">
        <is>
          <t>Active</t>
        </is>
      </c>
      <c r="G120" s="25" t="n"/>
      <c r="H120" s="17" t="n">
        <v>1</v>
      </c>
      <c r="I120" s="26" t="n"/>
      <c r="J120" s="26" t="n"/>
      <c r="K120" s="25" t="n"/>
      <c r="L120" s="25" t="n"/>
      <c r="M120" s="25" t="n"/>
      <c r="N120" s="25" t="n"/>
      <c r="O120" s="25" t="n"/>
      <c r="P120" s="25" t="n"/>
      <c r="Q120" s="19">
        <f>IF($A120="","",COUNTIFS(Assignments!$C$2:$C$769,$A120,Assignments!$G$2:$G$769,"Active"))</f>
        <v/>
      </c>
      <c r="R120" s="20">
        <f>IF($A120="","",SUMIFS(Assignments!$I$2:$I$769,Assignments!$C$2:$C$769,$A120,Assignments!$G$2:$G$769,"Active"))</f>
        <v/>
      </c>
      <c r="S120" s="16" t="inlineStr">
        <is>
          <t>WIP</t>
        </is>
      </c>
      <c r="T120" s="27" t="n"/>
      <c r="U120" s="25" t="n"/>
      <c r="V120" s="22">
        <f>IF($U120="","",IFERROR(INDEX(Templates!$K$3:$K$10,MATCH($U120,Templates!$A$3:$A$10,0)),""))</f>
        <v/>
      </c>
      <c r="W120" s="22">
        <f>IF($U120="","",IFERROR(INDEX(Templates!$L$3:$L$10,MATCH($U120,Templates!$A$3:$A$10,0)),""))</f>
        <v/>
      </c>
      <c r="X120" s="23">
        <f>IF($U120="","",IFERROR(INDEX(Templates!$J$3:$J$10,MATCH($U120,Templates!$A$3:$A$10,0)),""))</f>
        <v/>
      </c>
      <c r="Y120" s="24">
        <f>IF(OR($U120="",$I120="",$J120="",$X120=""),"",$I120+$X120*($J120-$I120))</f>
        <v/>
      </c>
    </row>
    <row r="121">
      <c r="A121" s="15" t="inlineStr">
        <is>
          <t>Neo_2</t>
        </is>
      </c>
      <c r="B121" s="16" t="inlineStr">
        <is>
          <t>Ethos Specialty Insurance Services</t>
        </is>
      </c>
      <c r="C121" s="15" t="inlineStr">
        <is>
          <t>Ethos Specialty Insurance Services</t>
        </is>
      </c>
      <c r="D121" s="15" t="inlineStr"/>
      <c r="E121" s="15" t="inlineStr">
        <is>
          <t>No</t>
        </is>
      </c>
      <c r="F121" s="15" t="inlineStr">
        <is>
          <t>Active</t>
        </is>
      </c>
      <c r="G121" s="25" t="n"/>
      <c r="H121" s="17" t="n">
        <v>1</v>
      </c>
      <c r="I121" s="26" t="n"/>
      <c r="J121" s="26" t="n"/>
      <c r="K121" s="25" t="n"/>
      <c r="L121" s="25" t="n"/>
      <c r="M121" s="25" t="n"/>
      <c r="N121" s="25" t="n"/>
      <c r="O121" s="25" t="n"/>
      <c r="P121" s="25" t="n"/>
      <c r="Q121" s="19">
        <f>IF($A121="","",COUNTIFS(Assignments!$C$2:$C$769,$A121,Assignments!$G$2:$G$769,"Active"))</f>
        <v/>
      </c>
      <c r="R121" s="20">
        <f>IF($A121="","",SUMIFS(Assignments!$I$2:$I$769,Assignments!$C$2:$C$769,$A121,Assignments!$G$2:$G$769,"Active"))</f>
        <v/>
      </c>
      <c r="S121" s="16" t="inlineStr">
        <is>
          <t>WIP</t>
        </is>
      </c>
      <c r="T121" s="27" t="n"/>
      <c r="U121" s="25" t="n"/>
      <c r="V121" s="22">
        <f>IF($U121="","",IFERROR(INDEX(Templates!$K$3:$K$10,MATCH($U121,Templates!$A$3:$A$10,0)),""))</f>
        <v/>
      </c>
      <c r="W121" s="22">
        <f>IF($U121="","",IFERROR(INDEX(Templates!$L$3:$L$10,MATCH($U121,Templates!$A$3:$A$10,0)),""))</f>
        <v/>
      </c>
      <c r="X121" s="23">
        <f>IF($U121="","",IFERROR(INDEX(Templates!$J$3:$J$10,MATCH($U121,Templates!$A$3:$A$10,0)),""))</f>
        <v/>
      </c>
      <c r="Y121" s="24">
        <f>IF(OR($U121="",$I121="",$J121="",$X121=""),"",$I121+$X121*($J121-$I121))</f>
        <v/>
      </c>
    </row>
    <row r="122">
      <c r="A122" s="15" t="inlineStr">
        <is>
          <t>Neutrino_1</t>
        </is>
      </c>
      <c r="B122" s="16" t="inlineStr">
        <is>
          <t>Solertia MGA Ltd.</t>
        </is>
      </c>
      <c r="C122" s="15" t="inlineStr">
        <is>
          <t>Solertia MGA Ltd.</t>
        </is>
      </c>
      <c r="D122" s="15" t="inlineStr"/>
      <c r="E122" s="15" t="inlineStr">
        <is>
          <t>No</t>
        </is>
      </c>
      <c r="F122" s="15" t="inlineStr">
        <is>
          <t>Active</t>
        </is>
      </c>
      <c r="G122" s="25" t="n"/>
      <c r="H122" s="17" t="n">
        <v>1</v>
      </c>
      <c r="I122" s="26" t="n"/>
      <c r="J122" s="26" t="n"/>
      <c r="K122" s="25" t="n"/>
      <c r="L122" s="25" t="n"/>
      <c r="M122" s="25" t="n"/>
      <c r="N122" s="25" t="n"/>
      <c r="O122" s="25" t="n"/>
      <c r="P122" s="25" t="n"/>
      <c r="Q122" s="19">
        <f>IF($A122="","",COUNTIFS(Assignments!$C$2:$C$769,$A122,Assignments!$G$2:$G$769,"Active"))</f>
        <v/>
      </c>
      <c r="R122" s="20">
        <f>IF($A122="","",SUMIFS(Assignments!$I$2:$I$769,Assignments!$C$2:$C$769,$A122,Assignments!$G$2:$G$769,"Active"))</f>
        <v/>
      </c>
      <c r="S122" s="16" t="inlineStr">
        <is>
          <t>WIP</t>
        </is>
      </c>
      <c r="T122" s="27" t="n"/>
      <c r="U122" s="25" t="n"/>
      <c r="V122" s="22">
        <f>IF($U122="","",IFERROR(INDEX(Templates!$K$3:$K$10,MATCH($U122,Templates!$A$3:$A$10,0)),""))</f>
        <v/>
      </c>
      <c r="W122" s="22">
        <f>IF($U122="","",IFERROR(INDEX(Templates!$L$3:$L$10,MATCH($U122,Templates!$A$3:$A$10,0)),""))</f>
        <v/>
      </c>
      <c r="X122" s="23">
        <f>IF($U122="","",IFERROR(INDEX(Templates!$J$3:$J$10,MATCH($U122,Templates!$A$3:$A$10,0)),""))</f>
        <v/>
      </c>
      <c r="Y122" s="24">
        <f>IF(OR($U122="",$I122="",$J122="",$X122=""),"",$I122+$X122*($J122-$I122))</f>
        <v/>
      </c>
    </row>
    <row r="123">
      <c r="A123" s="15" t="inlineStr">
        <is>
          <t>Nevada_1</t>
        </is>
      </c>
      <c r="B123" s="16" t="inlineStr">
        <is>
          <t>CrossCountry Consulting</t>
        </is>
      </c>
      <c r="C123" s="15" t="inlineStr">
        <is>
          <t>CrossCountry Consulting</t>
        </is>
      </c>
      <c r="D123" s="15" t="inlineStr"/>
      <c r="E123" s="15" t="inlineStr">
        <is>
          <t>No</t>
        </is>
      </c>
      <c r="F123" s="15" t="inlineStr">
        <is>
          <t>Active</t>
        </is>
      </c>
      <c r="G123" s="25" t="n"/>
      <c r="H123" s="17" t="n">
        <v>1</v>
      </c>
      <c r="I123" s="26" t="n"/>
      <c r="J123" s="26" t="n"/>
      <c r="K123" s="25" t="n"/>
      <c r="L123" s="25" t="n"/>
      <c r="M123" s="25" t="n"/>
      <c r="N123" s="25" t="n"/>
      <c r="O123" s="25" t="n"/>
      <c r="P123" s="25" t="n"/>
      <c r="Q123" s="19">
        <f>IF($A123="","",COUNTIFS(Assignments!$C$2:$C$769,$A123,Assignments!$G$2:$G$769,"Active"))</f>
        <v/>
      </c>
      <c r="R123" s="20">
        <f>IF($A123="","",SUMIFS(Assignments!$I$2:$I$769,Assignments!$C$2:$C$769,$A123,Assignments!$G$2:$G$769,"Active"))</f>
        <v/>
      </c>
      <c r="S123" s="16" t="inlineStr">
        <is>
          <t>WIP</t>
        </is>
      </c>
      <c r="T123" s="27" t="n"/>
      <c r="U123" s="25" t="n"/>
      <c r="V123" s="22">
        <f>IF($U123="","",IFERROR(INDEX(Templates!$K$3:$K$10,MATCH($U123,Templates!$A$3:$A$10,0)),""))</f>
        <v/>
      </c>
      <c r="W123" s="22">
        <f>IF($U123="","",IFERROR(INDEX(Templates!$L$3:$L$10,MATCH($U123,Templates!$A$3:$A$10,0)),""))</f>
        <v/>
      </c>
      <c r="X123" s="23">
        <f>IF($U123="","",IFERROR(INDEX(Templates!$J$3:$J$10,MATCH($U123,Templates!$A$3:$A$10,0)),""))</f>
        <v/>
      </c>
      <c r="Y123" s="24">
        <f>IF(OR($U123="",$I123="",$J123="",$X123=""),"",$I123+$X123*($J123-$I123))</f>
        <v/>
      </c>
    </row>
    <row r="124">
      <c r="A124" s="15" t="inlineStr">
        <is>
          <t>New Haven_1</t>
        </is>
      </c>
      <c r="B124" s="16" t="inlineStr">
        <is>
          <t>City of New Haven</t>
        </is>
      </c>
      <c r="C124" s="15" t="inlineStr">
        <is>
          <t>City of New Haven</t>
        </is>
      </c>
      <c r="D124" s="15" t="inlineStr"/>
      <c r="E124" s="15" t="inlineStr">
        <is>
          <t>No</t>
        </is>
      </c>
      <c r="F124" s="15" t="inlineStr">
        <is>
          <t>Active</t>
        </is>
      </c>
      <c r="G124" s="25" t="n"/>
      <c r="H124" s="17" t="n">
        <v>1</v>
      </c>
      <c r="I124" s="26" t="n"/>
      <c r="J124" s="26" t="n"/>
      <c r="K124" s="25" t="n"/>
      <c r="L124" s="25" t="n"/>
      <c r="M124" s="25" t="n"/>
      <c r="N124" s="25" t="n"/>
      <c r="O124" s="25" t="n"/>
      <c r="P124" s="25" t="n"/>
      <c r="Q124" s="19">
        <f>IF($A124="","",COUNTIFS(Assignments!$C$2:$C$769,$A124,Assignments!$G$2:$G$769,"Active"))</f>
        <v/>
      </c>
      <c r="R124" s="20">
        <f>IF($A124="","",SUMIFS(Assignments!$I$2:$I$769,Assignments!$C$2:$C$769,$A124,Assignments!$G$2:$G$769,"Active"))</f>
        <v/>
      </c>
      <c r="S124" s="16" t="inlineStr">
        <is>
          <t>WIP</t>
        </is>
      </c>
      <c r="T124" s="27" t="n"/>
      <c r="U124" s="25" t="n"/>
      <c r="V124" s="22">
        <f>IF($U124="","",IFERROR(INDEX(Templates!$K$3:$K$10,MATCH($U124,Templates!$A$3:$A$10,0)),""))</f>
        <v/>
      </c>
      <c r="W124" s="22">
        <f>IF($U124="","",IFERROR(INDEX(Templates!$L$3:$L$10,MATCH($U124,Templates!$A$3:$A$10,0)),""))</f>
        <v/>
      </c>
      <c r="X124" s="23">
        <f>IF($U124="","",IFERROR(INDEX(Templates!$J$3:$J$10,MATCH($U124,Templates!$A$3:$A$10,0)),""))</f>
        <v/>
      </c>
      <c r="Y124" s="24">
        <f>IF(OR($U124="",$I124="",$J124="",$X124=""),"",$I124+$X124*($J124-$I124))</f>
        <v/>
      </c>
    </row>
    <row r="125">
      <c r="A125" s="15" t="inlineStr">
        <is>
          <t>Nexus_6</t>
        </is>
      </c>
      <c r="B125" s="16" t="inlineStr">
        <is>
          <t>Beacon Software, Inc.</t>
        </is>
      </c>
      <c r="C125" s="15" t="inlineStr">
        <is>
          <t>Beacon Software, Inc.</t>
        </is>
      </c>
      <c r="D125" s="15" t="inlineStr"/>
      <c r="E125" s="15" t="inlineStr">
        <is>
          <t>No</t>
        </is>
      </c>
      <c r="F125" s="15" t="inlineStr">
        <is>
          <t>Active</t>
        </is>
      </c>
      <c r="G125" s="25" t="n"/>
      <c r="H125" s="17" t="n">
        <v>1</v>
      </c>
      <c r="I125" s="26" t="n"/>
      <c r="J125" s="26" t="n"/>
      <c r="K125" s="25" t="n"/>
      <c r="L125" s="25" t="n"/>
      <c r="M125" s="25" t="n"/>
      <c r="N125" s="25" t="n"/>
      <c r="O125" s="25" t="n"/>
      <c r="P125" s="25" t="n"/>
      <c r="Q125" s="19">
        <f>IF($A125="","",COUNTIFS(Assignments!$C$2:$C$769,$A125,Assignments!$G$2:$G$769,"Active"))</f>
        <v/>
      </c>
      <c r="R125" s="20">
        <f>IF($A125="","",SUMIFS(Assignments!$I$2:$I$769,Assignments!$C$2:$C$769,$A125,Assignments!$G$2:$G$769,"Active"))</f>
        <v/>
      </c>
      <c r="S125" s="16" t="inlineStr">
        <is>
          <t>WIP</t>
        </is>
      </c>
      <c r="T125" s="27" t="n"/>
      <c r="U125" s="25" t="n"/>
      <c r="V125" s="22">
        <f>IF($U125="","",IFERROR(INDEX(Templates!$K$3:$K$10,MATCH($U125,Templates!$A$3:$A$10,0)),""))</f>
        <v/>
      </c>
      <c r="W125" s="22">
        <f>IF($U125="","",IFERROR(INDEX(Templates!$L$3:$L$10,MATCH($U125,Templates!$A$3:$A$10,0)),""))</f>
        <v/>
      </c>
      <c r="X125" s="23">
        <f>IF($U125="","",IFERROR(INDEX(Templates!$J$3:$J$10,MATCH($U125,Templates!$A$3:$A$10,0)),""))</f>
        <v/>
      </c>
      <c r="Y125" s="24">
        <f>IF(OR($U125="",$I125="",$J125="",$X125=""),"",$I125+$X125*($J125-$I125))</f>
        <v/>
      </c>
    </row>
    <row r="126">
      <c r="A126" s="15" t="inlineStr">
        <is>
          <t>Ninedot_3</t>
        </is>
      </c>
      <c r="B126" s="16" t="inlineStr">
        <is>
          <t>The Carlyle Group : NineDot Energy</t>
        </is>
      </c>
      <c r="C126" s="15" t="inlineStr">
        <is>
          <t>The Carlyle Group</t>
        </is>
      </c>
      <c r="D126" s="15" t="inlineStr">
        <is>
          <t>NineDot Energy</t>
        </is>
      </c>
      <c r="E126" s="15" t="inlineStr">
        <is>
          <t>No</t>
        </is>
      </c>
      <c r="F126" s="15" t="inlineStr">
        <is>
          <t>Active</t>
        </is>
      </c>
      <c r="G126" s="25" t="n"/>
      <c r="H126" s="17" t="n">
        <v>1</v>
      </c>
      <c r="I126" s="26" t="n"/>
      <c r="J126" s="26" t="n"/>
      <c r="K126" s="25" t="n"/>
      <c r="L126" s="25" t="n"/>
      <c r="M126" s="25" t="n"/>
      <c r="N126" s="25" t="n"/>
      <c r="O126" s="25" t="n"/>
      <c r="P126" s="25" t="n"/>
      <c r="Q126" s="19">
        <f>IF($A126="","",COUNTIFS(Assignments!$C$2:$C$769,$A126,Assignments!$G$2:$G$769,"Active"))</f>
        <v/>
      </c>
      <c r="R126" s="20">
        <f>IF($A126="","",SUMIFS(Assignments!$I$2:$I$769,Assignments!$C$2:$C$769,$A126,Assignments!$G$2:$G$769,"Active"))</f>
        <v/>
      </c>
      <c r="S126" s="16" t="inlineStr">
        <is>
          <t>WIP</t>
        </is>
      </c>
      <c r="T126" s="27" t="n"/>
      <c r="U126" s="25" t="n"/>
      <c r="V126" s="22">
        <f>IF($U126="","",IFERROR(INDEX(Templates!$K$3:$K$10,MATCH($U126,Templates!$A$3:$A$10,0)),""))</f>
        <v/>
      </c>
      <c r="W126" s="22">
        <f>IF($U126="","",IFERROR(INDEX(Templates!$L$3:$L$10,MATCH($U126,Templates!$A$3:$A$10,0)),""))</f>
        <v/>
      </c>
      <c r="X126" s="23">
        <f>IF($U126="","",IFERROR(INDEX(Templates!$J$3:$J$10,MATCH($U126,Templates!$A$3:$A$10,0)),""))</f>
        <v/>
      </c>
      <c r="Y126" s="24">
        <f>IF(OR($U126="",$I126="",$J126="",$X126=""),"",$I126+$X126*($J126-$I126))</f>
        <v/>
      </c>
    </row>
    <row r="127">
      <c r="A127" s="15" t="inlineStr">
        <is>
          <t>NXT Add_1</t>
        </is>
      </c>
      <c r="B127" s="16" t="inlineStr">
        <is>
          <t>NXT Vacation Management LLC</t>
        </is>
      </c>
      <c r="C127" s="15" t="inlineStr">
        <is>
          <t>NXT Vacation Management LLC</t>
        </is>
      </c>
      <c r="D127" s="15" t="inlineStr"/>
      <c r="E127" s="15" t="inlineStr">
        <is>
          <t>No</t>
        </is>
      </c>
      <c r="F127" s="15" t="inlineStr">
        <is>
          <t>Active</t>
        </is>
      </c>
      <c r="G127" s="25" t="n"/>
      <c r="H127" s="17" t="n">
        <v>1</v>
      </c>
      <c r="I127" s="26" t="n"/>
      <c r="J127" s="26" t="n"/>
      <c r="K127" s="25" t="n"/>
      <c r="L127" s="25" t="n"/>
      <c r="M127" s="25" t="n"/>
      <c r="N127" s="25" t="n"/>
      <c r="O127" s="25" t="n"/>
      <c r="P127" s="25" t="n"/>
      <c r="Q127" s="19">
        <f>IF($A127="","",COUNTIFS(Assignments!$C$2:$C$769,$A127,Assignments!$G$2:$G$769,"Active"))</f>
        <v/>
      </c>
      <c r="R127" s="20">
        <f>IF($A127="","",SUMIFS(Assignments!$I$2:$I$769,Assignments!$C$2:$C$769,$A127,Assignments!$G$2:$G$769,"Active"))</f>
        <v/>
      </c>
      <c r="S127" s="16" t="inlineStr">
        <is>
          <t>WIP</t>
        </is>
      </c>
      <c r="T127" s="27" t="n"/>
      <c r="U127" s="25" t="n"/>
      <c r="V127" s="22">
        <f>IF($U127="","",IFERROR(INDEX(Templates!$K$3:$K$10,MATCH($U127,Templates!$A$3:$A$10,0)),""))</f>
        <v/>
      </c>
      <c r="W127" s="22">
        <f>IF($U127="","",IFERROR(INDEX(Templates!$L$3:$L$10,MATCH($U127,Templates!$A$3:$A$10,0)),""))</f>
        <v/>
      </c>
      <c r="X127" s="23">
        <f>IF($U127="","",IFERROR(INDEX(Templates!$J$3:$J$10,MATCH($U127,Templates!$A$3:$A$10,0)),""))</f>
        <v/>
      </c>
      <c r="Y127" s="24">
        <f>IF(OR($U127="",$I127="",$J127="",$X127=""),"",$I127+$X127*($J127-$I127))</f>
        <v/>
      </c>
    </row>
    <row r="128">
      <c r="A128" s="15" t="inlineStr">
        <is>
          <t>Octopus Post-close_1</t>
        </is>
      </c>
      <c r="B128" s="16" t="inlineStr">
        <is>
          <t>Octopus Energy Generation</t>
        </is>
      </c>
      <c r="C128" s="15" t="inlineStr">
        <is>
          <t>Octopus Energy Generation</t>
        </is>
      </c>
      <c r="D128" s="15" t="inlineStr"/>
      <c r="E128" s="15" t="inlineStr">
        <is>
          <t>No</t>
        </is>
      </c>
      <c r="F128" s="15" t="inlineStr">
        <is>
          <t>Active</t>
        </is>
      </c>
      <c r="G128" s="25" t="n"/>
      <c r="H128" s="17" t="n">
        <v>1</v>
      </c>
      <c r="I128" s="26" t="n"/>
      <c r="J128" s="26" t="n"/>
      <c r="K128" s="25" t="n"/>
      <c r="L128" s="25" t="n"/>
      <c r="M128" s="25" t="n"/>
      <c r="N128" s="25" t="n"/>
      <c r="O128" s="25" t="n"/>
      <c r="P128" s="25" t="n"/>
      <c r="Q128" s="19">
        <f>IF($A128="","",COUNTIFS(Assignments!$C$2:$C$769,$A128,Assignments!$G$2:$G$769,"Active"))</f>
        <v/>
      </c>
      <c r="R128" s="20">
        <f>IF($A128="","",SUMIFS(Assignments!$I$2:$I$769,Assignments!$C$2:$C$769,$A128,Assignments!$G$2:$G$769,"Active"))</f>
        <v/>
      </c>
      <c r="S128" s="16" t="inlineStr">
        <is>
          <t>WIP</t>
        </is>
      </c>
      <c r="T128" s="27" t="n"/>
      <c r="U128" s="25" t="n"/>
      <c r="V128" s="22">
        <f>IF($U128="","",IFERROR(INDEX(Templates!$K$3:$K$10,MATCH($U128,Templates!$A$3:$A$10,0)),""))</f>
        <v/>
      </c>
      <c r="W128" s="22">
        <f>IF($U128="","",IFERROR(INDEX(Templates!$L$3:$L$10,MATCH($U128,Templates!$A$3:$A$10,0)),""))</f>
        <v/>
      </c>
      <c r="X128" s="23">
        <f>IF($U128="","",IFERROR(INDEX(Templates!$J$3:$J$10,MATCH($U128,Templates!$A$3:$A$10,0)),""))</f>
        <v/>
      </c>
      <c r="Y128" s="24">
        <f>IF(OR($U128="",$I128="",$J128="",$X128=""),"",$I128+$X128*($J128-$I128))</f>
        <v/>
      </c>
    </row>
    <row r="129">
      <c r="A129" s="15" t="inlineStr">
        <is>
          <t>Odysee/Atlas_2</t>
        </is>
      </c>
      <c r="B129" s="16" t="inlineStr">
        <is>
          <t>Eight Advisory</t>
        </is>
      </c>
      <c r="C129" s="15" t="inlineStr">
        <is>
          <t>Eight Advisory</t>
        </is>
      </c>
      <c r="D129" s="15" t="inlineStr"/>
      <c r="E129" s="15" t="inlineStr">
        <is>
          <t>No</t>
        </is>
      </c>
      <c r="F129" s="15" t="inlineStr">
        <is>
          <t>Active</t>
        </is>
      </c>
      <c r="G129" s="25" t="n"/>
      <c r="H129" s="17" t="n">
        <v>1</v>
      </c>
      <c r="I129" s="26" t="n"/>
      <c r="J129" s="26" t="n"/>
      <c r="K129" s="25" t="n"/>
      <c r="L129" s="25" t="n"/>
      <c r="M129" s="25" t="n"/>
      <c r="N129" s="25" t="n"/>
      <c r="O129" s="25" t="n"/>
      <c r="P129" s="25" t="n"/>
      <c r="Q129" s="19">
        <f>IF($A129="","",COUNTIFS(Assignments!$C$2:$C$769,$A129,Assignments!$G$2:$G$769,"Active"))</f>
        <v/>
      </c>
      <c r="R129" s="20">
        <f>IF($A129="","",SUMIFS(Assignments!$I$2:$I$769,Assignments!$C$2:$C$769,$A129,Assignments!$G$2:$G$769,"Active"))</f>
        <v/>
      </c>
      <c r="S129" s="16" t="inlineStr">
        <is>
          <t>WIP</t>
        </is>
      </c>
      <c r="T129" s="27" t="n"/>
      <c r="U129" s="25" t="n"/>
      <c r="V129" s="22">
        <f>IF($U129="","",IFERROR(INDEX(Templates!$K$3:$K$10,MATCH($U129,Templates!$A$3:$A$10,0)),""))</f>
        <v/>
      </c>
      <c r="W129" s="22">
        <f>IF($U129="","",IFERROR(INDEX(Templates!$L$3:$L$10,MATCH($U129,Templates!$A$3:$A$10,0)),""))</f>
        <v/>
      </c>
      <c r="X129" s="23">
        <f>IF($U129="","",IFERROR(INDEX(Templates!$J$3:$J$10,MATCH($U129,Templates!$A$3:$A$10,0)),""))</f>
        <v/>
      </c>
      <c r="Y129" s="24">
        <f>IF(OR($U129="",$I129="",$J129="",$X129=""),"",$I129+$X129*($J129-$I129))</f>
        <v/>
      </c>
    </row>
    <row r="130">
      <c r="A130" s="15" t="inlineStr">
        <is>
          <t>Ontario_1</t>
        </is>
      </c>
      <c r="B130" s="16" t="inlineStr">
        <is>
          <t>Ullico Infrastructure Management Company</t>
        </is>
      </c>
      <c r="C130" s="15" t="inlineStr">
        <is>
          <t>Ullico Infrastructure Management Company</t>
        </is>
      </c>
      <c r="D130" s="15" t="inlineStr"/>
      <c r="E130" s="15" t="inlineStr">
        <is>
          <t>No</t>
        </is>
      </c>
      <c r="F130" s="15" t="inlineStr">
        <is>
          <t>Active</t>
        </is>
      </c>
      <c r="G130" s="25" t="n"/>
      <c r="H130" s="17" t="n">
        <v>1</v>
      </c>
      <c r="I130" s="26" t="n"/>
      <c r="J130" s="26" t="n"/>
      <c r="K130" s="25" t="n"/>
      <c r="L130" s="25" t="n"/>
      <c r="M130" s="25" t="n"/>
      <c r="N130" s="25" t="n"/>
      <c r="O130" s="25" t="n"/>
      <c r="P130" s="25" t="n"/>
      <c r="Q130" s="19">
        <f>IF($A130="","",COUNTIFS(Assignments!$C$2:$C$769,$A130,Assignments!$G$2:$G$769,"Active"))</f>
        <v/>
      </c>
      <c r="R130" s="20">
        <f>IF($A130="","",SUMIFS(Assignments!$I$2:$I$769,Assignments!$C$2:$C$769,$A130,Assignments!$G$2:$G$769,"Active"))</f>
        <v/>
      </c>
      <c r="S130" s="16" t="inlineStr">
        <is>
          <t>WIP</t>
        </is>
      </c>
      <c r="T130" s="27" t="n"/>
      <c r="U130" s="25" t="n"/>
      <c r="V130" s="22">
        <f>IF($U130="","",IFERROR(INDEX(Templates!$K$3:$K$10,MATCH($U130,Templates!$A$3:$A$10,0)),""))</f>
        <v/>
      </c>
      <c r="W130" s="22">
        <f>IF($U130="","",IFERROR(INDEX(Templates!$L$3:$L$10,MATCH($U130,Templates!$A$3:$A$10,0)),""))</f>
        <v/>
      </c>
      <c r="X130" s="23">
        <f>IF($U130="","",IFERROR(INDEX(Templates!$J$3:$J$10,MATCH($U130,Templates!$A$3:$A$10,0)),""))</f>
        <v/>
      </c>
      <c r="Y130" s="24">
        <f>IF(OR($U130="",$I130="",$J130="",$X130=""),"",$I130+$X130*($J130-$I130))</f>
        <v/>
      </c>
    </row>
    <row r="131">
      <c r="A131" s="15" t="inlineStr">
        <is>
          <t>Orca_1</t>
        </is>
      </c>
      <c r="B131" s="16" t="inlineStr">
        <is>
          <t>CVC Capital Partners : DIF Capital Partners : Green Street Power Partners</t>
        </is>
      </c>
      <c r="C131" s="15" t="inlineStr">
        <is>
          <t>CVC Capital Partners</t>
        </is>
      </c>
      <c r="D131" s="15" t="inlineStr">
        <is>
          <t>Green Street Power Partners</t>
        </is>
      </c>
      <c r="E131" s="15" t="inlineStr">
        <is>
          <t>No</t>
        </is>
      </c>
      <c r="F131" s="15" t="inlineStr">
        <is>
          <t>Active</t>
        </is>
      </c>
      <c r="G131" s="25" t="n"/>
      <c r="H131" s="17" t="n">
        <v>1</v>
      </c>
      <c r="I131" s="26" t="n"/>
      <c r="J131" s="26" t="n"/>
      <c r="K131" s="25" t="n"/>
      <c r="L131" s="25" t="n"/>
      <c r="M131" s="25" t="n"/>
      <c r="N131" s="25" t="n"/>
      <c r="O131" s="25" t="n"/>
      <c r="P131" s="25" t="n"/>
      <c r="Q131" s="19">
        <f>IF($A131="","",COUNTIFS(Assignments!$C$2:$C$769,$A131,Assignments!$G$2:$G$769,"Active"))</f>
        <v/>
      </c>
      <c r="R131" s="20">
        <f>IF($A131="","",SUMIFS(Assignments!$I$2:$I$769,Assignments!$C$2:$C$769,$A131,Assignments!$G$2:$G$769,"Active"))</f>
        <v/>
      </c>
      <c r="S131" s="16" t="inlineStr">
        <is>
          <t>WIP</t>
        </is>
      </c>
      <c r="T131" s="27" t="n"/>
      <c r="U131" s="25" t="n"/>
      <c r="V131" s="22">
        <f>IF($U131="","",IFERROR(INDEX(Templates!$K$3:$K$10,MATCH($U131,Templates!$A$3:$A$10,0)),""))</f>
        <v/>
      </c>
      <c r="W131" s="22">
        <f>IF($U131="","",IFERROR(INDEX(Templates!$L$3:$L$10,MATCH($U131,Templates!$A$3:$A$10,0)),""))</f>
        <v/>
      </c>
      <c r="X131" s="23">
        <f>IF($U131="","",IFERROR(INDEX(Templates!$J$3:$J$10,MATCH($U131,Templates!$A$3:$A$10,0)),""))</f>
        <v/>
      </c>
      <c r="Y131" s="24">
        <f>IF(OR($U131="",$I131="",$J131="",$X131=""),"",$I131+$X131*($J131-$I131))</f>
        <v/>
      </c>
    </row>
    <row r="132">
      <c r="A132" s="15" t="inlineStr">
        <is>
          <t>Orion_3</t>
        </is>
      </c>
      <c r="B132" s="16" t="inlineStr">
        <is>
          <t>Solertia MGA Ltd.</t>
        </is>
      </c>
      <c r="C132" s="15" t="inlineStr">
        <is>
          <t>Solertia MGA Ltd.</t>
        </is>
      </c>
      <c r="D132" s="15" t="inlineStr"/>
      <c r="E132" s="15" t="inlineStr">
        <is>
          <t>No</t>
        </is>
      </c>
      <c r="F132" s="15" t="inlineStr">
        <is>
          <t>Active</t>
        </is>
      </c>
      <c r="G132" s="25" t="n"/>
      <c r="H132" s="17" t="n">
        <v>1</v>
      </c>
      <c r="I132" s="26" t="n"/>
      <c r="J132" s="26" t="n"/>
      <c r="K132" s="25" t="n"/>
      <c r="L132" s="25" t="n"/>
      <c r="M132" s="25" t="n"/>
      <c r="N132" s="25" t="n"/>
      <c r="O132" s="25" t="n"/>
      <c r="P132" s="25" t="n"/>
      <c r="Q132" s="19">
        <f>IF($A132="","",COUNTIFS(Assignments!$C$2:$C$769,$A132,Assignments!$G$2:$G$769,"Active"))</f>
        <v/>
      </c>
      <c r="R132" s="20">
        <f>IF($A132="","",SUMIFS(Assignments!$I$2:$I$769,Assignments!$C$2:$C$769,$A132,Assignments!$G$2:$G$769,"Active"))</f>
        <v/>
      </c>
      <c r="S132" s="16" t="inlineStr">
        <is>
          <t>WIP</t>
        </is>
      </c>
      <c r="T132" s="27" t="n"/>
      <c r="U132" s="25" t="n"/>
      <c r="V132" s="22">
        <f>IF($U132="","",IFERROR(INDEX(Templates!$K$3:$K$10,MATCH($U132,Templates!$A$3:$A$10,0)),""))</f>
        <v/>
      </c>
      <c r="W132" s="22">
        <f>IF($U132="","",IFERROR(INDEX(Templates!$L$3:$L$10,MATCH($U132,Templates!$A$3:$A$10,0)),""))</f>
        <v/>
      </c>
      <c r="X132" s="23">
        <f>IF($U132="","",IFERROR(INDEX(Templates!$J$3:$J$10,MATCH($U132,Templates!$A$3:$A$10,0)),""))</f>
        <v/>
      </c>
      <c r="Y132" s="24">
        <f>IF(OR($U132="",$I132="",$J132="",$X132=""),"",$I132+$X132*($J132-$I132))</f>
        <v/>
      </c>
    </row>
    <row r="133">
      <c r="A133" s="15" t="inlineStr">
        <is>
          <t>P2Ninedot_1</t>
        </is>
      </c>
      <c r="B133" s="16" t="inlineStr">
        <is>
          <t>Certa</t>
        </is>
      </c>
      <c r="C133" s="15" t="inlineStr">
        <is>
          <t>Certa</t>
        </is>
      </c>
      <c r="D133" s="15" t="inlineStr"/>
      <c r="E133" s="15" t="inlineStr">
        <is>
          <t>No</t>
        </is>
      </c>
      <c r="F133" s="15" t="inlineStr">
        <is>
          <t>Active</t>
        </is>
      </c>
      <c r="G133" s="25" t="n"/>
      <c r="H133" s="17" t="n">
        <v>1</v>
      </c>
      <c r="I133" s="26" t="n"/>
      <c r="J133" s="26" t="n"/>
      <c r="K133" s="25" t="n"/>
      <c r="L133" s="25" t="n"/>
      <c r="M133" s="25" t="n"/>
      <c r="N133" s="25" t="n"/>
      <c r="O133" s="25" t="n"/>
      <c r="P133" s="25" t="n"/>
      <c r="Q133" s="19">
        <f>IF($A133="","",COUNTIFS(Assignments!$C$2:$C$769,$A133,Assignments!$G$2:$G$769,"Active"))</f>
        <v/>
      </c>
      <c r="R133" s="20">
        <f>IF($A133="","",SUMIFS(Assignments!$I$2:$I$769,Assignments!$C$2:$C$769,$A133,Assignments!$G$2:$G$769,"Active"))</f>
        <v/>
      </c>
      <c r="S133" s="16" t="inlineStr">
        <is>
          <t>WIP</t>
        </is>
      </c>
      <c r="T133" s="27" t="n"/>
      <c r="U133" s="25" t="n"/>
      <c r="V133" s="22">
        <f>IF($U133="","",IFERROR(INDEX(Templates!$K$3:$K$10,MATCH($U133,Templates!$A$3:$A$10,0)),""))</f>
        <v/>
      </c>
      <c r="W133" s="22">
        <f>IF($U133="","",IFERROR(INDEX(Templates!$L$3:$L$10,MATCH($U133,Templates!$A$3:$A$10,0)),""))</f>
        <v/>
      </c>
      <c r="X133" s="23">
        <f>IF($U133="","",IFERROR(INDEX(Templates!$J$3:$J$10,MATCH($U133,Templates!$A$3:$A$10,0)),""))</f>
        <v/>
      </c>
      <c r="Y133" s="24">
        <f>IF(OR($U133="",$I133="",$J133="",$X133=""),"",$I133+$X133*($J133-$I133))</f>
        <v/>
      </c>
    </row>
    <row r="134">
      <c r="A134" s="15" t="inlineStr">
        <is>
          <t>Palmetto_3</t>
        </is>
      </c>
      <c r="B134" s="16" t="inlineStr">
        <is>
          <t>Ethos Specialty Insurance Services</t>
        </is>
      </c>
      <c r="C134" s="15" t="inlineStr">
        <is>
          <t>Ethos Specialty Insurance Services</t>
        </is>
      </c>
      <c r="D134" s="15" t="inlineStr"/>
      <c r="E134" s="15" t="inlineStr">
        <is>
          <t>No</t>
        </is>
      </c>
      <c r="F134" s="15" t="inlineStr">
        <is>
          <t>Active</t>
        </is>
      </c>
      <c r="G134" s="25" t="n"/>
      <c r="H134" s="17" t="n">
        <v>1</v>
      </c>
      <c r="I134" s="26" t="n"/>
      <c r="J134" s="26" t="n"/>
      <c r="K134" s="25" t="n"/>
      <c r="L134" s="25" t="n"/>
      <c r="M134" s="25" t="n"/>
      <c r="N134" s="25" t="n"/>
      <c r="O134" s="25" t="n"/>
      <c r="P134" s="25" t="n"/>
      <c r="Q134" s="19">
        <f>IF($A134="","",COUNTIFS(Assignments!$C$2:$C$769,$A134,Assignments!$G$2:$G$769,"Active"))</f>
        <v/>
      </c>
      <c r="R134" s="20">
        <f>IF($A134="","",SUMIFS(Assignments!$I$2:$I$769,Assignments!$C$2:$C$769,$A134,Assignments!$G$2:$G$769,"Active"))</f>
        <v/>
      </c>
      <c r="S134" s="16" t="inlineStr">
        <is>
          <t>WIP</t>
        </is>
      </c>
      <c r="T134" s="27" t="n"/>
      <c r="U134" s="25" t="n"/>
      <c r="V134" s="22">
        <f>IF($U134="","",IFERROR(INDEX(Templates!$K$3:$K$10,MATCH($U134,Templates!$A$3:$A$10,0)),""))</f>
        <v/>
      </c>
      <c r="W134" s="22">
        <f>IF($U134="","",IFERROR(INDEX(Templates!$L$3:$L$10,MATCH($U134,Templates!$A$3:$A$10,0)),""))</f>
        <v/>
      </c>
      <c r="X134" s="23">
        <f>IF($U134="","",IFERROR(INDEX(Templates!$J$3:$J$10,MATCH($U134,Templates!$A$3:$A$10,0)),""))</f>
        <v/>
      </c>
      <c r="Y134" s="24">
        <f>IF(OR($U134="",$I134="",$J134="",$X134=""),"",$I134+$X134*($J134-$I134))</f>
        <v/>
      </c>
    </row>
    <row r="135">
      <c r="A135" s="15" t="inlineStr">
        <is>
          <t>Palo_1</t>
        </is>
      </c>
      <c r="B135" s="16" t="inlineStr">
        <is>
          <t>Certa</t>
        </is>
      </c>
      <c r="C135" s="15" t="inlineStr">
        <is>
          <t>Certa</t>
        </is>
      </c>
      <c r="D135" s="15" t="inlineStr"/>
      <c r="E135" s="15" t="inlineStr">
        <is>
          <t>No</t>
        </is>
      </c>
      <c r="F135" s="15" t="inlineStr">
        <is>
          <t>Active</t>
        </is>
      </c>
      <c r="G135" s="25" t="n"/>
      <c r="H135" s="17" t="n">
        <v>1</v>
      </c>
      <c r="I135" s="26" t="n"/>
      <c r="J135" s="26" t="n"/>
      <c r="K135" s="25" t="n"/>
      <c r="L135" s="25" t="n"/>
      <c r="M135" s="25" t="n"/>
      <c r="N135" s="25" t="n"/>
      <c r="O135" s="25" t="n"/>
      <c r="P135" s="25" t="n"/>
      <c r="Q135" s="19">
        <f>IF($A135="","",COUNTIFS(Assignments!$C$2:$C$769,$A135,Assignments!$G$2:$G$769,"Active"))</f>
        <v/>
      </c>
      <c r="R135" s="20">
        <f>IF($A135="","",SUMIFS(Assignments!$I$2:$I$769,Assignments!$C$2:$C$769,$A135,Assignments!$G$2:$G$769,"Active"))</f>
        <v/>
      </c>
      <c r="S135" s="16" t="inlineStr">
        <is>
          <t>WIP</t>
        </is>
      </c>
      <c r="T135" s="27" t="n"/>
      <c r="U135" s="25" t="n"/>
      <c r="V135" s="22">
        <f>IF($U135="","",IFERROR(INDEX(Templates!$K$3:$K$10,MATCH($U135,Templates!$A$3:$A$10,0)),""))</f>
        <v/>
      </c>
      <c r="W135" s="22">
        <f>IF($U135="","",IFERROR(INDEX(Templates!$L$3:$L$10,MATCH($U135,Templates!$A$3:$A$10,0)),""))</f>
        <v/>
      </c>
      <c r="X135" s="23">
        <f>IF($U135="","",IFERROR(INDEX(Templates!$J$3:$J$10,MATCH($U135,Templates!$A$3:$A$10,0)),""))</f>
        <v/>
      </c>
      <c r="Y135" s="24">
        <f>IF(OR($U135="",$I135="",$J135="",$X135=""),"",$I135+$X135*($J135-$I135))</f>
        <v/>
      </c>
    </row>
    <row r="136">
      <c r="A136" s="15" t="inlineStr">
        <is>
          <t>Papago_1</t>
        </is>
      </c>
      <c r="B136" s="16" t="inlineStr">
        <is>
          <t>Harbert Management Corporation</t>
        </is>
      </c>
      <c r="C136" s="15" t="inlineStr">
        <is>
          <t>Harbert Management Corporation</t>
        </is>
      </c>
      <c r="D136" s="15" t="inlineStr"/>
      <c r="E136" s="15" t="inlineStr">
        <is>
          <t>No</t>
        </is>
      </c>
      <c r="F136" s="15" t="inlineStr">
        <is>
          <t>Active</t>
        </is>
      </c>
      <c r="G136" s="25" t="n"/>
      <c r="H136" s="17" t="n">
        <v>1</v>
      </c>
      <c r="I136" s="26" t="n"/>
      <c r="J136" s="26" t="n"/>
      <c r="K136" s="25" t="n"/>
      <c r="L136" s="25" t="n"/>
      <c r="M136" s="25" t="n"/>
      <c r="N136" s="25" t="n"/>
      <c r="O136" s="25" t="n"/>
      <c r="P136" s="25" t="n"/>
      <c r="Q136" s="19">
        <f>IF($A136="","",COUNTIFS(Assignments!$C$2:$C$769,$A136,Assignments!$G$2:$G$769,"Active"))</f>
        <v/>
      </c>
      <c r="R136" s="20">
        <f>IF($A136="","",SUMIFS(Assignments!$I$2:$I$769,Assignments!$C$2:$C$769,$A136,Assignments!$G$2:$G$769,"Active"))</f>
        <v/>
      </c>
      <c r="S136" s="16" t="inlineStr">
        <is>
          <t>WIP</t>
        </is>
      </c>
      <c r="T136" s="27" t="n"/>
      <c r="U136" s="25" t="n"/>
      <c r="V136" s="22">
        <f>IF($U136="","",IFERROR(INDEX(Templates!$K$3:$K$10,MATCH($U136,Templates!$A$3:$A$10,0)),""))</f>
        <v/>
      </c>
      <c r="W136" s="22">
        <f>IF($U136="","",IFERROR(INDEX(Templates!$L$3:$L$10,MATCH($U136,Templates!$A$3:$A$10,0)),""))</f>
        <v/>
      </c>
      <c r="X136" s="23">
        <f>IF($U136="","",IFERROR(INDEX(Templates!$J$3:$J$10,MATCH($U136,Templates!$A$3:$A$10,0)),""))</f>
        <v/>
      </c>
      <c r="Y136" s="24">
        <f>IF(OR($U136="",$I136="",$J136="",$X136=""),"",$I136+$X136*($J136-$I136))</f>
        <v/>
      </c>
    </row>
    <row r="137">
      <c r="A137" s="15" t="inlineStr">
        <is>
          <t>PearlX_1</t>
        </is>
      </c>
      <c r="B137" s="16" t="inlineStr">
        <is>
          <t>Sands Point Risk</t>
        </is>
      </c>
      <c r="C137" s="15" t="inlineStr">
        <is>
          <t>Sands Point Risk</t>
        </is>
      </c>
      <c r="D137" s="15" t="inlineStr"/>
      <c r="E137" s="15" t="inlineStr">
        <is>
          <t>No</t>
        </is>
      </c>
      <c r="F137" s="15" t="inlineStr">
        <is>
          <t>Active</t>
        </is>
      </c>
      <c r="G137" s="25" t="n"/>
      <c r="H137" s="17" t="n">
        <v>1</v>
      </c>
      <c r="I137" s="26" t="n"/>
      <c r="J137" s="26" t="n"/>
      <c r="K137" s="25" t="n"/>
      <c r="L137" s="25" t="n"/>
      <c r="M137" s="25" t="n"/>
      <c r="N137" s="25" t="n"/>
      <c r="O137" s="25" t="n"/>
      <c r="P137" s="25" t="n"/>
      <c r="Q137" s="19">
        <f>IF($A137="","",COUNTIFS(Assignments!$C$2:$C$769,$A137,Assignments!$G$2:$G$769,"Active"))</f>
        <v/>
      </c>
      <c r="R137" s="20">
        <f>IF($A137="","",SUMIFS(Assignments!$I$2:$I$769,Assignments!$C$2:$C$769,$A137,Assignments!$G$2:$G$769,"Active"))</f>
        <v/>
      </c>
      <c r="S137" s="16" t="inlineStr">
        <is>
          <t>WIP</t>
        </is>
      </c>
      <c r="T137" s="27" t="n"/>
      <c r="U137" s="25" t="n"/>
      <c r="V137" s="22">
        <f>IF($U137="","",IFERROR(INDEX(Templates!$K$3:$K$10,MATCH($U137,Templates!$A$3:$A$10,0)),""))</f>
        <v/>
      </c>
      <c r="W137" s="22">
        <f>IF($U137="","",IFERROR(INDEX(Templates!$L$3:$L$10,MATCH($U137,Templates!$A$3:$A$10,0)),""))</f>
        <v/>
      </c>
      <c r="X137" s="23">
        <f>IF($U137="","",IFERROR(INDEX(Templates!$J$3:$J$10,MATCH($U137,Templates!$A$3:$A$10,0)),""))</f>
        <v/>
      </c>
      <c r="Y137" s="24">
        <f>IF(OR($U137="",$I137="",$J137="",$X137=""),"",$I137+$X137*($J137-$I137))</f>
        <v/>
      </c>
    </row>
    <row r="138">
      <c r="A138" s="15" t="inlineStr">
        <is>
          <t>Pet_1</t>
        </is>
      </c>
      <c r="B138" s="16" t="inlineStr">
        <is>
          <t>Gateway</t>
        </is>
      </c>
      <c r="C138" s="15" t="inlineStr">
        <is>
          <t>Gateway</t>
        </is>
      </c>
      <c r="D138" s="15" t="inlineStr"/>
      <c r="E138" s="15" t="inlineStr">
        <is>
          <t>No</t>
        </is>
      </c>
      <c r="F138" s="15" t="inlineStr">
        <is>
          <t>Active</t>
        </is>
      </c>
      <c r="G138" s="25" t="n"/>
      <c r="H138" s="17" t="n">
        <v>1</v>
      </c>
      <c r="I138" s="26" t="n"/>
      <c r="J138" s="26" t="n"/>
      <c r="K138" s="25" t="n"/>
      <c r="L138" s="25" t="n"/>
      <c r="M138" s="25" t="n"/>
      <c r="N138" s="25" t="n"/>
      <c r="O138" s="25" t="n"/>
      <c r="P138" s="25" t="n"/>
      <c r="Q138" s="19">
        <f>IF($A138="","",COUNTIFS(Assignments!$C$2:$C$769,$A138,Assignments!$G$2:$G$769,"Active"))</f>
        <v/>
      </c>
      <c r="R138" s="20">
        <f>IF($A138="","",SUMIFS(Assignments!$I$2:$I$769,Assignments!$C$2:$C$769,$A138,Assignments!$G$2:$G$769,"Active"))</f>
        <v/>
      </c>
      <c r="S138" s="16" t="inlineStr">
        <is>
          <t>WIP</t>
        </is>
      </c>
      <c r="T138" s="27" t="n"/>
      <c r="U138" s="25" t="n"/>
      <c r="V138" s="22">
        <f>IF($U138="","",IFERROR(INDEX(Templates!$K$3:$K$10,MATCH($U138,Templates!$A$3:$A$10,0)),""))</f>
        <v/>
      </c>
      <c r="W138" s="22">
        <f>IF($U138="","",IFERROR(INDEX(Templates!$L$3:$L$10,MATCH($U138,Templates!$A$3:$A$10,0)),""))</f>
        <v/>
      </c>
      <c r="X138" s="23">
        <f>IF($U138="","",IFERROR(INDEX(Templates!$J$3:$J$10,MATCH($U138,Templates!$A$3:$A$10,0)),""))</f>
        <v/>
      </c>
      <c r="Y138" s="24">
        <f>IF(OR($U138="",$I138="",$J138="",$X138=""),"",$I138+$X138*($J138-$I138))</f>
        <v/>
      </c>
    </row>
    <row r="139">
      <c r="A139" s="15" t="inlineStr">
        <is>
          <t>Pine_1</t>
        </is>
      </c>
      <c r="B139" s="16" t="inlineStr">
        <is>
          <t>Euclid Transactional</t>
        </is>
      </c>
      <c r="C139" s="15" t="inlineStr">
        <is>
          <t>Euclid Transactional</t>
        </is>
      </c>
      <c r="D139" s="15" t="inlineStr"/>
      <c r="E139" s="15" t="inlineStr">
        <is>
          <t>No</t>
        </is>
      </c>
      <c r="F139" s="15" t="inlineStr">
        <is>
          <t>Active</t>
        </is>
      </c>
      <c r="G139" s="25" t="n"/>
      <c r="H139" s="17" t="n">
        <v>1</v>
      </c>
      <c r="I139" s="26" t="n"/>
      <c r="J139" s="26" t="n"/>
      <c r="K139" s="25" t="n"/>
      <c r="L139" s="25" t="n"/>
      <c r="M139" s="25" t="n"/>
      <c r="N139" s="25" t="n"/>
      <c r="O139" s="25" t="n"/>
      <c r="P139" s="25" t="n"/>
      <c r="Q139" s="19">
        <f>IF($A139="","",COUNTIFS(Assignments!$C$2:$C$769,$A139,Assignments!$G$2:$G$769,"Active"))</f>
        <v/>
      </c>
      <c r="R139" s="20">
        <f>IF($A139="","",SUMIFS(Assignments!$I$2:$I$769,Assignments!$C$2:$C$769,$A139,Assignments!$G$2:$G$769,"Active"))</f>
        <v/>
      </c>
      <c r="S139" s="16" t="inlineStr">
        <is>
          <t>WIP</t>
        </is>
      </c>
      <c r="T139" s="27" t="n"/>
      <c r="U139" s="25" t="n"/>
      <c r="V139" s="22">
        <f>IF($U139="","",IFERROR(INDEX(Templates!$K$3:$K$10,MATCH($U139,Templates!$A$3:$A$10,0)),""))</f>
        <v/>
      </c>
      <c r="W139" s="22">
        <f>IF($U139="","",IFERROR(INDEX(Templates!$L$3:$L$10,MATCH($U139,Templates!$A$3:$A$10,0)),""))</f>
        <v/>
      </c>
      <c r="X139" s="23">
        <f>IF($U139="","",IFERROR(INDEX(Templates!$J$3:$J$10,MATCH($U139,Templates!$A$3:$A$10,0)),""))</f>
        <v/>
      </c>
      <c r="Y139" s="24">
        <f>IF(OR($U139="",$I139="",$J139="",$X139=""),"",$I139+$X139*($J139-$I139))</f>
        <v/>
      </c>
    </row>
    <row r="140">
      <c r="A140" s="15" t="inlineStr">
        <is>
          <t>Pinecreek_1</t>
        </is>
      </c>
      <c r="B140" s="16" t="inlineStr">
        <is>
          <t>Euclid Transactional</t>
        </is>
      </c>
      <c r="C140" s="15" t="inlineStr">
        <is>
          <t>Euclid Transactional</t>
        </is>
      </c>
      <c r="D140" s="15" t="inlineStr"/>
      <c r="E140" s="15" t="inlineStr">
        <is>
          <t>No</t>
        </is>
      </c>
      <c r="F140" s="15" t="inlineStr">
        <is>
          <t>Active</t>
        </is>
      </c>
      <c r="G140" s="25" t="n"/>
      <c r="H140" s="17" t="n">
        <v>1</v>
      </c>
      <c r="I140" s="26" t="n"/>
      <c r="J140" s="26" t="n"/>
      <c r="K140" s="25" t="n"/>
      <c r="L140" s="25" t="n"/>
      <c r="M140" s="25" t="n"/>
      <c r="N140" s="25" t="n"/>
      <c r="O140" s="25" t="n"/>
      <c r="P140" s="25" t="n"/>
      <c r="Q140" s="19">
        <f>IF($A140="","",COUNTIFS(Assignments!$C$2:$C$769,$A140,Assignments!$G$2:$G$769,"Active"))</f>
        <v/>
      </c>
      <c r="R140" s="20">
        <f>IF($A140="","",SUMIFS(Assignments!$I$2:$I$769,Assignments!$C$2:$C$769,$A140,Assignments!$G$2:$G$769,"Active"))</f>
        <v/>
      </c>
      <c r="S140" s="16" t="inlineStr">
        <is>
          <t>WIP</t>
        </is>
      </c>
      <c r="T140" s="27" t="n"/>
      <c r="U140" s="25" t="n"/>
      <c r="V140" s="22">
        <f>IF($U140="","",IFERROR(INDEX(Templates!$K$3:$K$10,MATCH($U140,Templates!$A$3:$A$10,0)),""))</f>
        <v/>
      </c>
      <c r="W140" s="22">
        <f>IF($U140="","",IFERROR(INDEX(Templates!$L$3:$L$10,MATCH($U140,Templates!$A$3:$A$10,0)),""))</f>
        <v/>
      </c>
      <c r="X140" s="23">
        <f>IF($U140="","",IFERROR(INDEX(Templates!$J$3:$J$10,MATCH($U140,Templates!$A$3:$A$10,0)),""))</f>
        <v/>
      </c>
      <c r="Y140" s="24">
        <f>IF(OR($U140="",$I140="",$J140="",$X140=""),"",$I140+$X140*($J140-$I140))</f>
        <v/>
      </c>
    </row>
    <row r="141">
      <c r="A141" s="15" t="inlineStr">
        <is>
          <t>Pivot_3</t>
        </is>
      </c>
      <c r="B141" s="16" t="inlineStr">
        <is>
          <t>Liberty GTS</t>
        </is>
      </c>
      <c r="C141" s="15" t="inlineStr">
        <is>
          <t>Liberty GTS</t>
        </is>
      </c>
      <c r="D141" s="15" t="inlineStr"/>
      <c r="E141" s="15" t="inlineStr">
        <is>
          <t>No</t>
        </is>
      </c>
      <c r="F141" s="15" t="inlineStr">
        <is>
          <t>Active</t>
        </is>
      </c>
      <c r="G141" s="25" t="n"/>
      <c r="H141" s="17" t="n">
        <v>1</v>
      </c>
      <c r="I141" s="26" t="n"/>
      <c r="J141" s="26" t="n"/>
      <c r="K141" s="25" t="n"/>
      <c r="L141" s="25" t="n"/>
      <c r="M141" s="25" t="n"/>
      <c r="N141" s="25" t="n"/>
      <c r="O141" s="25" t="n"/>
      <c r="P141" s="25" t="n"/>
      <c r="Q141" s="19">
        <f>IF($A141="","",COUNTIFS(Assignments!$C$2:$C$769,$A141,Assignments!$G$2:$G$769,"Active"))</f>
        <v/>
      </c>
      <c r="R141" s="20">
        <f>IF($A141="","",SUMIFS(Assignments!$I$2:$I$769,Assignments!$C$2:$C$769,$A141,Assignments!$G$2:$G$769,"Active"))</f>
        <v/>
      </c>
      <c r="S141" s="16" t="inlineStr">
        <is>
          <t>WIP</t>
        </is>
      </c>
      <c r="T141" s="27" t="n"/>
      <c r="U141" s="25" t="n"/>
      <c r="V141" s="22">
        <f>IF($U141="","",IFERROR(INDEX(Templates!$K$3:$K$10,MATCH($U141,Templates!$A$3:$A$10,0)),""))</f>
        <v/>
      </c>
      <c r="W141" s="22">
        <f>IF($U141="","",IFERROR(INDEX(Templates!$L$3:$L$10,MATCH($U141,Templates!$A$3:$A$10,0)),""))</f>
        <v/>
      </c>
      <c r="X141" s="23">
        <f>IF($U141="","",IFERROR(INDEX(Templates!$J$3:$J$10,MATCH($U141,Templates!$A$3:$A$10,0)),""))</f>
        <v/>
      </c>
      <c r="Y141" s="24">
        <f>IF(OR($U141="",$I141="",$J141="",$X141=""),"",$I141+$X141*($J141-$I141))</f>
        <v/>
      </c>
    </row>
    <row r="142">
      <c r="A142" s="15" t="inlineStr">
        <is>
          <t>Plasma_1</t>
        </is>
      </c>
      <c r="B142" s="16" t="inlineStr">
        <is>
          <t>Beacon Software, Inc.</t>
        </is>
      </c>
      <c r="C142" s="15" t="inlineStr">
        <is>
          <t>Beacon Software, Inc.</t>
        </is>
      </c>
      <c r="D142" s="15" t="inlineStr"/>
      <c r="E142" s="15" t="inlineStr">
        <is>
          <t>No</t>
        </is>
      </c>
      <c r="F142" s="15" t="inlineStr">
        <is>
          <t>Active</t>
        </is>
      </c>
      <c r="G142" s="25" t="n"/>
      <c r="H142" s="17" t="n">
        <v>1</v>
      </c>
      <c r="I142" s="26" t="n"/>
      <c r="J142" s="26" t="n"/>
      <c r="K142" s="25" t="n"/>
      <c r="L142" s="25" t="n"/>
      <c r="M142" s="25" t="n"/>
      <c r="N142" s="25" t="n"/>
      <c r="O142" s="25" t="n"/>
      <c r="P142" s="25" t="n"/>
      <c r="Q142" s="19">
        <f>IF($A142="","",COUNTIFS(Assignments!$C$2:$C$769,$A142,Assignments!$G$2:$G$769,"Active"))</f>
        <v/>
      </c>
      <c r="R142" s="20">
        <f>IF($A142="","",SUMIFS(Assignments!$I$2:$I$769,Assignments!$C$2:$C$769,$A142,Assignments!$G$2:$G$769,"Active"))</f>
        <v/>
      </c>
      <c r="S142" s="16" t="inlineStr">
        <is>
          <t>WIP</t>
        </is>
      </c>
      <c r="T142" s="27" t="n"/>
      <c r="U142" s="25" t="n"/>
      <c r="V142" s="22">
        <f>IF($U142="","",IFERROR(INDEX(Templates!$K$3:$K$10,MATCH($U142,Templates!$A$3:$A$10,0)),""))</f>
        <v/>
      </c>
      <c r="W142" s="22">
        <f>IF($U142="","",IFERROR(INDEX(Templates!$L$3:$L$10,MATCH($U142,Templates!$A$3:$A$10,0)),""))</f>
        <v/>
      </c>
      <c r="X142" s="23">
        <f>IF($U142="","",IFERROR(INDEX(Templates!$J$3:$J$10,MATCH($U142,Templates!$A$3:$A$10,0)),""))</f>
        <v/>
      </c>
      <c r="Y142" s="24">
        <f>IF(OR($U142="",$I142="",$J142="",$X142=""),"",$I142+$X142*($J142-$I142))</f>
        <v/>
      </c>
    </row>
    <row r="143">
      <c r="A143" s="15" t="inlineStr">
        <is>
          <t>PMD_1</t>
        </is>
      </c>
      <c r="B143" s="16" t="inlineStr">
        <is>
          <t>DW Healthcare Partners</t>
        </is>
      </c>
      <c r="C143" s="15" t="inlineStr">
        <is>
          <t>DW Healthcare Partners</t>
        </is>
      </c>
      <c r="D143" s="15" t="inlineStr"/>
      <c r="E143" s="15" t="inlineStr">
        <is>
          <t>No</t>
        </is>
      </c>
      <c r="F143" s="15" t="inlineStr">
        <is>
          <t>Active</t>
        </is>
      </c>
      <c r="G143" s="25" t="n"/>
      <c r="H143" s="17" t="n">
        <v>1</v>
      </c>
      <c r="I143" s="26" t="n"/>
      <c r="J143" s="26" t="n"/>
      <c r="K143" s="25" t="n"/>
      <c r="L143" s="25" t="n"/>
      <c r="M143" s="25" t="n"/>
      <c r="N143" s="25" t="n"/>
      <c r="O143" s="25" t="n"/>
      <c r="P143" s="25" t="n"/>
      <c r="Q143" s="19">
        <f>IF($A143="","",COUNTIFS(Assignments!$C$2:$C$769,$A143,Assignments!$G$2:$G$769,"Active"))</f>
        <v/>
      </c>
      <c r="R143" s="20">
        <f>IF($A143="","",SUMIFS(Assignments!$I$2:$I$769,Assignments!$C$2:$C$769,$A143,Assignments!$G$2:$G$769,"Active"))</f>
        <v/>
      </c>
      <c r="S143" s="16" t="inlineStr">
        <is>
          <t>WIP</t>
        </is>
      </c>
      <c r="T143" s="27" t="n"/>
      <c r="U143" s="25" t="n"/>
      <c r="V143" s="22">
        <f>IF($U143="","",IFERROR(INDEX(Templates!$K$3:$K$10,MATCH($U143,Templates!$A$3:$A$10,0)),""))</f>
        <v/>
      </c>
      <c r="W143" s="22">
        <f>IF($U143="","",IFERROR(INDEX(Templates!$L$3:$L$10,MATCH($U143,Templates!$A$3:$A$10,0)),""))</f>
        <v/>
      </c>
      <c r="X143" s="23">
        <f>IF($U143="","",IFERROR(INDEX(Templates!$J$3:$J$10,MATCH($U143,Templates!$A$3:$A$10,0)),""))</f>
        <v/>
      </c>
      <c r="Y143" s="24">
        <f>IF(OR($U143="",$I143="",$J143="",$X143=""),"",$I143+$X143*($J143-$I143))</f>
        <v/>
      </c>
    </row>
    <row r="144">
      <c r="A144" s="15" t="inlineStr">
        <is>
          <t>Pocket_1</t>
        </is>
      </c>
      <c r="B144" s="16" t="inlineStr">
        <is>
          <t>Eight Advisory</t>
        </is>
      </c>
      <c r="C144" s="15" t="inlineStr">
        <is>
          <t>Eight Advisory</t>
        </is>
      </c>
      <c r="D144" s="15" t="inlineStr"/>
      <c r="E144" s="15" t="inlineStr">
        <is>
          <t>No</t>
        </is>
      </c>
      <c r="F144" s="15" t="inlineStr">
        <is>
          <t>Active</t>
        </is>
      </c>
      <c r="G144" s="25" t="n"/>
      <c r="H144" s="17" t="n">
        <v>1</v>
      </c>
      <c r="I144" s="26" t="n"/>
      <c r="J144" s="26" t="n"/>
      <c r="K144" s="25" t="n"/>
      <c r="L144" s="25" t="n"/>
      <c r="M144" s="25" t="n"/>
      <c r="N144" s="25" t="n"/>
      <c r="O144" s="25" t="n"/>
      <c r="P144" s="25" t="n"/>
      <c r="Q144" s="19">
        <f>IF($A144="","",COUNTIFS(Assignments!$C$2:$C$769,$A144,Assignments!$G$2:$G$769,"Active"))</f>
        <v/>
      </c>
      <c r="R144" s="20">
        <f>IF($A144="","",SUMIFS(Assignments!$I$2:$I$769,Assignments!$C$2:$C$769,$A144,Assignments!$G$2:$G$769,"Active"))</f>
        <v/>
      </c>
      <c r="S144" s="16" t="inlineStr">
        <is>
          <t>WIP</t>
        </is>
      </c>
      <c r="T144" s="27" t="n"/>
      <c r="U144" s="25" t="n"/>
      <c r="V144" s="22">
        <f>IF($U144="","",IFERROR(INDEX(Templates!$K$3:$K$10,MATCH($U144,Templates!$A$3:$A$10,0)),""))</f>
        <v/>
      </c>
      <c r="W144" s="22">
        <f>IF($U144="","",IFERROR(INDEX(Templates!$L$3:$L$10,MATCH($U144,Templates!$A$3:$A$10,0)),""))</f>
        <v/>
      </c>
      <c r="X144" s="23">
        <f>IF($U144="","",IFERROR(INDEX(Templates!$J$3:$J$10,MATCH($U144,Templates!$A$3:$A$10,0)),""))</f>
        <v/>
      </c>
      <c r="Y144" s="24">
        <f>IF(OR($U144="",$I144="",$J144="",$X144=""),"",$I144+$X144*($J144-$I144))</f>
        <v/>
      </c>
    </row>
    <row r="145">
      <c r="A145" s="15" t="inlineStr">
        <is>
          <t>Prince_2</t>
        </is>
      </c>
      <c r="B145" s="16" t="inlineStr">
        <is>
          <t>Euclid Transactional</t>
        </is>
      </c>
      <c r="C145" s="15" t="inlineStr">
        <is>
          <t>Euclid Transactional</t>
        </is>
      </c>
      <c r="D145" s="15" t="inlineStr"/>
      <c r="E145" s="15" t="inlineStr">
        <is>
          <t>No</t>
        </is>
      </c>
      <c r="F145" s="15" t="inlineStr">
        <is>
          <t>Active</t>
        </is>
      </c>
      <c r="G145" s="25" t="n"/>
      <c r="H145" s="17" t="n">
        <v>1</v>
      </c>
      <c r="I145" s="26" t="n"/>
      <c r="J145" s="26" t="n"/>
      <c r="K145" s="25" t="n"/>
      <c r="L145" s="25" t="n"/>
      <c r="M145" s="25" t="n"/>
      <c r="N145" s="25" t="n"/>
      <c r="O145" s="25" t="n"/>
      <c r="P145" s="25" t="n"/>
      <c r="Q145" s="19">
        <f>IF($A145="","",COUNTIFS(Assignments!$C$2:$C$769,$A145,Assignments!$G$2:$G$769,"Active"))</f>
        <v/>
      </c>
      <c r="R145" s="20">
        <f>IF($A145="","",SUMIFS(Assignments!$I$2:$I$769,Assignments!$C$2:$C$769,$A145,Assignments!$G$2:$G$769,"Active"))</f>
        <v/>
      </c>
      <c r="S145" s="16" t="inlineStr">
        <is>
          <t>WIP</t>
        </is>
      </c>
      <c r="T145" s="27" t="n"/>
      <c r="U145" s="25" t="n"/>
      <c r="V145" s="22">
        <f>IF($U145="","",IFERROR(INDEX(Templates!$K$3:$K$10,MATCH($U145,Templates!$A$3:$A$10,0)),""))</f>
        <v/>
      </c>
      <c r="W145" s="22">
        <f>IF($U145="","",IFERROR(INDEX(Templates!$L$3:$L$10,MATCH($U145,Templates!$A$3:$A$10,0)),""))</f>
        <v/>
      </c>
      <c r="X145" s="23">
        <f>IF($U145="","",IFERROR(INDEX(Templates!$J$3:$J$10,MATCH($U145,Templates!$A$3:$A$10,0)),""))</f>
        <v/>
      </c>
      <c r="Y145" s="24">
        <f>IF(OR($U145="",$I145="",$J145="",$X145=""),"",$I145+$X145*($J145-$I145))</f>
        <v/>
      </c>
    </row>
    <row r="146">
      <c r="A146" s="15" t="inlineStr">
        <is>
          <t>Prince_3</t>
        </is>
      </c>
      <c r="B146" s="16" t="inlineStr">
        <is>
          <t>Northampton Capital Partners</t>
        </is>
      </c>
      <c r="C146" s="15" t="inlineStr">
        <is>
          <t>Northampton Capital Partners</t>
        </is>
      </c>
      <c r="D146" s="15" t="inlineStr"/>
      <c r="E146" s="15" t="inlineStr">
        <is>
          <t>No</t>
        </is>
      </c>
      <c r="F146" s="15" t="inlineStr">
        <is>
          <t>Active</t>
        </is>
      </c>
      <c r="G146" s="25" t="n"/>
      <c r="H146" s="17" t="n">
        <v>1</v>
      </c>
      <c r="I146" s="26" t="n"/>
      <c r="J146" s="26" t="n"/>
      <c r="K146" s="25" t="n"/>
      <c r="L146" s="25" t="n"/>
      <c r="M146" s="25" t="n"/>
      <c r="N146" s="25" t="n"/>
      <c r="O146" s="25" t="n"/>
      <c r="P146" s="25" t="n"/>
      <c r="Q146" s="19">
        <f>IF($A146="","",COUNTIFS(Assignments!$C$2:$C$769,$A146,Assignments!$G$2:$G$769,"Active"))</f>
        <v/>
      </c>
      <c r="R146" s="20">
        <f>IF($A146="","",SUMIFS(Assignments!$I$2:$I$769,Assignments!$C$2:$C$769,$A146,Assignments!$G$2:$G$769,"Active"))</f>
        <v/>
      </c>
      <c r="S146" s="16" t="inlineStr">
        <is>
          <t>WIP</t>
        </is>
      </c>
      <c r="T146" s="27" t="n"/>
      <c r="U146" s="25" t="n"/>
      <c r="V146" s="22">
        <f>IF($U146="","",IFERROR(INDEX(Templates!$K$3:$K$10,MATCH($U146,Templates!$A$3:$A$10,0)),""))</f>
        <v/>
      </c>
      <c r="W146" s="22">
        <f>IF($U146="","",IFERROR(INDEX(Templates!$L$3:$L$10,MATCH($U146,Templates!$A$3:$A$10,0)),""))</f>
        <v/>
      </c>
      <c r="X146" s="23">
        <f>IF($U146="","",IFERROR(INDEX(Templates!$J$3:$J$10,MATCH($U146,Templates!$A$3:$A$10,0)),""))</f>
        <v/>
      </c>
      <c r="Y146" s="24">
        <f>IF(OR($U146="",$I146="",$J146="",$X146=""),"",$I146+$X146*($J146-$I146))</f>
        <v/>
      </c>
    </row>
    <row r="147">
      <c r="A147" s="15" t="inlineStr">
        <is>
          <t>Prolydian_1</t>
        </is>
      </c>
      <c r="B147" s="16" t="inlineStr">
        <is>
          <t>Beacon Software, Inc.</t>
        </is>
      </c>
      <c r="C147" s="15" t="inlineStr">
        <is>
          <t>Beacon Software, Inc.</t>
        </is>
      </c>
      <c r="D147" s="15" t="inlineStr"/>
      <c r="E147" s="15" t="inlineStr">
        <is>
          <t>No</t>
        </is>
      </c>
      <c r="F147" s="15" t="inlineStr">
        <is>
          <t>Active</t>
        </is>
      </c>
      <c r="G147" s="25" t="n"/>
      <c r="H147" s="17" t="n">
        <v>1</v>
      </c>
      <c r="I147" s="26" t="n"/>
      <c r="J147" s="26" t="n"/>
      <c r="K147" s="25" t="n"/>
      <c r="L147" s="25" t="n"/>
      <c r="M147" s="25" t="n"/>
      <c r="N147" s="25" t="n"/>
      <c r="O147" s="25" t="n"/>
      <c r="P147" s="25" t="n"/>
      <c r="Q147" s="19">
        <f>IF($A147="","",COUNTIFS(Assignments!$C$2:$C$769,$A147,Assignments!$G$2:$G$769,"Active"))</f>
        <v/>
      </c>
      <c r="R147" s="20">
        <f>IF($A147="","",SUMIFS(Assignments!$I$2:$I$769,Assignments!$C$2:$C$769,$A147,Assignments!$G$2:$G$769,"Active"))</f>
        <v/>
      </c>
      <c r="S147" s="16" t="inlineStr">
        <is>
          <t>WIP</t>
        </is>
      </c>
      <c r="T147" s="27" t="n"/>
      <c r="U147" s="25" t="n"/>
      <c r="V147" s="22">
        <f>IF($U147="","",IFERROR(INDEX(Templates!$K$3:$K$10,MATCH($U147,Templates!$A$3:$A$10,0)),""))</f>
        <v/>
      </c>
      <c r="W147" s="22">
        <f>IF($U147="","",IFERROR(INDEX(Templates!$L$3:$L$10,MATCH($U147,Templates!$A$3:$A$10,0)),""))</f>
        <v/>
      </c>
      <c r="X147" s="23">
        <f>IF($U147="","",IFERROR(INDEX(Templates!$J$3:$J$10,MATCH($U147,Templates!$A$3:$A$10,0)),""))</f>
        <v/>
      </c>
      <c r="Y147" s="24">
        <f>IF(OR($U147="",$I147="",$J147="",$X147=""),"",$I147+$X147*($J147-$I147))</f>
        <v/>
      </c>
    </row>
    <row r="148">
      <c r="A148" s="15" t="inlineStr">
        <is>
          <t>Pythagoras_1</t>
        </is>
      </c>
      <c r="B148" s="16" t="inlineStr">
        <is>
          <t>Infrared Capital Partners</t>
        </is>
      </c>
      <c r="C148" s="15" t="inlineStr">
        <is>
          <t>Infrared Capital Partners</t>
        </is>
      </c>
      <c r="D148" s="15" t="inlineStr"/>
      <c r="E148" s="15" t="inlineStr">
        <is>
          <t>No</t>
        </is>
      </c>
      <c r="F148" s="15" t="inlineStr">
        <is>
          <t>Active</t>
        </is>
      </c>
      <c r="G148" s="25" t="n"/>
      <c r="H148" s="17" t="n">
        <v>1</v>
      </c>
      <c r="I148" s="26" t="n"/>
      <c r="J148" s="26" t="n"/>
      <c r="K148" s="25" t="n"/>
      <c r="L148" s="25" t="n"/>
      <c r="M148" s="25" t="n"/>
      <c r="N148" s="25" t="n"/>
      <c r="O148" s="25" t="n"/>
      <c r="P148" s="25" t="n"/>
      <c r="Q148" s="19">
        <f>IF($A148="","",COUNTIFS(Assignments!$C$2:$C$769,$A148,Assignments!$G$2:$G$769,"Active"))</f>
        <v/>
      </c>
      <c r="R148" s="20">
        <f>IF($A148="","",SUMIFS(Assignments!$I$2:$I$769,Assignments!$C$2:$C$769,$A148,Assignments!$G$2:$G$769,"Active"))</f>
        <v/>
      </c>
      <c r="S148" s="16" t="inlineStr">
        <is>
          <t>WIP</t>
        </is>
      </c>
      <c r="T148" s="27" t="n"/>
      <c r="U148" s="25" t="n"/>
      <c r="V148" s="22">
        <f>IF($U148="","",IFERROR(INDEX(Templates!$K$3:$K$10,MATCH($U148,Templates!$A$3:$A$10,0)),""))</f>
        <v/>
      </c>
      <c r="W148" s="22">
        <f>IF($U148="","",IFERROR(INDEX(Templates!$L$3:$L$10,MATCH($U148,Templates!$A$3:$A$10,0)),""))</f>
        <v/>
      </c>
      <c r="X148" s="23">
        <f>IF($U148="","",IFERROR(INDEX(Templates!$J$3:$J$10,MATCH($U148,Templates!$A$3:$A$10,0)),""))</f>
        <v/>
      </c>
      <c r="Y148" s="24">
        <f>IF(OR($U148="",$I148="",$J148="",$X148=""),"",$I148+$X148*($J148-$I148))</f>
        <v/>
      </c>
    </row>
    <row r="149">
      <c r="A149" s="15" t="inlineStr">
        <is>
          <t>RBC Leaf_2</t>
        </is>
      </c>
      <c r="B149" s="16" t="inlineStr">
        <is>
          <t>Royal Bank of Canada : RBC Community Investments, LLC</t>
        </is>
      </c>
      <c r="C149" s="15" t="inlineStr">
        <is>
          <t>Royal Bank of Canada</t>
        </is>
      </c>
      <c r="D149" s="15" t="inlineStr">
        <is>
          <t>RBC Community Investments, LLC</t>
        </is>
      </c>
      <c r="E149" s="15" t="inlineStr">
        <is>
          <t>No</t>
        </is>
      </c>
      <c r="F149" s="15" t="inlineStr">
        <is>
          <t>Active</t>
        </is>
      </c>
      <c r="G149" s="25" t="n"/>
      <c r="H149" s="17" t="n">
        <v>1</v>
      </c>
      <c r="I149" s="26" t="n"/>
      <c r="J149" s="26" t="n"/>
      <c r="K149" s="25" t="n"/>
      <c r="L149" s="25" t="n"/>
      <c r="M149" s="25" t="n"/>
      <c r="N149" s="25" t="n"/>
      <c r="O149" s="25" t="n"/>
      <c r="P149" s="25" t="n"/>
      <c r="Q149" s="19">
        <f>IF($A149="","",COUNTIFS(Assignments!$C$2:$C$769,$A149,Assignments!$G$2:$G$769,"Active"))</f>
        <v/>
      </c>
      <c r="R149" s="20">
        <f>IF($A149="","",SUMIFS(Assignments!$I$2:$I$769,Assignments!$C$2:$C$769,$A149,Assignments!$G$2:$G$769,"Active"))</f>
        <v/>
      </c>
      <c r="S149" s="16" t="inlineStr">
        <is>
          <t>WIP</t>
        </is>
      </c>
      <c r="T149" s="27" t="n"/>
      <c r="U149" s="25" t="n"/>
      <c r="V149" s="22">
        <f>IF($U149="","",IFERROR(INDEX(Templates!$K$3:$K$10,MATCH($U149,Templates!$A$3:$A$10,0)),""))</f>
        <v/>
      </c>
      <c r="W149" s="22">
        <f>IF($U149="","",IFERROR(INDEX(Templates!$L$3:$L$10,MATCH($U149,Templates!$A$3:$A$10,0)),""))</f>
        <v/>
      </c>
      <c r="X149" s="23">
        <f>IF($U149="","",IFERROR(INDEX(Templates!$J$3:$J$10,MATCH($U149,Templates!$A$3:$A$10,0)),""))</f>
        <v/>
      </c>
      <c r="Y149" s="24">
        <f>IF(OR($U149="",$I149="",$J149="",$X149=""),"",$I149+$X149*($J149-$I149))</f>
        <v/>
      </c>
    </row>
    <row r="150">
      <c r="A150" s="15" t="inlineStr">
        <is>
          <t>RBC Petal_1</t>
        </is>
      </c>
      <c r="B150" s="16" t="inlineStr">
        <is>
          <t>Royal Bank of Canada : RBC Community Investments, LLC</t>
        </is>
      </c>
      <c r="C150" s="15" t="inlineStr">
        <is>
          <t>Royal Bank of Canada</t>
        </is>
      </c>
      <c r="D150" s="15" t="inlineStr">
        <is>
          <t>RBC Community Investments, LLC</t>
        </is>
      </c>
      <c r="E150" s="15" t="inlineStr">
        <is>
          <t>No</t>
        </is>
      </c>
      <c r="F150" s="15" t="inlineStr">
        <is>
          <t>Active</t>
        </is>
      </c>
      <c r="G150" s="25" t="n"/>
      <c r="H150" s="17" t="n">
        <v>1</v>
      </c>
      <c r="I150" s="26" t="n"/>
      <c r="J150" s="26" t="n"/>
      <c r="K150" s="25" t="n"/>
      <c r="L150" s="25" t="n"/>
      <c r="M150" s="25" t="n"/>
      <c r="N150" s="25" t="n"/>
      <c r="O150" s="25" t="n"/>
      <c r="P150" s="25" t="n"/>
      <c r="Q150" s="19">
        <f>IF($A150="","",COUNTIFS(Assignments!$C$2:$C$769,$A150,Assignments!$G$2:$G$769,"Active"))</f>
        <v/>
      </c>
      <c r="R150" s="20">
        <f>IF($A150="","",SUMIFS(Assignments!$I$2:$I$769,Assignments!$C$2:$C$769,$A150,Assignments!$G$2:$G$769,"Active"))</f>
        <v/>
      </c>
      <c r="S150" s="16" t="inlineStr">
        <is>
          <t>WIP</t>
        </is>
      </c>
      <c r="T150" s="27" t="n"/>
      <c r="U150" s="25" t="n"/>
      <c r="V150" s="22">
        <f>IF($U150="","",IFERROR(INDEX(Templates!$K$3:$K$10,MATCH($U150,Templates!$A$3:$A$10,0)),""))</f>
        <v/>
      </c>
      <c r="W150" s="22">
        <f>IF($U150="","",IFERROR(INDEX(Templates!$L$3:$L$10,MATCH($U150,Templates!$A$3:$A$10,0)),""))</f>
        <v/>
      </c>
      <c r="X150" s="23">
        <f>IF($U150="","",IFERROR(INDEX(Templates!$J$3:$J$10,MATCH($U150,Templates!$A$3:$A$10,0)),""))</f>
        <v/>
      </c>
      <c r="Y150" s="24">
        <f>IF(OR($U150="",$I150="",$J150="",$X150=""),"",$I150+$X150*($J150-$I150))</f>
        <v/>
      </c>
    </row>
    <row r="151">
      <c r="A151" s="15" t="inlineStr">
        <is>
          <t>Realty_1</t>
        </is>
      </c>
      <c r="B151" s="16" t="inlineStr">
        <is>
          <t>Mosaic Insurance</t>
        </is>
      </c>
      <c r="C151" s="15" t="inlineStr">
        <is>
          <t>Mosaic Insurance</t>
        </is>
      </c>
      <c r="D151" s="15" t="inlineStr"/>
      <c r="E151" s="15" t="inlineStr">
        <is>
          <t>No</t>
        </is>
      </c>
      <c r="F151" s="15" t="inlineStr">
        <is>
          <t>Active</t>
        </is>
      </c>
      <c r="G151" s="25" t="n"/>
      <c r="H151" s="17" t="n">
        <v>1</v>
      </c>
      <c r="I151" s="26" t="n"/>
      <c r="J151" s="26" t="n"/>
      <c r="K151" s="25" t="n"/>
      <c r="L151" s="25" t="n"/>
      <c r="M151" s="25" t="n"/>
      <c r="N151" s="25" t="n"/>
      <c r="O151" s="25" t="n"/>
      <c r="P151" s="25" t="n"/>
      <c r="Q151" s="19">
        <f>IF($A151="","",COUNTIFS(Assignments!$C$2:$C$769,$A151,Assignments!$G$2:$G$769,"Active"))</f>
        <v/>
      </c>
      <c r="R151" s="20">
        <f>IF($A151="","",SUMIFS(Assignments!$I$2:$I$769,Assignments!$C$2:$C$769,$A151,Assignments!$G$2:$G$769,"Active"))</f>
        <v/>
      </c>
      <c r="S151" s="16" t="inlineStr">
        <is>
          <t>WIP</t>
        </is>
      </c>
      <c r="T151" s="27" t="n"/>
      <c r="U151" s="25" t="n"/>
      <c r="V151" s="22">
        <f>IF($U151="","",IFERROR(INDEX(Templates!$K$3:$K$10,MATCH($U151,Templates!$A$3:$A$10,0)),""))</f>
        <v/>
      </c>
      <c r="W151" s="22">
        <f>IF($U151="","",IFERROR(INDEX(Templates!$L$3:$L$10,MATCH($U151,Templates!$A$3:$A$10,0)),""))</f>
        <v/>
      </c>
      <c r="X151" s="23">
        <f>IF($U151="","",IFERROR(INDEX(Templates!$J$3:$J$10,MATCH($U151,Templates!$A$3:$A$10,0)),""))</f>
        <v/>
      </c>
      <c r="Y151" s="24">
        <f>IF(OR($U151="",$I151="",$J151="",$X151=""),"",$I151+$X151*($J151-$I151))</f>
        <v/>
      </c>
    </row>
    <row r="152">
      <c r="A152" s="15" t="inlineStr">
        <is>
          <t>Redball_6</t>
        </is>
      </c>
      <c r="B152" s="16" t="inlineStr">
        <is>
          <t>Ethos Specialty Insurance Services</t>
        </is>
      </c>
      <c r="C152" s="15" t="inlineStr">
        <is>
          <t>Ethos Specialty Insurance Services</t>
        </is>
      </c>
      <c r="D152" s="15" t="inlineStr"/>
      <c r="E152" s="15" t="inlineStr">
        <is>
          <t>No</t>
        </is>
      </c>
      <c r="F152" s="15" t="inlineStr">
        <is>
          <t>Active</t>
        </is>
      </c>
      <c r="G152" s="25" t="n"/>
      <c r="H152" s="17" t="n">
        <v>1</v>
      </c>
      <c r="I152" s="26" t="n"/>
      <c r="J152" s="26" t="n"/>
      <c r="K152" s="25" t="n"/>
      <c r="L152" s="25" t="n"/>
      <c r="M152" s="25" t="n"/>
      <c r="N152" s="25" t="n"/>
      <c r="O152" s="25" t="n"/>
      <c r="P152" s="25" t="n"/>
      <c r="Q152" s="19">
        <f>IF($A152="","",COUNTIFS(Assignments!$C$2:$C$769,$A152,Assignments!$G$2:$G$769,"Active"))</f>
        <v/>
      </c>
      <c r="R152" s="20">
        <f>IF($A152="","",SUMIFS(Assignments!$I$2:$I$769,Assignments!$C$2:$C$769,$A152,Assignments!$G$2:$G$769,"Active"))</f>
        <v/>
      </c>
      <c r="S152" s="16" t="inlineStr">
        <is>
          <t>WIP</t>
        </is>
      </c>
      <c r="T152" s="27" t="n"/>
      <c r="U152" s="25" t="n"/>
      <c r="V152" s="22">
        <f>IF($U152="","",IFERROR(INDEX(Templates!$K$3:$K$10,MATCH($U152,Templates!$A$3:$A$10,0)),""))</f>
        <v/>
      </c>
      <c r="W152" s="22">
        <f>IF($U152="","",IFERROR(INDEX(Templates!$L$3:$L$10,MATCH($U152,Templates!$A$3:$A$10,0)),""))</f>
        <v/>
      </c>
      <c r="X152" s="23">
        <f>IF($U152="","",IFERROR(INDEX(Templates!$J$3:$J$10,MATCH($U152,Templates!$A$3:$A$10,0)),""))</f>
        <v/>
      </c>
      <c r="Y152" s="24">
        <f>IF(OR($U152="",$I152="",$J152="",$X152=""),"",$I152+$X152*($J152-$I152))</f>
        <v/>
      </c>
    </row>
    <row r="153">
      <c r="A153" s="15" t="inlineStr">
        <is>
          <t>Redwood_1</t>
        </is>
      </c>
      <c r="B153" s="16" t="inlineStr">
        <is>
          <t>Maven Advisory LLC</t>
        </is>
      </c>
      <c r="C153" s="15" t="inlineStr">
        <is>
          <t>Maven Advisory LLC</t>
        </is>
      </c>
      <c r="D153" s="15" t="inlineStr"/>
      <c r="E153" s="15" t="inlineStr">
        <is>
          <t>No</t>
        </is>
      </c>
      <c r="F153" s="15" t="inlineStr">
        <is>
          <t>Active</t>
        </is>
      </c>
      <c r="G153" s="25" t="n"/>
      <c r="H153" s="17" t="n">
        <v>1</v>
      </c>
      <c r="I153" s="26" t="n"/>
      <c r="J153" s="26" t="n"/>
      <c r="K153" s="25" t="n"/>
      <c r="L153" s="25" t="n"/>
      <c r="M153" s="25" t="n"/>
      <c r="N153" s="25" t="n"/>
      <c r="O153" s="25" t="n"/>
      <c r="P153" s="25" t="n"/>
      <c r="Q153" s="19">
        <f>IF($A153="","",COUNTIFS(Assignments!$C$2:$C$769,$A153,Assignments!$G$2:$G$769,"Active"))</f>
        <v/>
      </c>
      <c r="R153" s="20">
        <f>IF($A153="","",SUMIFS(Assignments!$I$2:$I$769,Assignments!$C$2:$C$769,$A153,Assignments!$G$2:$G$769,"Active"))</f>
        <v/>
      </c>
      <c r="S153" s="16" t="inlineStr">
        <is>
          <t>WIP</t>
        </is>
      </c>
      <c r="T153" s="27" t="n"/>
      <c r="U153" s="25" t="n"/>
      <c r="V153" s="22">
        <f>IF($U153="","",IFERROR(INDEX(Templates!$K$3:$K$10,MATCH($U153,Templates!$A$3:$A$10,0)),""))</f>
        <v/>
      </c>
      <c r="W153" s="22">
        <f>IF($U153="","",IFERROR(INDEX(Templates!$L$3:$L$10,MATCH($U153,Templates!$A$3:$A$10,0)),""))</f>
        <v/>
      </c>
      <c r="X153" s="23">
        <f>IF($U153="","",IFERROR(INDEX(Templates!$J$3:$J$10,MATCH($U153,Templates!$A$3:$A$10,0)),""))</f>
        <v/>
      </c>
      <c r="Y153" s="24">
        <f>IF(OR($U153="",$I153="",$J153="",$X153=""),"",$I153+$X153*($J153-$I153))</f>
        <v/>
      </c>
    </row>
    <row r="154">
      <c r="A154" s="15" t="inlineStr">
        <is>
          <t>Redwood_2</t>
        </is>
      </c>
      <c r="B154" s="16" t="inlineStr">
        <is>
          <t>BlackRock : Global Infrastructure Partners : Clearway Energy</t>
        </is>
      </c>
      <c r="C154" s="15" t="inlineStr">
        <is>
          <t>BlackRock</t>
        </is>
      </c>
      <c r="D154" s="15" t="inlineStr">
        <is>
          <t>Clearway Energy</t>
        </is>
      </c>
      <c r="E154" s="15" t="inlineStr">
        <is>
          <t>No</t>
        </is>
      </c>
      <c r="F154" s="15" t="inlineStr">
        <is>
          <t>Active</t>
        </is>
      </c>
      <c r="G154" s="25" t="n"/>
      <c r="H154" s="17" t="n">
        <v>1</v>
      </c>
      <c r="I154" s="26" t="n"/>
      <c r="J154" s="26" t="n"/>
      <c r="K154" s="25" t="n"/>
      <c r="L154" s="25" t="n"/>
      <c r="M154" s="25" t="n"/>
      <c r="N154" s="25" t="n"/>
      <c r="O154" s="25" t="n"/>
      <c r="P154" s="25" t="n"/>
      <c r="Q154" s="19">
        <f>IF($A154="","",COUNTIFS(Assignments!$C$2:$C$769,$A154,Assignments!$G$2:$G$769,"Active"))</f>
        <v/>
      </c>
      <c r="R154" s="20">
        <f>IF($A154="","",SUMIFS(Assignments!$I$2:$I$769,Assignments!$C$2:$C$769,$A154,Assignments!$G$2:$G$769,"Active"))</f>
        <v/>
      </c>
      <c r="S154" s="16" t="inlineStr">
        <is>
          <t>WIP</t>
        </is>
      </c>
      <c r="T154" s="27" t="n"/>
      <c r="U154" s="25" t="n"/>
      <c r="V154" s="22">
        <f>IF($U154="","",IFERROR(INDEX(Templates!$K$3:$K$10,MATCH($U154,Templates!$A$3:$A$10,0)),""))</f>
        <v/>
      </c>
      <c r="W154" s="22">
        <f>IF($U154="","",IFERROR(INDEX(Templates!$L$3:$L$10,MATCH($U154,Templates!$A$3:$A$10,0)),""))</f>
        <v/>
      </c>
      <c r="X154" s="23">
        <f>IF($U154="","",IFERROR(INDEX(Templates!$J$3:$J$10,MATCH($U154,Templates!$A$3:$A$10,0)),""))</f>
        <v/>
      </c>
      <c r="Y154" s="24">
        <f>IF(OR($U154="",$I154="",$J154="",$X154=""),"",$I154+$X154*($J154-$I154))</f>
        <v/>
      </c>
    </row>
    <row r="155">
      <c r="A155" s="15" t="inlineStr">
        <is>
          <t>Resenergize_1</t>
        </is>
      </c>
      <c r="B155" s="16" t="inlineStr">
        <is>
          <t>Ryan Transactional Risk : Themis Underwriting</t>
        </is>
      </c>
      <c r="C155" s="15" t="inlineStr">
        <is>
          <t>Ryan Transactional Risk</t>
        </is>
      </c>
      <c r="D155" s="15" t="inlineStr">
        <is>
          <t>Themis Underwriting</t>
        </is>
      </c>
      <c r="E155" s="15" t="inlineStr">
        <is>
          <t>No</t>
        </is>
      </c>
      <c r="F155" s="15" t="inlineStr">
        <is>
          <t>Active</t>
        </is>
      </c>
      <c r="G155" s="25" t="n"/>
      <c r="H155" s="17" t="n">
        <v>1</v>
      </c>
      <c r="I155" s="26" t="n"/>
      <c r="J155" s="26" t="n"/>
      <c r="K155" s="25" t="n"/>
      <c r="L155" s="25" t="n"/>
      <c r="M155" s="25" t="n"/>
      <c r="N155" s="25" t="n"/>
      <c r="O155" s="25" t="n"/>
      <c r="P155" s="25" t="n"/>
      <c r="Q155" s="19">
        <f>IF($A155="","",COUNTIFS(Assignments!$C$2:$C$769,$A155,Assignments!$G$2:$G$769,"Active"))</f>
        <v/>
      </c>
      <c r="R155" s="20">
        <f>IF($A155="","",SUMIFS(Assignments!$I$2:$I$769,Assignments!$C$2:$C$769,$A155,Assignments!$G$2:$G$769,"Active"))</f>
        <v/>
      </c>
      <c r="S155" s="16" t="inlineStr">
        <is>
          <t>WIP</t>
        </is>
      </c>
      <c r="T155" s="27" t="n"/>
      <c r="U155" s="25" t="n"/>
      <c r="V155" s="22">
        <f>IF($U155="","",IFERROR(INDEX(Templates!$K$3:$K$10,MATCH($U155,Templates!$A$3:$A$10,0)),""))</f>
        <v/>
      </c>
      <c r="W155" s="22">
        <f>IF($U155="","",IFERROR(INDEX(Templates!$L$3:$L$10,MATCH($U155,Templates!$A$3:$A$10,0)),""))</f>
        <v/>
      </c>
      <c r="X155" s="23">
        <f>IF($U155="","",IFERROR(INDEX(Templates!$J$3:$J$10,MATCH($U155,Templates!$A$3:$A$10,0)),""))</f>
        <v/>
      </c>
      <c r="Y155" s="24">
        <f>IF(OR($U155="",$I155="",$J155="",$X155=""),"",$I155+$X155*($J155-$I155))</f>
        <v/>
      </c>
    </row>
    <row r="156">
      <c r="A156" s="15" t="inlineStr">
        <is>
          <t>Resolute_1</t>
        </is>
      </c>
      <c r="B156" s="16" t="inlineStr">
        <is>
          <t>Gavin Generation Holdco, LLC.</t>
        </is>
      </c>
      <c r="C156" s="15" t="inlineStr">
        <is>
          <t>Gavin Generation Holdco, LLC.</t>
        </is>
      </c>
      <c r="D156" s="15" t="inlineStr"/>
      <c r="E156" s="15" t="inlineStr">
        <is>
          <t>No</t>
        </is>
      </c>
      <c r="F156" s="15" t="inlineStr">
        <is>
          <t>Active</t>
        </is>
      </c>
      <c r="G156" s="25" t="n"/>
      <c r="H156" s="17" t="n">
        <v>1</v>
      </c>
      <c r="I156" s="26" t="n"/>
      <c r="J156" s="26" t="n"/>
      <c r="K156" s="25" t="n"/>
      <c r="L156" s="25" t="n"/>
      <c r="M156" s="25" t="n"/>
      <c r="N156" s="25" t="n"/>
      <c r="O156" s="25" t="n"/>
      <c r="P156" s="25" t="n"/>
      <c r="Q156" s="19">
        <f>IF($A156="","",COUNTIFS(Assignments!$C$2:$C$769,$A156,Assignments!$G$2:$G$769,"Active"))</f>
        <v/>
      </c>
      <c r="R156" s="20">
        <f>IF($A156="","",SUMIFS(Assignments!$I$2:$I$769,Assignments!$C$2:$C$769,$A156,Assignments!$G$2:$G$769,"Active"))</f>
        <v/>
      </c>
      <c r="S156" s="16" t="inlineStr">
        <is>
          <t>WIP</t>
        </is>
      </c>
      <c r="T156" s="27" t="n"/>
      <c r="U156" s="25" t="n"/>
      <c r="V156" s="22">
        <f>IF($U156="","",IFERROR(INDEX(Templates!$K$3:$K$10,MATCH($U156,Templates!$A$3:$A$10,0)),""))</f>
        <v/>
      </c>
      <c r="W156" s="22">
        <f>IF($U156="","",IFERROR(INDEX(Templates!$L$3:$L$10,MATCH($U156,Templates!$A$3:$A$10,0)),""))</f>
        <v/>
      </c>
      <c r="X156" s="23">
        <f>IF($U156="","",IFERROR(INDEX(Templates!$J$3:$J$10,MATCH($U156,Templates!$A$3:$A$10,0)),""))</f>
        <v/>
      </c>
      <c r="Y156" s="24">
        <f>IF(OR($U156="",$I156="",$J156="",$X156=""),"",$I156+$X156*($J156-$I156))</f>
        <v/>
      </c>
    </row>
    <row r="157">
      <c r="A157" s="15" t="inlineStr">
        <is>
          <t>Rover_3</t>
        </is>
      </c>
      <c r="B157" s="16" t="inlineStr">
        <is>
          <t>Susan Strom</t>
        </is>
      </c>
      <c r="C157" s="15" t="inlineStr">
        <is>
          <t>Susan Strom</t>
        </is>
      </c>
      <c r="D157" s="15" t="inlineStr"/>
      <c r="E157" s="15" t="inlineStr">
        <is>
          <t>No</t>
        </is>
      </c>
      <c r="F157" s="15" t="inlineStr">
        <is>
          <t>Active</t>
        </is>
      </c>
      <c r="G157" s="25" t="n"/>
      <c r="H157" s="17" t="n">
        <v>1</v>
      </c>
      <c r="I157" s="26" t="n"/>
      <c r="J157" s="26" t="n"/>
      <c r="K157" s="25" t="n"/>
      <c r="L157" s="25" t="n"/>
      <c r="M157" s="25" t="n"/>
      <c r="N157" s="25" t="n"/>
      <c r="O157" s="25" t="n"/>
      <c r="P157" s="25" t="n"/>
      <c r="Q157" s="19">
        <f>IF($A157="","",COUNTIFS(Assignments!$C$2:$C$769,$A157,Assignments!$G$2:$G$769,"Active"))</f>
        <v/>
      </c>
      <c r="R157" s="20">
        <f>IF($A157="","",SUMIFS(Assignments!$I$2:$I$769,Assignments!$C$2:$C$769,$A157,Assignments!$G$2:$G$769,"Active"))</f>
        <v/>
      </c>
      <c r="S157" s="16" t="inlineStr">
        <is>
          <t>WIP</t>
        </is>
      </c>
      <c r="T157" s="27" t="n"/>
      <c r="U157" s="25" t="n"/>
      <c r="V157" s="22">
        <f>IF($U157="","",IFERROR(INDEX(Templates!$K$3:$K$10,MATCH($U157,Templates!$A$3:$A$10,0)),""))</f>
        <v/>
      </c>
      <c r="W157" s="22">
        <f>IF($U157="","",IFERROR(INDEX(Templates!$L$3:$L$10,MATCH($U157,Templates!$A$3:$A$10,0)),""))</f>
        <v/>
      </c>
      <c r="X157" s="23">
        <f>IF($U157="","",IFERROR(INDEX(Templates!$J$3:$J$10,MATCH($U157,Templates!$A$3:$A$10,0)),""))</f>
        <v/>
      </c>
      <c r="Y157" s="24">
        <f>IF(OR($U157="",$I157="",$J157="",$X157=""),"",$I157+$X157*($J157-$I157))</f>
        <v/>
      </c>
    </row>
    <row r="158">
      <c r="A158" s="15" t="inlineStr">
        <is>
          <t>Sakura</t>
        </is>
      </c>
      <c r="B158" s="16" t="inlineStr">
        <is>
          <t>ECP</t>
        </is>
      </c>
      <c r="C158" s="15" t="inlineStr">
        <is>
          <t>ECP</t>
        </is>
      </c>
      <c r="D158" s="15" t="inlineStr"/>
      <c r="E158" s="15" t="inlineStr">
        <is>
          <t>No</t>
        </is>
      </c>
      <c r="F158" s="15" t="inlineStr">
        <is>
          <t>Active</t>
        </is>
      </c>
      <c r="G158" s="25" t="n"/>
      <c r="H158" s="17" t="n">
        <v>1</v>
      </c>
      <c r="I158" s="26" t="n"/>
      <c r="J158" s="26" t="n"/>
      <c r="K158" s="25" t="n"/>
      <c r="L158" s="25" t="n"/>
      <c r="M158" s="25" t="n"/>
      <c r="N158" s="25" t="n"/>
      <c r="O158" s="25" t="n"/>
      <c r="P158" s="25" t="n"/>
      <c r="Q158" s="19">
        <f>IF($A158="","",COUNTIFS(Assignments!$C$2:$C$769,$A158,Assignments!$G$2:$G$769,"Active"))</f>
        <v/>
      </c>
      <c r="R158" s="20">
        <f>IF($A158="","",SUMIFS(Assignments!$I$2:$I$769,Assignments!$C$2:$C$769,$A158,Assignments!$G$2:$G$769,"Active"))</f>
        <v/>
      </c>
      <c r="S158" s="16" t="inlineStr">
        <is>
          <t>WIP</t>
        </is>
      </c>
      <c r="T158" s="27" t="n"/>
      <c r="U158" s="25" t="n"/>
      <c r="V158" s="22">
        <f>IF($U158="","",IFERROR(INDEX(Templates!$K$3:$K$10,MATCH($U158,Templates!$A$3:$A$10,0)),""))</f>
        <v/>
      </c>
      <c r="W158" s="22">
        <f>IF($U158="","",IFERROR(INDEX(Templates!$L$3:$L$10,MATCH($U158,Templates!$A$3:$A$10,0)),""))</f>
        <v/>
      </c>
      <c r="X158" s="23">
        <f>IF($U158="","",IFERROR(INDEX(Templates!$J$3:$J$10,MATCH($U158,Templates!$A$3:$A$10,0)),""))</f>
        <v/>
      </c>
      <c r="Y158" s="24">
        <f>IF(OR($U158="",$I158="",$J158="",$X158=""),"",$I158+$X158*($J158-$I158))</f>
        <v/>
      </c>
    </row>
    <row r="159">
      <c r="A159" s="15" t="inlineStr">
        <is>
          <t>Scale_4</t>
        </is>
      </c>
      <c r="B159" s="16" t="inlineStr">
        <is>
          <t>Mainsail Partners</t>
        </is>
      </c>
      <c r="C159" s="15" t="inlineStr">
        <is>
          <t>Mainsail Partners</t>
        </is>
      </c>
      <c r="D159" s="15" t="inlineStr"/>
      <c r="E159" s="15" t="inlineStr">
        <is>
          <t>No</t>
        </is>
      </c>
      <c r="F159" s="15" t="inlineStr">
        <is>
          <t>Active</t>
        </is>
      </c>
      <c r="G159" s="25" t="n"/>
      <c r="H159" s="17" t="n">
        <v>1</v>
      </c>
      <c r="I159" s="26" t="n"/>
      <c r="J159" s="26" t="n"/>
      <c r="K159" s="25" t="n"/>
      <c r="L159" s="25" t="n"/>
      <c r="M159" s="25" t="n"/>
      <c r="N159" s="25" t="n"/>
      <c r="O159" s="25" t="n"/>
      <c r="P159" s="25" t="n"/>
      <c r="Q159" s="19">
        <f>IF($A159="","",COUNTIFS(Assignments!$C$2:$C$769,$A159,Assignments!$G$2:$G$769,"Active"))</f>
        <v/>
      </c>
      <c r="R159" s="20">
        <f>IF($A159="","",SUMIFS(Assignments!$I$2:$I$769,Assignments!$C$2:$C$769,$A159,Assignments!$G$2:$G$769,"Active"))</f>
        <v/>
      </c>
      <c r="S159" s="16" t="inlineStr">
        <is>
          <t>WIP</t>
        </is>
      </c>
      <c r="T159" s="27" t="n"/>
      <c r="U159" s="25" t="n"/>
      <c r="V159" s="22">
        <f>IF($U159="","",IFERROR(INDEX(Templates!$K$3:$K$10,MATCH($U159,Templates!$A$3:$A$10,0)),""))</f>
        <v/>
      </c>
      <c r="W159" s="22">
        <f>IF($U159="","",IFERROR(INDEX(Templates!$L$3:$L$10,MATCH($U159,Templates!$A$3:$A$10,0)),""))</f>
        <v/>
      </c>
      <c r="X159" s="23">
        <f>IF($U159="","",IFERROR(INDEX(Templates!$J$3:$J$10,MATCH($U159,Templates!$A$3:$A$10,0)),""))</f>
        <v/>
      </c>
      <c r="Y159" s="24">
        <f>IF(OR($U159="",$I159="",$J159="",$X159=""),"",$I159+$X159*($J159-$I159))</f>
        <v/>
      </c>
    </row>
    <row r="160">
      <c r="A160" s="15" t="inlineStr">
        <is>
          <t>Scan_1</t>
        </is>
      </c>
      <c r="B160" s="16" t="inlineStr">
        <is>
          <t>CFGI</t>
        </is>
      </c>
      <c r="C160" s="15" t="inlineStr">
        <is>
          <t>CFGI</t>
        </is>
      </c>
      <c r="D160" s="15" t="inlineStr"/>
      <c r="E160" s="15" t="inlineStr">
        <is>
          <t>No</t>
        </is>
      </c>
      <c r="F160" s="15" t="inlineStr">
        <is>
          <t>Active</t>
        </is>
      </c>
      <c r="G160" s="25" t="n"/>
      <c r="H160" s="17" t="n">
        <v>1</v>
      </c>
      <c r="I160" s="26" t="n"/>
      <c r="J160" s="26" t="n"/>
      <c r="K160" s="25" t="n"/>
      <c r="L160" s="25" t="n"/>
      <c r="M160" s="25" t="n"/>
      <c r="N160" s="25" t="n"/>
      <c r="O160" s="25" t="n"/>
      <c r="P160" s="25" t="n"/>
      <c r="Q160" s="19">
        <f>IF($A160="","",COUNTIFS(Assignments!$C$2:$C$769,$A160,Assignments!$G$2:$G$769,"Active"))</f>
        <v/>
      </c>
      <c r="R160" s="20">
        <f>IF($A160="","",SUMIFS(Assignments!$I$2:$I$769,Assignments!$C$2:$C$769,$A160,Assignments!$G$2:$G$769,"Active"))</f>
        <v/>
      </c>
      <c r="S160" s="16" t="inlineStr">
        <is>
          <t>WIP</t>
        </is>
      </c>
      <c r="T160" s="27" t="n"/>
      <c r="U160" s="25" t="n"/>
      <c r="V160" s="22">
        <f>IF($U160="","",IFERROR(INDEX(Templates!$K$3:$K$10,MATCH($U160,Templates!$A$3:$A$10,0)),""))</f>
        <v/>
      </c>
      <c r="W160" s="22">
        <f>IF($U160="","",IFERROR(INDEX(Templates!$L$3:$L$10,MATCH($U160,Templates!$A$3:$A$10,0)),""))</f>
        <v/>
      </c>
      <c r="X160" s="23">
        <f>IF($U160="","",IFERROR(INDEX(Templates!$J$3:$J$10,MATCH($U160,Templates!$A$3:$A$10,0)),""))</f>
        <v/>
      </c>
      <c r="Y160" s="24">
        <f>IF(OR($U160="",$I160="",$J160="",$X160=""),"",$I160+$X160*($J160-$I160))</f>
        <v/>
      </c>
    </row>
    <row r="161">
      <c r="A161" s="15" t="inlineStr">
        <is>
          <t>Scion_1</t>
        </is>
      </c>
      <c r="B161" s="16" t="inlineStr">
        <is>
          <t>Eight Advisory</t>
        </is>
      </c>
      <c r="C161" s="15" t="inlineStr">
        <is>
          <t>Eight Advisory</t>
        </is>
      </c>
      <c r="D161" s="15" t="inlineStr"/>
      <c r="E161" s="15" t="inlineStr">
        <is>
          <t>No</t>
        </is>
      </c>
      <c r="F161" s="15" t="inlineStr">
        <is>
          <t>Active</t>
        </is>
      </c>
      <c r="G161" s="25" t="n"/>
      <c r="H161" s="17" t="n">
        <v>1</v>
      </c>
      <c r="I161" s="26" t="n"/>
      <c r="J161" s="26" t="n"/>
      <c r="K161" s="25" t="n"/>
      <c r="L161" s="25" t="n"/>
      <c r="M161" s="25" t="n"/>
      <c r="N161" s="25" t="n"/>
      <c r="O161" s="25" t="n"/>
      <c r="P161" s="25" t="n"/>
      <c r="Q161" s="19">
        <f>IF($A161="","",COUNTIFS(Assignments!$C$2:$C$769,$A161,Assignments!$G$2:$G$769,"Active"))</f>
        <v/>
      </c>
      <c r="R161" s="20">
        <f>IF($A161="","",SUMIFS(Assignments!$I$2:$I$769,Assignments!$C$2:$C$769,$A161,Assignments!$G$2:$G$769,"Active"))</f>
        <v/>
      </c>
      <c r="S161" s="16" t="inlineStr">
        <is>
          <t>WIP</t>
        </is>
      </c>
      <c r="T161" s="27" t="n"/>
      <c r="U161" s="25" t="n"/>
      <c r="V161" s="22">
        <f>IF($U161="","",IFERROR(INDEX(Templates!$K$3:$K$10,MATCH($U161,Templates!$A$3:$A$10,0)),""))</f>
        <v/>
      </c>
      <c r="W161" s="22">
        <f>IF($U161="","",IFERROR(INDEX(Templates!$L$3:$L$10,MATCH($U161,Templates!$A$3:$A$10,0)),""))</f>
        <v/>
      </c>
      <c r="X161" s="23">
        <f>IF($U161="","",IFERROR(INDEX(Templates!$J$3:$J$10,MATCH($U161,Templates!$A$3:$A$10,0)),""))</f>
        <v/>
      </c>
      <c r="Y161" s="24">
        <f>IF(OR($U161="",$I161="",$J161="",$X161=""),"",$I161+$X161*($J161-$I161))</f>
        <v/>
      </c>
    </row>
    <row r="162">
      <c r="A162" s="15" t="inlineStr">
        <is>
          <t>Seven2 PFIC_1</t>
        </is>
      </c>
      <c r="B162" s="16" t="inlineStr">
        <is>
          <t>Arsene TaxAnd</t>
        </is>
      </c>
      <c r="C162" s="15" t="inlineStr">
        <is>
          <t>Arsene TaxAnd</t>
        </is>
      </c>
      <c r="D162" s="15" t="inlineStr"/>
      <c r="E162" s="15" t="inlineStr">
        <is>
          <t>No</t>
        </is>
      </c>
      <c r="F162" s="15" t="inlineStr">
        <is>
          <t>Active</t>
        </is>
      </c>
      <c r="G162" s="25" t="n"/>
      <c r="H162" s="17" t="n">
        <v>1</v>
      </c>
      <c r="I162" s="26" t="n"/>
      <c r="J162" s="26" t="n"/>
      <c r="K162" s="25" t="n"/>
      <c r="L162" s="25" t="n"/>
      <c r="M162" s="25" t="n"/>
      <c r="N162" s="25" t="n"/>
      <c r="O162" s="25" t="n"/>
      <c r="P162" s="25" t="n"/>
      <c r="Q162" s="19">
        <f>IF($A162="","",COUNTIFS(Assignments!$C$2:$C$769,$A162,Assignments!$G$2:$G$769,"Active"))</f>
        <v/>
      </c>
      <c r="R162" s="20">
        <f>IF($A162="","",SUMIFS(Assignments!$I$2:$I$769,Assignments!$C$2:$C$769,$A162,Assignments!$G$2:$G$769,"Active"))</f>
        <v/>
      </c>
      <c r="S162" s="16" t="inlineStr">
        <is>
          <t>WIP</t>
        </is>
      </c>
      <c r="T162" s="27" t="n"/>
      <c r="U162" s="25" t="n"/>
      <c r="V162" s="22">
        <f>IF($U162="","",IFERROR(INDEX(Templates!$K$3:$K$10,MATCH($U162,Templates!$A$3:$A$10,0)),""))</f>
        <v/>
      </c>
      <c r="W162" s="22">
        <f>IF($U162="","",IFERROR(INDEX(Templates!$L$3:$L$10,MATCH($U162,Templates!$A$3:$A$10,0)),""))</f>
        <v/>
      </c>
      <c r="X162" s="23">
        <f>IF($U162="","",IFERROR(INDEX(Templates!$J$3:$J$10,MATCH($U162,Templates!$A$3:$A$10,0)),""))</f>
        <v/>
      </c>
      <c r="Y162" s="24">
        <f>IF(OR($U162="",$I162="",$J162="",$X162=""),"",$I162+$X162*($J162-$I162))</f>
        <v/>
      </c>
    </row>
    <row r="163">
      <c r="A163" s="15" t="inlineStr">
        <is>
          <t>Shika_1</t>
        </is>
      </c>
      <c r="B163" s="16" t="inlineStr">
        <is>
          <t>Riveron</t>
        </is>
      </c>
      <c r="C163" s="15" t="inlineStr">
        <is>
          <t>Riveron</t>
        </is>
      </c>
      <c r="D163" s="15" t="inlineStr"/>
      <c r="E163" s="15" t="inlineStr">
        <is>
          <t>No</t>
        </is>
      </c>
      <c r="F163" s="15" t="inlineStr">
        <is>
          <t>Active</t>
        </is>
      </c>
      <c r="G163" s="25" t="n"/>
      <c r="H163" s="17" t="n">
        <v>1</v>
      </c>
      <c r="I163" s="26" t="n"/>
      <c r="J163" s="26" t="n"/>
      <c r="K163" s="25" t="n"/>
      <c r="L163" s="25" t="n"/>
      <c r="M163" s="25" t="n"/>
      <c r="N163" s="25" t="n"/>
      <c r="O163" s="25" t="n"/>
      <c r="P163" s="25" t="n"/>
      <c r="Q163" s="19">
        <f>IF($A163="","",COUNTIFS(Assignments!$C$2:$C$769,$A163,Assignments!$G$2:$G$769,"Active"))</f>
        <v/>
      </c>
      <c r="R163" s="20">
        <f>IF($A163="","",SUMIFS(Assignments!$I$2:$I$769,Assignments!$C$2:$C$769,$A163,Assignments!$G$2:$G$769,"Active"))</f>
        <v/>
      </c>
      <c r="S163" s="16" t="inlineStr">
        <is>
          <t>WIP</t>
        </is>
      </c>
      <c r="T163" s="27" t="n"/>
      <c r="U163" s="25" t="n"/>
      <c r="V163" s="22">
        <f>IF($U163="","",IFERROR(INDEX(Templates!$K$3:$K$10,MATCH($U163,Templates!$A$3:$A$10,0)),""))</f>
        <v/>
      </c>
      <c r="W163" s="22">
        <f>IF($U163="","",IFERROR(INDEX(Templates!$L$3:$L$10,MATCH($U163,Templates!$A$3:$A$10,0)),""))</f>
        <v/>
      </c>
      <c r="X163" s="23">
        <f>IF($U163="","",IFERROR(INDEX(Templates!$J$3:$J$10,MATCH($U163,Templates!$A$3:$A$10,0)),""))</f>
        <v/>
      </c>
      <c r="Y163" s="24">
        <f>IF(OR($U163="",$I163="",$J163="",$X163=""),"",$I163+$X163*($J163-$I163))</f>
        <v/>
      </c>
    </row>
    <row r="164">
      <c r="A164" s="15" t="inlineStr">
        <is>
          <t>Sierra_3</t>
        </is>
      </c>
      <c r="B164" s="16" t="inlineStr">
        <is>
          <t>ICEN Risk</t>
        </is>
      </c>
      <c r="C164" s="15" t="inlineStr">
        <is>
          <t>ICEN Risk</t>
        </is>
      </c>
      <c r="D164" s="15" t="inlineStr"/>
      <c r="E164" s="15" t="inlineStr">
        <is>
          <t>No</t>
        </is>
      </c>
      <c r="F164" s="15" t="inlineStr">
        <is>
          <t>Active</t>
        </is>
      </c>
      <c r="G164" s="25" t="n"/>
      <c r="H164" s="17" t="n">
        <v>1</v>
      </c>
      <c r="I164" s="26" t="n"/>
      <c r="J164" s="26" t="n"/>
      <c r="K164" s="25" t="n"/>
      <c r="L164" s="25" t="n"/>
      <c r="M164" s="25" t="n"/>
      <c r="N164" s="25" t="n"/>
      <c r="O164" s="25" t="n"/>
      <c r="P164" s="25" t="n"/>
      <c r="Q164" s="19">
        <f>IF($A164="","",COUNTIFS(Assignments!$C$2:$C$769,$A164,Assignments!$G$2:$G$769,"Active"))</f>
        <v/>
      </c>
      <c r="R164" s="20">
        <f>IF($A164="","",SUMIFS(Assignments!$I$2:$I$769,Assignments!$C$2:$C$769,$A164,Assignments!$G$2:$G$769,"Active"))</f>
        <v/>
      </c>
      <c r="S164" s="16" t="inlineStr">
        <is>
          <t>WIP</t>
        </is>
      </c>
      <c r="T164" s="27" t="n"/>
      <c r="U164" s="25" t="n"/>
      <c r="V164" s="22">
        <f>IF($U164="","",IFERROR(INDEX(Templates!$K$3:$K$10,MATCH($U164,Templates!$A$3:$A$10,0)),""))</f>
        <v/>
      </c>
      <c r="W164" s="22">
        <f>IF($U164="","",IFERROR(INDEX(Templates!$L$3:$L$10,MATCH($U164,Templates!$A$3:$A$10,0)),""))</f>
        <v/>
      </c>
      <c r="X164" s="23">
        <f>IF($U164="","",IFERROR(INDEX(Templates!$J$3:$J$10,MATCH($U164,Templates!$A$3:$A$10,0)),""))</f>
        <v/>
      </c>
      <c r="Y164" s="24">
        <f>IF(OR($U164="",$I164="",$J164="",$X164=""),"",$I164+$X164*($J164-$I164))</f>
        <v/>
      </c>
    </row>
    <row r="165">
      <c r="A165" s="15" t="inlineStr">
        <is>
          <t>SolarEdge DC Adder_1</t>
        </is>
      </c>
      <c r="B165" s="16" t="inlineStr">
        <is>
          <t>Ethos Specialty Insurance Services</t>
        </is>
      </c>
      <c r="C165" s="15" t="inlineStr">
        <is>
          <t>Ethos Specialty Insurance Services</t>
        </is>
      </c>
      <c r="D165" s="15" t="inlineStr"/>
      <c r="E165" s="15" t="inlineStr">
        <is>
          <t>No</t>
        </is>
      </c>
      <c r="F165" s="15" t="inlineStr">
        <is>
          <t>Active</t>
        </is>
      </c>
      <c r="G165" s="25" t="n"/>
      <c r="H165" s="17" t="n">
        <v>1</v>
      </c>
      <c r="I165" s="26" t="n"/>
      <c r="J165" s="26" t="n"/>
      <c r="K165" s="25" t="n"/>
      <c r="L165" s="25" t="n"/>
      <c r="M165" s="25" t="n"/>
      <c r="N165" s="25" t="n"/>
      <c r="O165" s="25" t="n"/>
      <c r="P165" s="25" t="n"/>
      <c r="Q165" s="19">
        <f>IF($A165="","",COUNTIFS(Assignments!$C$2:$C$769,$A165,Assignments!$G$2:$G$769,"Active"))</f>
        <v/>
      </c>
      <c r="R165" s="20">
        <f>IF($A165="","",SUMIFS(Assignments!$I$2:$I$769,Assignments!$C$2:$C$769,$A165,Assignments!$G$2:$G$769,"Active"))</f>
        <v/>
      </c>
      <c r="S165" s="16" t="inlineStr">
        <is>
          <t>WIP</t>
        </is>
      </c>
      <c r="T165" s="27" t="n"/>
      <c r="U165" s="25" t="n"/>
      <c r="V165" s="22">
        <f>IF($U165="","",IFERROR(INDEX(Templates!$K$3:$K$10,MATCH($U165,Templates!$A$3:$A$10,0)),""))</f>
        <v/>
      </c>
      <c r="W165" s="22">
        <f>IF($U165="","",IFERROR(INDEX(Templates!$L$3:$L$10,MATCH($U165,Templates!$A$3:$A$10,0)),""))</f>
        <v/>
      </c>
      <c r="X165" s="23">
        <f>IF($U165="","",IFERROR(INDEX(Templates!$J$3:$J$10,MATCH($U165,Templates!$A$3:$A$10,0)),""))</f>
        <v/>
      </c>
      <c r="Y165" s="24">
        <f>IF(OR($U165="",$I165="",$J165="",$X165=""),"",$I165+$X165*($J165-$I165))</f>
        <v/>
      </c>
    </row>
    <row r="166">
      <c r="A166" s="15" t="inlineStr">
        <is>
          <t>SolRite_1</t>
        </is>
      </c>
      <c r="B166" s="16" t="inlineStr">
        <is>
          <t>Ethos Specialty Insurance Services</t>
        </is>
      </c>
      <c r="C166" s="15" t="inlineStr">
        <is>
          <t>Ethos Specialty Insurance Services</t>
        </is>
      </c>
      <c r="D166" s="15" t="inlineStr"/>
      <c r="E166" s="15" t="inlineStr">
        <is>
          <t>No</t>
        </is>
      </c>
      <c r="F166" s="15" t="inlineStr">
        <is>
          <t>Active</t>
        </is>
      </c>
      <c r="G166" s="25" t="n"/>
      <c r="H166" s="17" t="n">
        <v>1</v>
      </c>
      <c r="I166" s="26" t="n"/>
      <c r="J166" s="26" t="n"/>
      <c r="K166" s="25" t="n"/>
      <c r="L166" s="25" t="n"/>
      <c r="M166" s="25" t="n"/>
      <c r="N166" s="25" t="n"/>
      <c r="O166" s="25" t="n"/>
      <c r="P166" s="25" t="n"/>
      <c r="Q166" s="19">
        <f>IF($A166="","",COUNTIFS(Assignments!$C$2:$C$769,$A166,Assignments!$G$2:$G$769,"Active"))</f>
        <v/>
      </c>
      <c r="R166" s="20">
        <f>IF($A166="","",SUMIFS(Assignments!$I$2:$I$769,Assignments!$C$2:$C$769,$A166,Assignments!$G$2:$G$769,"Active"))</f>
        <v/>
      </c>
      <c r="S166" s="16" t="inlineStr">
        <is>
          <t>WIP</t>
        </is>
      </c>
      <c r="T166" s="27" t="n"/>
      <c r="U166" s="25" t="n"/>
      <c r="V166" s="22">
        <f>IF($U166="","",IFERROR(INDEX(Templates!$K$3:$K$10,MATCH($U166,Templates!$A$3:$A$10,0)),""))</f>
        <v/>
      </c>
      <c r="W166" s="22">
        <f>IF($U166="","",IFERROR(INDEX(Templates!$L$3:$L$10,MATCH($U166,Templates!$A$3:$A$10,0)),""))</f>
        <v/>
      </c>
      <c r="X166" s="23">
        <f>IF($U166="","",IFERROR(INDEX(Templates!$J$3:$J$10,MATCH($U166,Templates!$A$3:$A$10,0)),""))</f>
        <v/>
      </c>
      <c r="Y166" s="24">
        <f>IF(OR($U166="",$I166="",$J166="",$X166=""),"",$I166+$X166*($J166-$I166))</f>
        <v/>
      </c>
    </row>
    <row r="167">
      <c r="A167" s="15" t="inlineStr">
        <is>
          <t>Soltra_1</t>
        </is>
      </c>
      <c r="B167" s="16" t="inlineStr">
        <is>
          <t>Fengate</t>
        </is>
      </c>
      <c r="C167" s="15" t="inlineStr">
        <is>
          <t>Fengate</t>
        </is>
      </c>
      <c r="D167" s="15" t="inlineStr"/>
      <c r="E167" s="15" t="inlineStr">
        <is>
          <t>No</t>
        </is>
      </c>
      <c r="F167" s="15" t="inlineStr">
        <is>
          <t>Active</t>
        </is>
      </c>
      <c r="G167" s="25" t="n"/>
      <c r="H167" s="17" t="n">
        <v>1</v>
      </c>
      <c r="I167" s="26" t="n"/>
      <c r="J167" s="26" t="n"/>
      <c r="K167" s="25" t="n"/>
      <c r="L167" s="25" t="n"/>
      <c r="M167" s="25" t="n"/>
      <c r="N167" s="25" t="n"/>
      <c r="O167" s="25" t="n"/>
      <c r="P167" s="25" t="n"/>
      <c r="Q167" s="19">
        <f>IF($A167="","",COUNTIFS(Assignments!$C$2:$C$769,$A167,Assignments!$G$2:$G$769,"Active"))</f>
        <v/>
      </c>
      <c r="R167" s="20">
        <f>IF($A167="","",SUMIFS(Assignments!$I$2:$I$769,Assignments!$C$2:$C$769,$A167,Assignments!$G$2:$G$769,"Active"))</f>
        <v/>
      </c>
      <c r="S167" s="16" t="inlineStr">
        <is>
          <t>WIP</t>
        </is>
      </c>
      <c r="T167" s="27" t="n"/>
      <c r="U167" s="25" t="n"/>
      <c r="V167" s="22">
        <f>IF($U167="","",IFERROR(INDEX(Templates!$K$3:$K$10,MATCH($U167,Templates!$A$3:$A$10,0)),""))</f>
        <v/>
      </c>
      <c r="W167" s="22">
        <f>IF($U167="","",IFERROR(INDEX(Templates!$L$3:$L$10,MATCH($U167,Templates!$A$3:$A$10,0)),""))</f>
        <v/>
      </c>
      <c r="X167" s="23">
        <f>IF($U167="","",IFERROR(INDEX(Templates!$J$3:$J$10,MATCH($U167,Templates!$A$3:$A$10,0)),""))</f>
        <v/>
      </c>
      <c r="Y167" s="24">
        <f>IF(OR($U167="",$I167="",$J167="",$X167=""),"",$I167+$X167*($J167-$I167))</f>
        <v/>
      </c>
    </row>
    <row r="168">
      <c r="A168" s="15" t="inlineStr">
        <is>
          <t>Spark_1</t>
        </is>
      </c>
      <c r="B168" s="16" t="inlineStr">
        <is>
          <t>Broadwind, Inc.</t>
        </is>
      </c>
      <c r="C168" s="15" t="inlineStr">
        <is>
          <t>Broadwind, Inc.</t>
        </is>
      </c>
      <c r="D168" s="15" t="inlineStr"/>
      <c r="E168" s="15" t="inlineStr">
        <is>
          <t>No</t>
        </is>
      </c>
      <c r="F168" s="15" t="inlineStr">
        <is>
          <t>Active</t>
        </is>
      </c>
      <c r="G168" s="25" t="n"/>
      <c r="H168" s="17" t="n">
        <v>1</v>
      </c>
      <c r="I168" s="26" t="n"/>
      <c r="J168" s="26" t="n"/>
      <c r="K168" s="25" t="n"/>
      <c r="L168" s="25" t="n"/>
      <c r="M168" s="25" t="n"/>
      <c r="N168" s="25" t="n"/>
      <c r="O168" s="25" t="n"/>
      <c r="P168" s="25" t="n"/>
      <c r="Q168" s="19">
        <f>IF($A168="","",COUNTIFS(Assignments!$C$2:$C$769,$A168,Assignments!$G$2:$G$769,"Active"))</f>
        <v/>
      </c>
      <c r="R168" s="20">
        <f>IF($A168="","",SUMIFS(Assignments!$I$2:$I$769,Assignments!$C$2:$C$769,$A168,Assignments!$G$2:$G$769,"Active"))</f>
        <v/>
      </c>
      <c r="S168" s="16" t="inlineStr">
        <is>
          <t>WIP</t>
        </is>
      </c>
      <c r="T168" s="27" t="n"/>
      <c r="U168" s="25" t="n"/>
      <c r="V168" s="22">
        <f>IF($U168="","",IFERROR(INDEX(Templates!$K$3:$K$10,MATCH($U168,Templates!$A$3:$A$10,0)),""))</f>
        <v/>
      </c>
      <c r="W168" s="22">
        <f>IF($U168="","",IFERROR(INDEX(Templates!$L$3:$L$10,MATCH($U168,Templates!$A$3:$A$10,0)),""))</f>
        <v/>
      </c>
      <c r="X168" s="23">
        <f>IF($U168="","",IFERROR(INDEX(Templates!$J$3:$J$10,MATCH($U168,Templates!$A$3:$A$10,0)),""))</f>
        <v/>
      </c>
      <c r="Y168" s="24">
        <f>IF(OR($U168="",$I168="",$J168="",$X168=""),"",$I168+$X168*($J168-$I168))</f>
        <v/>
      </c>
    </row>
    <row r="169">
      <c r="A169" s="15" t="inlineStr">
        <is>
          <t>Spring_6</t>
        </is>
      </c>
      <c r="B169" s="16" t="inlineStr">
        <is>
          <t>Ethos Specialty Insurance Services</t>
        </is>
      </c>
      <c r="C169" s="15" t="inlineStr">
        <is>
          <t>Ethos Specialty Insurance Services</t>
        </is>
      </c>
      <c r="D169" s="15" t="inlineStr"/>
      <c r="E169" s="15" t="inlineStr">
        <is>
          <t>No</t>
        </is>
      </c>
      <c r="F169" s="15" t="inlineStr">
        <is>
          <t>Active</t>
        </is>
      </c>
      <c r="G169" s="25" t="n"/>
      <c r="H169" s="17" t="n">
        <v>1</v>
      </c>
      <c r="I169" s="26" t="n"/>
      <c r="J169" s="26" t="n"/>
      <c r="K169" s="25" t="n"/>
      <c r="L169" s="25" t="n"/>
      <c r="M169" s="25" t="n"/>
      <c r="N169" s="25" t="n"/>
      <c r="O169" s="25" t="n"/>
      <c r="P169" s="25" t="n"/>
      <c r="Q169" s="19">
        <f>IF($A169="","",COUNTIFS(Assignments!$C$2:$C$769,$A169,Assignments!$G$2:$G$769,"Active"))</f>
        <v/>
      </c>
      <c r="R169" s="20">
        <f>IF($A169="","",SUMIFS(Assignments!$I$2:$I$769,Assignments!$C$2:$C$769,$A169,Assignments!$G$2:$G$769,"Active"))</f>
        <v/>
      </c>
      <c r="S169" s="16" t="inlineStr">
        <is>
          <t>WIP</t>
        </is>
      </c>
      <c r="T169" s="27" t="n"/>
      <c r="U169" s="25" t="n"/>
      <c r="V169" s="22">
        <f>IF($U169="","",IFERROR(INDEX(Templates!$K$3:$K$10,MATCH($U169,Templates!$A$3:$A$10,0)),""))</f>
        <v/>
      </c>
      <c r="W169" s="22">
        <f>IF($U169="","",IFERROR(INDEX(Templates!$L$3:$L$10,MATCH($U169,Templates!$A$3:$A$10,0)),""))</f>
        <v/>
      </c>
      <c r="X169" s="23">
        <f>IF($U169="","",IFERROR(INDEX(Templates!$J$3:$J$10,MATCH($U169,Templates!$A$3:$A$10,0)),""))</f>
        <v/>
      </c>
      <c r="Y169" s="24">
        <f>IF(OR($U169="",$I169="",$J169="",$X169=""),"",$I169+$X169*($J169-$I169))</f>
        <v/>
      </c>
    </row>
    <row r="170">
      <c r="A170" s="15" t="inlineStr">
        <is>
          <t>Starshade and Radar_1</t>
        </is>
      </c>
      <c r="B170" s="16" t="inlineStr">
        <is>
          <t>Ethos Specialty Insurance Services</t>
        </is>
      </c>
      <c r="C170" s="15" t="inlineStr">
        <is>
          <t>Ethos Specialty Insurance Services</t>
        </is>
      </c>
      <c r="D170" s="15" t="inlineStr"/>
      <c r="E170" s="15" t="inlineStr">
        <is>
          <t>No</t>
        </is>
      </c>
      <c r="F170" s="15" t="inlineStr">
        <is>
          <t>Active</t>
        </is>
      </c>
      <c r="G170" s="25" t="n"/>
      <c r="H170" s="17" t="n">
        <v>1</v>
      </c>
      <c r="I170" s="26" t="n"/>
      <c r="J170" s="26" t="n"/>
      <c r="K170" s="25" t="n"/>
      <c r="L170" s="25" t="n"/>
      <c r="M170" s="25" t="n"/>
      <c r="N170" s="25" t="n"/>
      <c r="O170" s="25" t="n"/>
      <c r="P170" s="25" t="n"/>
      <c r="Q170" s="19">
        <f>IF($A170="","",COUNTIFS(Assignments!$C$2:$C$769,$A170,Assignments!$G$2:$G$769,"Active"))</f>
        <v/>
      </c>
      <c r="R170" s="20">
        <f>IF($A170="","",SUMIFS(Assignments!$I$2:$I$769,Assignments!$C$2:$C$769,$A170,Assignments!$G$2:$G$769,"Active"))</f>
        <v/>
      </c>
      <c r="S170" s="16" t="inlineStr">
        <is>
          <t>WIP</t>
        </is>
      </c>
      <c r="T170" s="27" t="n"/>
      <c r="U170" s="25" t="n"/>
      <c r="V170" s="22">
        <f>IF($U170="","",IFERROR(INDEX(Templates!$K$3:$K$10,MATCH($U170,Templates!$A$3:$A$10,0)),""))</f>
        <v/>
      </c>
      <c r="W170" s="22">
        <f>IF($U170="","",IFERROR(INDEX(Templates!$L$3:$L$10,MATCH($U170,Templates!$A$3:$A$10,0)),""))</f>
        <v/>
      </c>
      <c r="X170" s="23">
        <f>IF($U170="","",IFERROR(INDEX(Templates!$J$3:$J$10,MATCH($U170,Templates!$A$3:$A$10,0)),""))</f>
        <v/>
      </c>
      <c r="Y170" s="24">
        <f>IF(OR($U170="",$I170="",$J170="",$X170=""),"",$I170+$X170*($J170-$I170))</f>
        <v/>
      </c>
    </row>
    <row r="171">
      <c r="A171" s="15" t="inlineStr">
        <is>
          <t>Steam_2</t>
        </is>
      </c>
      <c r="B171" s="16" t="inlineStr">
        <is>
          <t>Fengate</t>
        </is>
      </c>
      <c r="C171" s="15" t="inlineStr">
        <is>
          <t>Fengate</t>
        </is>
      </c>
      <c r="D171" s="15" t="inlineStr"/>
      <c r="E171" s="15" t="inlineStr">
        <is>
          <t>No</t>
        </is>
      </c>
      <c r="F171" s="15" t="inlineStr">
        <is>
          <t>Active</t>
        </is>
      </c>
      <c r="G171" s="25" t="n"/>
      <c r="H171" s="17" t="n">
        <v>1</v>
      </c>
      <c r="I171" s="26" t="n"/>
      <c r="J171" s="26" t="n"/>
      <c r="K171" s="25" t="n"/>
      <c r="L171" s="25" t="n"/>
      <c r="M171" s="25" t="n"/>
      <c r="N171" s="25" t="n"/>
      <c r="O171" s="25" t="n"/>
      <c r="P171" s="25" t="n"/>
      <c r="Q171" s="19">
        <f>IF($A171="","",COUNTIFS(Assignments!$C$2:$C$769,$A171,Assignments!$G$2:$G$769,"Active"))</f>
        <v/>
      </c>
      <c r="R171" s="20">
        <f>IF($A171="","",SUMIFS(Assignments!$I$2:$I$769,Assignments!$C$2:$C$769,$A171,Assignments!$G$2:$G$769,"Active"))</f>
        <v/>
      </c>
      <c r="S171" s="16" t="inlineStr">
        <is>
          <t>WIP</t>
        </is>
      </c>
      <c r="T171" s="27" t="n"/>
      <c r="U171" s="25" t="n"/>
      <c r="V171" s="22">
        <f>IF($U171="","",IFERROR(INDEX(Templates!$K$3:$K$10,MATCH($U171,Templates!$A$3:$A$10,0)),""))</f>
        <v/>
      </c>
      <c r="W171" s="22">
        <f>IF($U171="","",IFERROR(INDEX(Templates!$L$3:$L$10,MATCH($U171,Templates!$A$3:$A$10,0)),""))</f>
        <v/>
      </c>
      <c r="X171" s="23">
        <f>IF($U171="","",IFERROR(INDEX(Templates!$J$3:$J$10,MATCH($U171,Templates!$A$3:$A$10,0)),""))</f>
        <v/>
      </c>
      <c r="Y171" s="24">
        <f>IF(OR($U171="",$I171="",$J171="",$X171=""),"",$I171+$X171*($J171-$I171))</f>
        <v/>
      </c>
    </row>
    <row r="172">
      <c r="A172" s="15" t="inlineStr">
        <is>
          <t>Sun Pond_1</t>
        </is>
      </c>
      <c r="B172" s="16" t="inlineStr">
        <is>
          <t>Euclid Transactional</t>
        </is>
      </c>
      <c r="C172" s="15" t="inlineStr">
        <is>
          <t>Euclid Transactional</t>
        </is>
      </c>
      <c r="D172" s="15" t="inlineStr"/>
      <c r="E172" s="15" t="inlineStr">
        <is>
          <t>No</t>
        </is>
      </c>
      <c r="F172" s="15" t="inlineStr">
        <is>
          <t>Active</t>
        </is>
      </c>
      <c r="G172" s="25" t="n"/>
      <c r="H172" s="17" t="n">
        <v>1</v>
      </c>
      <c r="I172" s="26" t="n"/>
      <c r="J172" s="26" t="n"/>
      <c r="K172" s="25" t="n"/>
      <c r="L172" s="25" t="n"/>
      <c r="M172" s="25" t="n"/>
      <c r="N172" s="25" t="n"/>
      <c r="O172" s="25" t="n"/>
      <c r="P172" s="25" t="n"/>
      <c r="Q172" s="19">
        <f>IF($A172="","",COUNTIFS(Assignments!$C$2:$C$769,$A172,Assignments!$G$2:$G$769,"Active"))</f>
        <v/>
      </c>
      <c r="R172" s="20">
        <f>IF($A172="","",SUMIFS(Assignments!$I$2:$I$769,Assignments!$C$2:$C$769,$A172,Assignments!$G$2:$G$769,"Active"))</f>
        <v/>
      </c>
      <c r="S172" s="16" t="inlineStr">
        <is>
          <t>WIP</t>
        </is>
      </c>
      <c r="T172" s="27" t="n"/>
      <c r="U172" s="25" t="n"/>
      <c r="V172" s="22">
        <f>IF($U172="","",IFERROR(INDEX(Templates!$K$3:$K$10,MATCH($U172,Templates!$A$3:$A$10,0)),""))</f>
        <v/>
      </c>
      <c r="W172" s="22">
        <f>IF($U172="","",IFERROR(INDEX(Templates!$L$3:$L$10,MATCH($U172,Templates!$A$3:$A$10,0)),""))</f>
        <v/>
      </c>
      <c r="X172" s="23">
        <f>IF($U172="","",IFERROR(INDEX(Templates!$J$3:$J$10,MATCH($U172,Templates!$A$3:$A$10,0)),""))</f>
        <v/>
      </c>
      <c r="Y172" s="24">
        <f>IF(OR($U172="",$I172="",$J172="",$X172=""),"",$I172+$X172*($J172-$I172))</f>
        <v/>
      </c>
    </row>
    <row r="173">
      <c r="A173" s="15" t="inlineStr">
        <is>
          <t>Sunnova - TEP 8-H_1</t>
        </is>
      </c>
      <c r="B173" s="16" t="inlineStr">
        <is>
          <t>Ryan Transactional Risk : Themis Underwriting</t>
        </is>
      </c>
      <c r="C173" s="15" t="inlineStr">
        <is>
          <t>Ryan Transactional Risk</t>
        </is>
      </c>
      <c r="D173" s="15" t="inlineStr">
        <is>
          <t>Themis Underwriting</t>
        </is>
      </c>
      <c r="E173" s="15" t="inlineStr">
        <is>
          <t>No</t>
        </is>
      </c>
      <c r="F173" s="15" t="inlineStr">
        <is>
          <t>Active</t>
        </is>
      </c>
      <c r="G173" s="25" t="n"/>
      <c r="H173" s="17" t="n">
        <v>1</v>
      </c>
      <c r="I173" s="26" t="n"/>
      <c r="J173" s="26" t="n"/>
      <c r="K173" s="25" t="n"/>
      <c r="L173" s="25" t="n"/>
      <c r="M173" s="25" t="n"/>
      <c r="N173" s="25" t="n"/>
      <c r="O173" s="25" t="n"/>
      <c r="P173" s="25" t="n"/>
      <c r="Q173" s="19">
        <f>IF($A173="","",COUNTIFS(Assignments!$C$2:$C$769,$A173,Assignments!$G$2:$G$769,"Active"))</f>
        <v/>
      </c>
      <c r="R173" s="20">
        <f>IF($A173="","",SUMIFS(Assignments!$I$2:$I$769,Assignments!$C$2:$C$769,$A173,Assignments!$G$2:$G$769,"Active"))</f>
        <v/>
      </c>
      <c r="S173" s="16" t="inlineStr">
        <is>
          <t>WIP</t>
        </is>
      </c>
      <c r="T173" s="27" t="n"/>
      <c r="U173" s="25" t="n"/>
      <c r="V173" s="22">
        <f>IF($U173="","",IFERROR(INDEX(Templates!$K$3:$K$10,MATCH($U173,Templates!$A$3:$A$10,0)),""))</f>
        <v/>
      </c>
      <c r="W173" s="22">
        <f>IF($U173="","",IFERROR(INDEX(Templates!$L$3:$L$10,MATCH($U173,Templates!$A$3:$A$10,0)),""))</f>
        <v/>
      </c>
      <c r="X173" s="23">
        <f>IF($U173="","",IFERROR(INDEX(Templates!$J$3:$J$10,MATCH($U173,Templates!$A$3:$A$10,0)),""))</f>
        <v/>
      </c>
      <c r="Y173" s="24">
        <f>IF(OR($U173="",$I173="",$J173="",$X173=""),"",$I173+$X173*($J173-$I173))</f>
        <v/>
      </c>
    </row>
    <row r="174">
      <c r="A174" s="15" t="inlineStr">
        <is>
          <t>Sunnova TEP 8-I - Homebuilder_1</t>
        </is>
      </c>
      <c r="B174" s="16" t="inlineStr">
        <is>
          <t>Sunnova - TEP 8-H_1 Ryan Transactional Risk : Themis Underwriting : *Sunnova - TEP 8-H</t>
        </is>
      </c>
      <c r="C174" s="15" t="inlineStr">
        <is>
          <t>Sunnova - TEP 8-H_1 Ryan Transactional Risk</t>
        </is>
      </c>
      <c r="D174" s="15" t="inlineStr">
        <is>
          <t>*Sunnova - TEP 8-H</t>
        </is>
      </c>
      <c r="E174" s="15" t="inlineStr">
        <is>
          <t>No</t>
        </is>
      </c>
      <c r="F174" s="15" t="inlineStr">
        <is>
          <t>Active</t>
        </is>
      </c>
      <c r="G174" s="25" t="n"/>
      <c r="H174" s="17" t="n">
        <v>1</v>
      </c>
      <c r="I174" s="26" t="n"/>
      <c r="J174" s="26" t="n"/>
      <c r="K174" s="25" t="n"/>
      <c r="L174" s="25" t="n"/>
      <c r="M174" s="25" t="n"/>
      <c r="N174" s="25" t="n"/>
      <c r="O174" s="25" t="n"/>
      <c r="P174" s="25" t="n"/>
      <c r="Q174" s="19">
        <f>IF($A174="","",COUNTIFS(Assignments!$C$2:$C$769,$A174,Assignments!$G$2:$G$769,"Active"))</f>
        <v/>
      </c>
      <c r="R174" s="20">
        <f>IF($A174="","",SUMIFS(Assignments!$I$2:$I$769,Assignments!$C$2:$C$769,$A174,Assignments!$G$2:$G$769,"Active"))</f>
        <v/>
      </c>
      <c r="S174" s="16" t="inlineStr">
        <is>
          <t>WIP</t>
        </is>
      </c>
      <c r="T174" s="27" t="n"/>
      <c r="U174" s="25" t="n"/>
      <c r="V174" s="22">
        <f>IF($U174="","",IFERROR(INDEX(Templates!$K$3:$K$10,MATCH($U174,Templates!$A$3:$A$10,0)),""))</f>
        <v/>
      </c>
      <c r="W174" s="22">
        <f>IF($U174="","",IFERROR(INDEX(Templates!$L$3:$L$10,MATCH($U174,Templates!$A$3:$A$10,0)),""))</f>
        <v/>
      </c>
      <c r="X174" s="23">
        <f>IF($U174="","",IFERROR(INDEX(Templates!$J$3:$J$10,MATCH($U174,Templates!$A$3:$A$10,0)),""))</f>
        <v/>
      </c>
      <c r="Y174" s="24">
        <f>IF(OR($U174="",$I174="",$J174="",$X174=""),"",$I174+$X174*($J174-$I174))</f>
        <v/>
      </c>
    </row>
    <row r="175">
      <c r="A175" s="15" t="inlineStr">
        <is>
          <t>Sunrise_5</t>
        </is>
      </c>
      <c r="B175" s="16" t="inlineStr">
        <is>
          <t>Eight Advisory</t>
        </is>
      </c>
      <c r="C175" s="15" t="inlineStr">
        <is>
          <t>Eight Advisory</t>
        </is>
      </c>
      <c r="D175" s="15" t="inlineStr"/>
      <c r="E175" s="15" t="inlineStr">
        <is>
          <t>No</t>
        </is>
      </c>
      <c r="F175" s="15" t="inlineStr">
        <is>
          <t>Active</t>
        </is>
      </c>
      <c r="G175" s="25" t="n"/>
      <c r="H175" s="17" t="n">
        <v>1</v>
      </c>
      <c r="I175" s="26" t="n"/>
      <c r="J175" s="26" t="n"/>
      <c r="K175" s="25" t="n"/>
      <c r="L175" s="25" t="n"/>
      <c r="M175" s="25" t="n"/>
      <c r="N175" s="25" t="n"/>
      <c r="O175" s="25" t="n"/>
      <c r="P175" s="25" t="n"/>
      <c r="Q175" s="19">
        <f>IF($A175="","",COUNTIFS(Assignments!$C$2:$C$769,$A175,Assignments!$G$2:$G$769,"Active"))</f>
        <v/>
      </c>
      <c r="R175" s="20">
        <f>IF($A175="","",SUMIFS(Assignments!$I$2:$I$769,Assignments!$C$2:$C$769,$A175,Assignments!$G$2:$G$769,"Active"))</f>
        <v/>
      </c>
      <c r="S175" s="16" t="inlineStr">
        <is>
          <t>WIP</t>
        </is>
      </c>
      <c r="T175" s="27" t="n"/>
      <c r="U175" s="25" t="n"/>
      <c r="V175" s="22">
        <f>IF($U175="","",IFERROR(INDEX(Templates!$K$3:$K$10,MATCH($U175,Templates!$A$3:$A$10,0)),""))</f>
        <v/>
      </c>
      <c r="W175" s="22">
        <f>IF($U175="","",IFERROR(INDEX(Templates!$L$3:$L$10,MATCH($U175,Templates!$A$3:$A$10,0)),""))</f>
        <v/>
      </c>
      <c r="X175" s="23">
        <f>IF($U175="","",IFERROR(INDEX(Templates!$J$3:$J$10,MATCH($U175,Templates!$A$3:$A$10,0)),""))</f>
        <v/>
      </c>
      <c r="Y175" s="24">
        <f>IF(OR($U175="",$I175="",$J175="",$X175=""),"",$I175+$X175*($J175-$I175))</f>
        <v/>
      </c>
    </row>
    <row r="176">
      <c r="A176" s="15" t="inlineStr">
        <is>
          <t>Sunshine_4</t>
        </is>
      </c>
      <c r="B176" s="16" t="inlineStr">
        <is>
          <t>Nuveen</t>
        </is>
      </c>
      <c r="C176" s="15" t="inlineStr">
        <is>
          <t>Nuveen</t>
        </is>
      </c>
      <c r="D176" s="15" t="inlineStr"/>
      <c r="E176" s="15" t="inlineStr">
        <is>
          <t>No</t>
        </is>
      </c>
      <c r="F176" s="15" t="inlineStr">
        <is>
          <t>Active</t>
        </is>
      </c>
      <c r="G176" s="25" t="n"/>
      <c r="H176" s="17" t="n">
        <v>1</v>
      </c>
      <c r="I176" s="26" t="n"/>
      <c r="J176" s="26" t="n"/>
      <c r="K176" s="25" t="n"/>
      <c r="L176" s="25" t="n"/>
      <c r="M176" s="25" t="n"/>
      <c r="N176" s="25" t="n"/>
      <c r="O176" s="25" t="n"/>
      <c r="P176" s="25" t="n"/>
      <c r="Q176" s="19">
        <f>IF($A176="","",COUNTIFS(Assignments!$C$2:$C$769,$A176,Assignments!$G$2:$G$769,"Active"))</f>
        <v/>
      </c>
      <c r="R176" s="20">
        <f>IF($A176="","",SUMIFS(Assignments!$I$2:$I$769,Assignments!$C$2:$C$769,$A176,Assignments!$G$2:$G$769,"Active"))</f>
        <v/>
      </c>
      <c r="S176" s="16" t="inlineStr">
        <is>
          <t>WIP</t>
        </is>
      </c>
      <c r="T176" s="27" t="n"/>
      <c r="U176" s="25" t="n"/>
      <c r="V176" s="22">
        <f>IF($U176="","",IFERROR(INDEX(Templates!$K$3:$K$10,MATCH($U176,Templates!$A$3:$A$10,0)),""))</f>
        <v/>
      </c>
      <c r="W176" s="22">
        <f>IF($U176="","",IFERROR(INDEX(Templates!$L$3:$L$10,MATCH($U176,Templates!$A$3:$A$10,0)),""))</f>
        <v/>
      </c>
      <c r="X176" s="23">
        <f>IF($U176="","",IFERROR(INDEX(Templates!$J$3:$J$10,MATCH($U176,Templates!$A$3:$A$10,0)),""))</f>
        <v/>
      </c>
      <c r="Y176" s="24">
        <f>IF(OR($U176="",$I176="",$J176="",$X176=""),"",$I176+$X176*($J176-$I176))</f>
        <v/>
      </c>
    </row>
    <row r="177">
      <c r="A177" s="15" t="inlineStr">
        <is>
          <t>Sunzia_3</t>
        </is>
      </c>
      <c r="B177" s="16" t="inlineStr">
        <is>
          <t>Muenchener Rueckversicherungs-Gesellschaft Aktiengesellschaft (Munich Re Group)</t>
        </is>
      </c>
      <c r="C177" s="15" t="inlineStr">
        <is>
          <t>Muenchener Rueckversicherungs-Gesellschaft Aktiengesellschaft (Munich Re Group)</t>
        </is>
      </c>
      <c r="D177" s="15" t="inlineStr"/>
      <c r="E177" s="15" t="inlineStr">
        <is>
          <t>No</t>
        </is>
      </c>
      <c r="F177" s="15" t="inlineStr">
        <is>
          <t>Active</t>
        </is>
      </c>
      <c r="G177" s="25" t="n"/>
      <c r="H177" s="17" t="n">
        <v>1</v>
      </c>
      <c r="I177" s="26" t="n"/>
      <c r="J177" s="26" t="n"/>
      <c r="K177" s="25" t="n"/>
      <c r="L177" s="25" t="n"/>
      <c r="M177" s="25" t="n"/>
      <c r="N177" s="25" t="n"/>
      <c r="O177" s="25" t="n"/>
      <c r="P177" s="25" t="n"/>
      <c r="Q177" s="19">
        <f>IF($A177="","",COUNTIFS(Assignments!$C$2:$C$769,$A177,Assignments!$G$2:$G$769,"Active"))</f>
        <v/>
      </c>
      <c r="R177" s="20">
        <f>IF($A177="","",SUMIFS(Assignments!$I$2:$I$769,Assignments!$C$2:$C$769,$A177,Assignments!$G$2:$G$769,"Active"))</f>
        <v/>
      </c>
      <c r="S177" s="16" t="inlineStr">
        <is>
          <t>WIP</t>
        </is>
      </c>
      <c r="T177" s="27" t="n"/>
      <c r="U177" s="25" t="n"/>
      <c r="V177" s="22">
        <f>IF($U177="","",IFERROR(INDEX(Templates!$K$3:$K$10,MATCH($U177,Templates!$A$3:$A$10,0)),""))</f>
        <v/>
      </c>
      <c r="W177" s="22">
        <f>IF($U177="","",IFERROR(INDEX(Templates!$L$3:$L$10,MATCH($U177,Templates!$A$3:$A$10,0)),""))</f>
        <v/>
      </c>
      <c r="X177" s="23">
        <f>IF($U177="","",IFERROR(INDEX(Templates!$J$3:$J$10,MATCH($U177,Templates!$A$3:$A$10,0)),""))</f>
        <v/>
      </c>
      <c r="Y177" s="24">
        <f>IF(OR($U177="",$I177="",$J177="",$X177=""),"",$I177+$X177*($J177-$I177))</f>
        <v/>
      </c>
    </row>
    <row r="178">
      <c r="A178" s="15" t="inlineStr">
        <is>
          <t>Tailgate_1</t>
        </is>
      </c>
      <c r="B178" s="16" t="inlineStr">
        <is>
          <t>CDS</t>
        </is>
      </c>
      <c r="C178" s="15" t="inlineStr">
        <is>
          <t>CDS</t>
        </is>
      </c>
      <c r="D178" s="15" t="inlineStr"/>
      <c r="E178" s="15" t="inlineStr">
        <is>
          <t>No</t>
        </is>
      </c>
      <c r="F178" s="15" t="inlineStr">
        <is>
          <t>Active</t>
        </is>
      </c>
      <c r="G178" s="25" t="n"/>
      <c r="H178" s="17" t="n">
        <v>1</v>
      </c>
      <c r="I178" s="26" t="n"/>
      <c r="J178" s="26" t="n"/>
      <c r="K178" s="25" t="n"/>
      <c r="L178" s="25" t="n"/>
      <c r="M178" s="25" t="n"/>
      <c r="N178" s="25" t="n"/>
      <c r="O178" s="25" t="n"/>
      <c r="P178" s="25" t="n"/>
      <c r="Q178" s="19">
        <f>IF($A178="","",COUNTIFS(Assignments!$C$2:$C$769,$A178,Assignments!$G$2:$G$769,"Active"))</f>
        <v/>
      </c>
      <c r="R178" s="20">
        <f>IF($A178="","",SUMIFS(Assignments!$I$2:$I$769,Assignments!$C$2:$C$769,$A178,Assignments!$G$2:$G$769,"Active"))</f>
        <v/>
      </c>
      <c r="S178" s="16" t="inlineStr">
        <is>
          <t>WIP</t>
        </is>
      </c>
      <c r="T178" s="27" t="n"/>
      <c r="U178" s="25" t="n"/>
      <c r="V178" s="22">
        <f>IF($U178="","",IFERROR(INDEX(Templates!$K$3:$K$10,MATCH($U178,Templates!$A$3:$A$10,0)),""))</f>
        <v/>
      </c>
      <c r="W178" s="22">
        <f>IF($U178="","",IFERROR(INDEX(Templates!$L$3:$L$10,MATCH($U178,Templates!$A$3:$A$10,0)),""))</f>
        <v/>
      </c>
      <c r="X178" s="23">
        <f>IF($U178="","",IFERROR(INDEX(Templates!$J$3:$J$10,MATCH($U178,Templates!$A$3:$A$10,0)),""))</f>
        <v/>
      </c>
      <c r="Y178" s="24">
        <f>IF(OR($U178="",$I178="",$J178="",$X178=""),"",$I178+$X178*($J178-$I178))</f>
        <v/>
      </c>
    </row>
    <row r="179">
      <c r="A179" s="15" t="inlineStr">
        <is>
          <t>Talon_1</t>
        </is>
      </c>
      <c r="B179" s="16" t="inlineStr">
        <is>
          <t>Twin Eagle</t>
        </is>
      </c>
      <c r="C179" s="15" t="inlineStr">
        <is>
          <t>Twin Eagle</t>
        </is>
      </c>
      <c r="D179" s="15" t="inlineStr"/>
      <c r="E179" s="15" t="inlineStr">
        <is>
          <t>No</t>
        </is>
      </c>
      <c r="F179" s="15" t="inlineStr">
        <is>
          <t>Active</t>
        </is>
      </c>
      <c r="G179" s="25" t="n"/>
      <c r="H179" s="17" t="n">
        <v>1</v>
      </c>
      <c r="I179" s="26" t="n"/>
      <c r="J179" s="26" t="n"/>
      <c r="K179" s="25" t="n"/>
      <c r="L179" s="25" t="n"/>
      <c r="M179" s="25" t="n"/>
      <c r="N179" s="25" t="n"/>
      <c r="O179" s="25" t="n"/>
      <c r="P179" s="25" t="n"/>
      <c r="Q179" s="19">
        <f>IF($A179="","",COUNTIFS(Assignments!$C$2:$C$769,$A179,Assignments!$G$2:$G$769,"Active"))</f>
        <v/>
      </c>
      <c r="R179" s="20">
        <f>IF($A179="","",SUMIFS(Assignments!$I$2:$I$769,Assignments!$C$2:$C$769,$A179,Assignments!$G$2:$G$769,"Active"))</f>
        <v/>
      </c>
      <c r="S179" s="16" t="inlineStr">
        <is>
          <t>WIP</t>
        </is>
      </c>
      <c r="T179" s="27" t="n"/>
      <c r="U179" s="25" t="n"/>
      <c r="V179" s="22">
        <f>IF($U179="","",IFERROR(INDEX(Templates!$K$3:$K$10,MATCH($U179,Templates!$A$3:$A$10,0)),""))</f>
        <v/>
      </c>
      <c r="W179" s="22">
        <f>IF($U179="","",IFERROR(INDEX(Templates!$L$3:$L$10,MATCH($U179,Templates!$A$3:$A$10,0)),""))</f>
        <v/>
      </c>
      <c r="X179" s="23">
        <f>IF($U179="","",IFERROR(INDEX(Templates!$J$3:$J$10,MATCH($U179,Templates!$A$3:$A$10,0)),""))</f>
        <v/>
      </c>
      <c r="Y179" s="24">
        <f>IF(OR($U179="",$I179="",$J179="",$X179=""),"",$I179+$X179*($J179-$I179))</f>
        <v/>
      </c>
    </row>
    <row r="180">
      <c r="A180" s="15" t="inlineStr">
        <is>
          <t>Tax_7</t>
        </is>
      </c>
      <c r="B180" s="16" t="inlineStr">
        <is>
          <t>reNRG TX 8 LLC</t>
        </is>
      </c>
      <c r="C180" s="15" t="inlineStr">
        <is>
          <t>reNRG TX 8 LLC</t>
        </is>
      </c>
      <c r="D180" s="15" t="inlineStr"/>
      <c r="E180" s="15" t="inlineStr">
        <is>
          <t>No</t>
        </is>
      </c>
      <c r="F180" s="15" t="inlineStr">
        <is>
          <t>Active</t>
        </is>
      </c>
      <c r="G180" s="25" t="n"/>
      <c r="H180" s="17" t="n">
        <v>1</v>
      </c>
      <c r="I180" s="26" t="n"/>
      <c r="J180" s="26" t="n"/>
      <c r="K180" s="25" t="n"/>
      <c r="L180" s="25" t="n"/>
      <c r="M180" s="25" t="n"/>
      <c r="N180" s="25" t="n"/>
      <c r="O180" s="25" t="n"/>
      <c r="P180" s="25" t="n"/>
      <c r="Q180" s="19">
        <f>IF($A180="","",COUNTIFS(Assignments!$C$2:$C$769,$A180,Assignments!$G$2:$G$769,"Active"))</f>
        <v/>
      </c>
      <c r="R180" s="20">
        <f>IF($A180="","",SUMIFS(Assignments!$I$2:$I$769,Assignments!$C$2:$C$769,$A180,Assignments!$G$2:$G$769,"Active"))</f>
        <v/>
      </c>
      <c r="S180" s="16" t="inlineStr">
        <is>
          <t>WIP</t>
        </is>
      </c>
      <c r="T180" s="27" t="n"/>
      <c r="U180" s="25" t="n"/>
      <c r="V180" s="22">
        <f>IF($U180="","",IFERROR(INDEX(Templates!$K$3:$K$10,MATCH($U180,Templates!$A$3:$A$10,0)),""))</f>
        <v/>
      </c>
      <c r="W180" s="22">
        <f>IF($U180="","",IFERROR(INDEX(Templates!$L$3:$L$10,MATCH($U180,Templates!$A$3:$A$10,0)),""))</f>
        <v/>
      </c>
      <c r="X180" s="23">
        <f>IF($U180="","",IFERROR(INDEX(Templates!$J$3:$J$10,MATCH($U180,Templates!$A$3:$A$10,0)),""))</f>
        <v/>
      </c>
      <c r="Y180" s="24">
        <f>IF(OR($U180="",$I180="",$J180="",$X180=""),"",$I180+$X180*($J180-$I180))</f>
        <v/>
      </c>
    </row>
    <row r="181">
      <c r="A181" s="15" t="inlineStr">
        <is>
          <t>Tax_8</t>
        </is>
      </c>
      <c r="B181" s="16" t="inlineStr">
        <is>
          <t>Uriel Renewables, Inc.</t>
        </is>
      </c>
      <c r="C181" s="15" t="inlineStr">
        <is>
          <t>Uriel Renewables, Inc.</t>
        </is>
      </c>
      <c r="D181" s="15" t="inlineStr"/>
      <c r="E181" s="15" t="inlineStr">
        <is>
          <t>No</t>
        </is>
      </c>
      <c r="F181" s="15" t="inlineStr">
        <is>
          <t>Active</t>
        </is>
      </c>
      <c r="G181" s="25" t="n"/>
      <c r="H181" s="17" t="n">
        <v>1</v>
      </c>
      <c r="I181" s="26" t="n"/>
      <c r="J181" s="26" t="n"/>
      <c r="K181" s="25" t="n"/>
      <c r="L181" s="25" t="n"/>
      <c r="M181" s="25" t="n"/>
      <c r="N181" s="25" t="n"/>
      <c r="O181" s="25" t="n"/>
      <c r="P181" s="25" t="n"/>
      <c r="Q181" s="19">
        <f>IF($A181="","",COUNTIFS(Assignments!$C$2:$C$769,$A181,Assignments!$G$2:$G$769,"Active"))</f>
        <v/>
      </c>
      <c r="R181" s="20">
        <f>IF($A181="","",SUMIFS(Assignments!$I$2:$I$769,Assignments!$C$2:$C$769,$A181,Assignments!$G$2:$G$769,"Active"))</f>
        <v/>
      </c>
      <c r="S181" s="16" t="inlineStr">
        <is>
          <t>WIP</t>
        </is>
      </c>
      <c r="T181" s="27" t="n"/>
      <c r="U181" s="25" t="n"/>
      <c r="V181" s="22">
        <f>IF($U181="","",IFERROR(INDEX(Templates!$K$3:$K$10,MATCH($U181,Templates!$A$3:$A$10,0)),""))</f>
        <v/>
      </c>
      <c r="W181" s="22">
        <f>IF($U181="","",IFERROR(INDEX(Templates!$L$3:$L$10,MATCH($U181,Templates!$A$3:$A$10,0)),""))</f>
        <v/>
      </c>
      <c r="X181" s="23">
        <f>IF($U181="","",IFERROR(INDEX(Templates!$J$3:$J$10,MATCH($U181,Templates!$A$3:$A$10,0)),""))</f>
        <v/>
      </c>
      <c r="Y181" s="24">
        <f>IF(OR($U181="",$I181="",$J181="",$X181=""),"",$I181+$X181*($J181-$I181))</f>
        <v/>
      </c>
    </row>
    <row r="182">
      <c r="A182" s="15" t="inlineStr">
        <is>
          <t>Tennessee_1</t>
        </is>
      </c>
      <c r="B182" s="16" t="inlineStr">
        <is>
          <t>Ardian : ASTM North America</t>
        </is>
      </c>
      <c r="C182" s="15" t="inlineStr">
        <is>
          <t>Ardian</t>
        </is>
      </c>
      <c r="D182" s="15" t="inlineStr">
        <is>
          <t>ASTM North America</t>
        </is>
      </c>
      <c r="E182" s="15" t="inlineStr">
        <is>
          <t>No</t>
        </is>
      </c>
      <c r="F182" s="15" t="inlineStr">
        <is>
          <t>Active</t>
        </is>
      </c>
      <c r="G182" s="25" t="n"/>
      <c r="H182" s="17" t="n">
        <v>1</v>
      </c>
      <c r="I182" s="26" t="n"/>
      <c r="J182" s="26" t="n"/>
      <c r="K182" s="25" t="n"/>
      <c r="L182" s="25" t="n"/>
      <c r="M182" s="25" t="n"/>
      <c r="N182" s="25" t="n"/>
      <c r="O182" s="25" t="n"/>
      <c r="P182" s="25" t="n"/>
      <c r="Q182" s="19">
        <f>IF($A182="","",COUNTIFS(Assignments!$C$2:$C$769,$A182,Assignments!$G$2:$G$769,"Active"))</f>
        <v/>
      </c>
      <c r="R182" s="20">
        <f>IF($A182="","",SUMIFS(Assignments!$I$2:$I$769,Assignments!$C$2:$C$769,$A182,Assignments!$G$2:$G$769,"Active"))</f>
        <v/>
      </c>
      <c r="S182" s="16" t="inlineStr">
        <is>
          <t>WIP</t>
        </is>
      </c>
      <c r="T182" s="27" t="n"/>
      <c r="U182" s="25" t="n"/>
      <c r="V182" s="22">
        <f>IF($U182="","",IFERROR(INDEX(Templates!$K$3:$K$10,MATCH($U182,Templates!$A$3:$A$10,0)),""))</f>
        <v/>
      </c>
      <c r="W182" s="22">
        <f>IF($U182="","",IFERROR(INDEX(Templates!$L$3:$L$10,MATCH($U182,Templates!$A$3:$A$10,0)),""))</f>
        <v/>
      </c>
      <c r="X182" s="23">
        <f>IF($U182="","",IFERROR(INDEX(Templates!$J$3:$J$10,MATCH($U182,Templates!$A$3:$A$10,0)),""))</f>
        <v/>
      </c>
      <c r="Y182" s="24">
        <f>IF(OR($U182="",$I182="",$J182="",$X182=""),"",$I182+$X182*($J182-$I182))</f>
        <v/>
      </c>
    </row>
    <row r="183">
      <c r="A183" s="15" t="inlineStr">
        <is>
          <t>TEP Structuring_3</t>
        </is>
      </c>
      <c r="B183" s="16" t="inlineStr">
        <is>
          <t>Trajectory Energy Partners</t>
        </is>
      </c>
      <c r="C183" s="15" t="inlineStr">
        <is>
          <t>Trajectory Energy Partners</t>
        </is>
      </c>
      <c r="D183" s="15" t="inlineStr"/>
      <c r="E183" s="15" t="inlineStr">
        <is>
          <t>No</t>
        </is>
      </c>
      <c r="F183" s="15" t="inlineStr">
        <is>
          <t>Active</t>
        </is>
      </c>
      <c r="G183" s="25" t="n"/>
      <c r="H183" s="17" t="n">
        <v>1</v>
      </c>
      <c r="I183" s="26" t="n"/>
      <c r="J183" s="26" t="n"/>
      <c r="K183" s="25" t="n"/>
      <c r="L183" s="25" t="n"/>
      <c r="M183" s="25" t="n"/>
      <c r="N183" s="25" t="n"/>
      <c r="O183" s="25" t="n"/>
      <c r="P183" s="25" t="n"/>
      <c r="Q183" s="19">
        <f>IF($A183="","",COUNTIFS(Assignments!$C$2:$C$769,$A183,Assignments!$G$2:$G$769,"Active"))</f>
        <v/>
      </c>
      <c r="R183" s="20">
        <f>IF($A183="","",SUMIFS(Assignments!$I$2:$I$769,Assignments!$C$2:$C$769,$A183,Assignments!$G$2:$G$769,"Active"))</f>
        <v/>
      </c>
      <c r="S183" s="16" t="inlineStr">
        <is>
          <t>WIP</t>
        </is>
      </c>
      <c r="T183" s="27" t="n"/>
      <c r="U183" s="25" t="n"/>
      <c r="V183" s="22">
        <f>IF($U183="","",IFERROR(INDEX(Templates!$K$3:$K$10,MATCH($U183,Templates!$A$3:$A$10,0)),""))</f>
        <v/>
      </c>
      <c r="W183" s="22">
        <f>IF($U183="","",IFERROR(INDEX(Templates!$L$3:$L$10,MATCH($U183,Templates!$A$3:$A$10,0)),""))</f>
        <v/>
      </c>
      <c r="X183" s="23">
        <f>IF($U183="","",IFERROR(INDEX(Templates!$J$3:$J$10,MATCH($U183,Templates!$A$3:$A$10,0)),""))</f>
        <v/>
      </c>
      <c r="Y183" s="24">
        <f>IF(OR($U183="",$I183="",$J183="",$X183=""),"",$I183+$X183*($J183-$I183))</f>
        <v/>
      </c>
    </row>
    <row r="184">
      <c r="A184" s="15" t="inlineStr">
        <is>
          <t>TEP Tax_1</t>
        </is>
      </c>
      <c r="B184" s="16" t="inlineStr">
        <is>
          <t>TEP Tax_1</t>
        </is>
      </c>
      <c r="C184" s="15" t="inlineStr">
        <is>
          <t>TEP Tax_1</t>
        </is>
      </c>
      <c r="D184" s="15" t="inlineStr"/>
      <c r="E184" s="15" t="inlineStr">
        <is>
          <t>No</t>
        </is>
      </c>
      <c r="F184" s="15" t="inlineStr">
        <is>
          <t>Active</t>
        </is>
      </c>
      <c r="G184" s="25" t="n"/>
      <c r="H184" s="17" t="n">
        <v>1</v>
      </c>
      <c r="I184" s="26" t="n"/>
      <c r="J184" s="26" t="n"/>
      <c r="K184" s="25" t="n"/>
      <c r="L184" s="25" t="n"/>
      <c r="M184" s="25" t="n"/>
      <c r="N184" s="25" t="n"/>
      <c r="O184" s="25" t="n"/>
      <c r="P184" s="25" t="n"/>
      <c r="Q184" s="19">
        <f>IF($A184="","",COUNTIFS(Assignments!$C$2:$C$769,$A184,Assignments!$G$2:$G$769,"Active"))</f>
        <v/>
      </c>
      <c r="R184" s="20">
        <f>IF($A184="","",SUMIFS(Assignments!$I$2:$I$769,Assignments!$C$2:$C$769,$A184,Assignments!$G$2:$G$769,"Active"))</f>
        <v/>
      </c>
      <c r="S184" s="16" t="inlineStr">
        <is>
          <t>WIP</t>
        </is>
      </c>
      <c r="T184" s="27" t="n"/>
      <c r="U184" s="25" t="n"/>
      <c r="V184" s="22">
        <f>IF($U184="","",IFERROR(INDEX(Templates!$K$3:$K$10,MATCH($U184,Templates!$A$3:$A$10,0)),""))</f>
        <v/>
      </c>
      <c r="W184" s="22">
        <f>IF($U184="","",IFERROR(INDEX(Templates!$L$3:$L$10,MATCH($U184,Templates!$A$3:$A$10,0)),""))</f>
        <v/>
      </c>
      <c r="X184" s="23">
        <f>IF($U184="","",IFERROR(INDEX(Templates!$J$3:$J$10,MATCH($U184,Templates!$A$3:$A$10,0)),""))</f>
        <v/>
      </c>
      <c r="Y184" s="24">
        <f>IF(OR($U184="",$I184="",$J184="",$X184=""),"",$I184+$X184*($J184-$I184))</f>
        <v/>
      </c>
    </row>
    <row r="185">
      <c r="A185" s="15" t="inlineStr">
        <is>
          <t>Theoden_1</t>
        </is>
      </c>
      <c r="B185" s="16" t="inlineStr">
        <is>
          <t>SkyKnight Capital</t>
        </is>
      </c>
      <c r="C185" s="15" t="inlineStr">
        <is>
          <t>SkyKnight Capital</t>
        </is>
      </c>
      <c r="D185" s="15" t="inlineStr"/>
      <c r="E185" s="15" t="inlineStr">
        <is>
          <t>No</t>
        </is>
      </c>
      <c r="F185" s="15" t="inlineStr">
        <is>
          <t>Active</t>
        </is>
      </c>
      <c r="G185" s="25" t="n"/>
      <c r="H185" s="17" t="n">
        <v>1</v>
      </c>
      <c r="I185" s="26" t="n"/>
      <c r="J185" s="26" t="n"/>
      <c r="K185" s="25" t="n"/>
      <c r="L185" s="25" t="n"/>
      <c r="M185" s="25" t="n"/>
      <c r="N185" s="25" t="n"/>
      <c r="O185" s="25" t="n"/>
      <c r="P185" s="25" t="n"/>
      <c r="Q185" s="19">
        <f>IF($A185="","",COUNTIFS(Assignments!$C$2:$C$769,$A185,Assignments!$G$2:$G$769,"Active"))</f>
        <v/>
      </c>
      <c r="R185" s="20">
        <f>IF($A185="","",SUMIFS(Assignments!$I$2:$I$769,Assignments!$C$2:$C$769,$A185,Assignments!$G$2:$G$769,"Active"))</f>
        <v/>
      </c>
      <c r="S185" s="16" t="inlineStr">
        <is>
          <t>WIP</t>
        </is>
      </c>
      <c r="T185" s="27" t="n"/>
      <c r="U185" s="25" t="n"/>
      <c r="V185" s="22">
        <f>IF($U185="","",IFERROR(INDEX(Templates!$K$3:$K$10,MATCH($U185,Templates!$A$3:$A$10,0)),""))</f>
        <v/>
      </c>
      <c r="W185" s="22">
        <f>IF($U185="","",IFERROR(INDEX(Templates!$L$3:$L$10,MATCH($U185,Templates!$A$3:$A$10,0)),""))</f>
        <v/>
      </c>
      <c r="X185" s="23">
        <f>IF($U185="","",IFERROR(INDEX(Templates!$J$3:$J$10,MATCH($U185,Templates!$A$3:$A$10,0)),""))</f>
        <v/>
      </c>
      <c r="Y185" s="24">
        <f>IF(OR($U185="",$I185="",$J185="",$X185=""),"",$I185+$X185*($J185-$I185))</f>
        <v/>
      </c>
    </row>
    <row r="186">
      <c r="A186" s="15" t="inlineStr">
        <is>
          <t>Torch_4</t>
        </is>
      </c>
      <c r="B186" s="16" t="inlineStr">
        <is>
          <t>Morgan Stanley : Morgan Stanley Infrastructure Partners : Torch Clean Energy</t>
        </is>
      </c>
      <c r="C186" s="15" t="inlineStr">
        <is>
          <t>Morgan Stanley</t>
        </is>
      </c>
      <c r="D186" s="15" t="inlineStr">
        <is>
          <t>Torch Clean Energy</t>
        </is>
      </c>
      <c r="E186" s="15" t="inlineStr">
        <is>
          <t>No</t>
        </is>
      </c>
      <c r="F186" s="15" t="inlineStr">
        <is>
          <t>Active</t>
        </is>
      </c>
      <c r="G186" s="25" t="n"/>
      <c r="H186" s="17" t="n">
        <v>1</v>
      </c>
      <c r="I186" s="26" t="n"/>
      <c r="J186" s="26" t="n"/>
      <c r="K186" s="25" t="n"/>
      <c r="L186" s="25" t="n"/>
      <c r="M186" s="25" t="n"/>
      <c r="N186" s="25" t="n"/>
      <c r="O186" s="25" t="n"/>
      <c r="P186" s="25" t="n"/>
      <c r="Q186" s="19">
        <f>IF($A186="","",COUNTIFS(Assignments!$C$2:$C$769,$A186,Assignments!$G$2:$G$769,"Active"))</f>
        <v/>
      </c>
      <c r="R186" s="20">
        <f>IF($A186="","",SUMIFS(Assignments!$I$2:$I$769,Assignments!$C$2:$C$769,$A186,Assignments!$G$2:$G$769,"Active"))</f>
        <v/>
      </c>
      <c r="S186" s="16" t="inlineStr">
        <is>
          <t>WIP</t>
        </is>
      </c>
      <c r="T186" s="27" t="n"/>
      <c r="U186" s="25" t="n"/>
      <c r="V186" s="22">
        <f>IF($U186="","",IFERROR(INDEX(Templates!$K$3:$K$10,MATCH($U186,Templates!$A$3:$A$10,0)),""))</f>
        <v/>
      </c>
      <c r="W186" s="22">
        <f>IF($U186="","",IFERROR(INDEX(Templates!$L$3:$L$10,MATCH($U186,Templates!$A$3:$A$10,0)),""))</f>
        <v/>
      </c>
      <c r="X186" s="23">
        <f>IF($U186="","",IFERROR(INDEX(Templates!$J$3:$J$10,MATCH($U186,Templates!$A$3:$A$10,0)),""))</f>
        <v/>
      </c>
      <c r="Y186" s="24">
        <f>IF(OR($U186="",$I186="",$J186="",$X186=""),"",$I186+$X186*($J186-$I186))</f>
        <v/>
      </c>
    </row>
    <row r="187">
      <c r="A187" s="15" t="inlineStr">
        <is>
          <t>Truman_1</t>
        </is>
      </c>
      <c r="B187" s="16" t="inlineStr">
        <is>
          <t>RELX Plc</t>
        </is>
      </c>
      <c r="C187" s="15" t="inlineStr">
        <is>
          <t>RELX Plc</t>
        </is>
      </c>
      <c r="D187" s="15" t="inlineStr"/>
      <c r="E187" s="15" t="inlineStr">
        <is>
          <t>No</t>
        </is>
      </c>
      <c r="F187" s="15" t="inlineStr">
        <is>
          <t>Active</t>
        </is>
      </c>
      <c r="G187" s="25" t="n"/>
      <c r="H187" s="17" t="n">
        <v>1</v>
      </c>
      <c r="I187" s="26" t="n"/>
      <c r="J187" s="26" t="n"/>
      <c r="K187" s="25" t="n"/>
      <c r="L187" s="25" t="n"/>
      <c r="M187" s="25" t="n"/>
      <c r="N187" s="25" t="n"/>
      <c r="O187" s="25" t="n"/>
      <c r="P187" s="25" t="n"/>
      <c r="Q187" s="19">
        <f>IF($A187="","",COUNTIFS(Assignments!$C$2:$C$769,$A187,Assignments!$G$2:$G$769,"Active"))</f>
        <v/>
      </c>
      <c r="R187" s="20">
        <f>IF($A187="","",SUMIFS(Assignments!$I$2:$I$769,Assignments!$C$2:$C$769,$A187,Assignments!$G$2:$G$769,"Active"))</f>
        <v/>
      </c>
      <c r="S187" s="16" t="inlineStr">
        <is>
          <t>WIP</t>
        </is>
      </c>
      <c r="T187" s="27" t="n"/>
      <c r="U187" s="25" t="n"/>
      <c r="V187" s="22">
        <f>IF($U187="","",IFERROR(INDEX(Templates!$K$3:$K$10,MATCH($U187,Templates!$A$3:$A$10,0)),""))</f>
        <v/>
      </c>
      <c r="W187" s="22">
        <f>IF($U187="","",IFERROR(INDEX(Templates!$L$3:$L$10,MATCH($U187,Templates!$A$3:$A$10,0)),""))</f>
        <v/>
      </c>
      <c r="X187" s="23">
        <f>IF($U187="","",IFERROR(INDEX(Templates!$J$3:$J$10,MATCH($U187,Templates!$A$3:$A$10,0)),""))</f>
        <v/>
      </c>
      <c r="Y187" s="24">
        <f>IF(OR($U187="",$I187="",$J187="",$X187=""),"",$I187+$X187*($J187-$I187))</f>
        <v/>
      </c>
    </row>
    <row r="188">
      <c r="A188" s="15" t="inlineStr">
        <is>
          <t>Truman_2</t>
        </is>
      </c>
      <c r="B188" s="16" t="inlineStr">
        <is>
          <t>Morgan Stanley : Morgan Stanley Infrastructure Partners</t>
        </is>
      </c>
      <c r="C188" s="15" t="inlineStr">
        <is>
          <t>Morgan Stanley</t>
        </is>
      </c>
      <c r="D188" s="15" t="inlineStr">
        <is>
          <t>Morgan Stanley Infrastructure Partners</t>
        </is>
      </c>
      <c r="E188" s="15" t="inlineStr">
        <is>
          <t>No</t>
        </is>
      </c>
      <c r="F188" s="15" t="inlineStr">
        <is>
          <t>Active</t>
        </is>
      </c>
      <c r="G188" s="25" t="n"/>
      <c r="H188" s="17" t="n">
        <v>1</v>
      </c>
      <c r="I188" s="26" t="n"/>
      <c r="J188" s="26" t="n"/>
      <c r="K188" s="25" t="n"/>
      <c r="L188" s="25" t="n"/>
      <c r="M188" s="25" t="n"/>
      <c r="N188" s="25" t="n"/>
      <c r="O188" s="25" t="n"/>
      <c r="P188" s="25" t="n"/>
      <c r="Q188" s="19">
        <f>IF($A188="","",COUNTIFS(Assignments!$C$2:$C$769,$A188,Assignments!$G$2:$G$769,"Active"))</f>
        <v/>
      </c>
      <c r="R188" s="20">
        <f>IF($A188="","",SUMIFS(Assignments!$I$2:$I$769,Assignments!$C$2:$C$769,$A188,Assignments!$G$2:$G$769,"Active"))</f>
        <v/>
      </c>
      <c r="S188" s="16" t="inlineStr">
        <is>
          <t>WIP</t>
        </is>
      </c>
      <c r="T188" s="27" t="n"/>
      <c r="U188" s="25" t="n"/>
      <c r="V188" s="22">
        <f>IF($U188="","",IFERROR(INDEX(Templates!$K$3:$K$10,MATCH($U188,Templates!$A$3:$A$10,0)),""))</f>
        <v/>
      </c>
      <c r="W188" s="22">
        <f>IF($U188="","",IFERROR(INDEX(Templates!$L$3:$L$10,MATCH($U188,Templates!$A$3:$A$10,0)),""))</f>
        <v/>
      </c>
      <c r="X188" s="23">
        <f>IF($U188="","",IFERROR(INDEX(Templates!$J$3:$J$10,MATCH($U188,Templates!$A$3:$A$10,0)),""))</f>
        <v/>
      </c>
      <c r="Y188" s="24">
        <f>IF(OR($U188="",$I188="",$J188="",$X188=""),"",$I188+$X188*($J188-$I188))</f>
        <v/>
      </c>
    </row>
    <row r="189">
      <c r="A189" s="15" t="inlineStr">
        <is>
          <t>Ulysses_2</t>
        </is>
      </c>
      <c r="B189" s="16" t="inlineStr">
        <is>
          <t>Ethos Specialty Insurance Services</t>
        </is>
      </c>
      <c r="C189" s="15" t="inlineStr">
        <is>
          <t>Ethos Specialty Insurance Services</t>
        </is>
      </c>
      <c r="D189" s="15" t="inlineStr"/>
      <c r="E189" s="15" t="inlineStr">
        <is>
          <t>No</t>
        </is>
      </c>
      <c r="F189" s="15" t="inlineStr">
        <is>
          <t>Active</t>
        </is>
      </c>
      <c r="G189" s="25" t="n"/>
      <c r="H189" s="17" t="n">
        <v>1</v>
      </c>
      <c r="I189" s="26" t="n"/>
      <c r="J189" s="26" t="n"/>
      <c r="K189" s="25" t="n"/>
      <c r="L189" s="25" t="n"/>
      <c r="M189" s="25" t="n"/>
      <c r="N189" s="25" t="n"/>
      <c r="O189" s="25" t="n"/>
      <c r="P189" s="25" t="n"/>
      <c r="Q189" s="19">
        <f>IF($A189="","",COUNTIFS(Assignments!$C$2:$C$769,$A189,Assignments!$G$2:$G$769,"Active"))</f>
        <v/>
      </c>
      <c r="R189" s="20">
        <f>IF($A189="","",SUMIFS(Assignments!$I$2:$I$769,Assignments!$C$2:$C$769,$A189,Assignments!$G$2:$G$769,"Active"))</f>
        <v/>
      </c>
      <c r="S189" s="16" t="inlineStr">
        <is>
          <t>WIP</t>
        </is>
      </c>
      <c r="T189" s="27" t="n"/>
      <c r="U189" s="25" t="n"/>
      <c r="V189" s="22">
        <f>IF($U189="","",IFERROR(INDEX(Templates!$K$3:$K$10,MATCH($U189,Templates!$A$3:$A$10,0)),""))</f>
        <v/>
      </c>
      <c r="W189" s="22">
        <f>IF($U189="","",IFERROR(INDEX(Templates!$L$3:$L$10,MATCH($U189,Templates!$A$3:$A$10,0)),""))</f>
        <v/>
      </c>
      <c r="X189" s="23">
        <f>IF($U189="","",IFERROR(INDEX(Templates!$J$3:$J$10,MATCH($U189,Templates!$A$3:$A$10,0)),""))</f>
        <v/>
      </c>
      <c r="Y189" s="24">
        <f>IF(OR($U189="",$I189="",$J189="",$X189=""),"",$I189+$X189*($J189-$I189))</f>
        <v/>
      </c>
    </row>
    <row r="190">
      <c r="A190" s="15" t="inlineStr">
        <is>
          <t>Upstream_3</t>
        </is>
      </c>
      <c r="B190" s="16" t="inlineStr">
        <is>
          <t>Upstream LLC</t>
        </is>
      </c>
      <c r="C190" s="15" t="inlineStr">
        <is>
          <t>Upstream LLC</t>
        </is>
      </c>
      <c r="D190" s="15" t="inlineStr"/>
      <c r="E190" s="15" t="inlineStr">
        <is>
          <t>No</t>
        </is>
      </c>
      <c r="F190" s="15" t="inlineStr">
        <is>
          <t>Active</t>
        </is>
      </c>
      <c r="G190" s="25" t="n"/>
      <c r="H190" s="17" t="n">
        <v>1</v>
      </c>
      <c r="I190" s="26" t="n"/>
      <c r="J190" s="26" t="n"/>
      <c r="K190" s="25" t="n"/>
      <c r="L190" s="25" t="n"/>
      <c r="M190" s="25" t="n"/>
      <c r="N190" s="25" t="n"/>
      <c r="O190" s="25" t="n"/>
      <c r="P190" s="25" t="n"/>
      <c r="Q190" s="19">
        <f>IF($A190="","",COUNTIFS(Assignments!$C$2:$C$769,$A190,Assignments!$G$2:$G$769,"Active"))</f>
        <v/>
      </c>
      <c r="R190" s="20">
        <f>IF($A190="","",SUMIFS(Assignments!$I$2:$I$769,Assignments!$C$2:$C$769,$A190,Assignments!$G$2:$G$769,"Active"))</f>
        <v/>
      </c>
      <c r="S190" s="16" t="inlineStr">
        <is>
          <t>WIP</t>
        </is>
      </c>
      <c r="T190" s="27" t="n"/>
      <c r="U190" s="25" t="n"/>
      <c r="V190" s="22">
        <f>IF($U190="","",IFERROR(INDEX(Templates!$K$3:$K$10,MATCH($U190,Templates!$A$3:$A$10,0)),""))</f>
        <v/>
      </c>
      <c r="W190" s="22">
        <f>IF($U190="","",IFERROR(INDEX(Templates!$L$3:$L$10,MATCH($U190,Templates!$A$3:$A$10,0)),""))</f>
        <v/>
      </c>
      <c r="X190" s="23">
        <f>IF($U190="","",IFERROR(INDEX(Templates!$J$3:$J$10,MATCH($U190,Templates!$A$3:$A$10,0)),""))</f>
        <v/>
      </c>
      <c r="Y190" s="24">
        <f>IF(OR($U190="",$I190="",$J190="",$X190=""),"",$I190+$X190*($J190-$I190))</f>
        <v/>
      </c>
    </row>
    <row r="191">
      <c r="A191" s="15" t="inlineStr">
        <is>
          <t>Ursa_1</t>
        </is>
      </c>
      <c r="B191" s="16" t="inlineStr">
        <is>
          <t>Ares Management Corporation</t>
        </is>
      </c>
      <c r="C191" s="15" t="inlineStr">
        <is>
          <t>Ares Management Corporation</t>
        </is>
      </c>
      <c r="D191" s="15" t="inlineStr"/>
      <c r="E191" s="15" t="inlineStr">
        <is>
          <t>No</t>
        </is>
      </c>
      <c r="F191" s="15" t="inlineStr">
        <is>
          <t>Active</t>
        </is>
      </c>
      <c r="G191" s="25" t="n"/>
      <c r="H191" s="17" t="n">
        <v>1</v>
      </c>
      <c r="I191" s="26" t="n"/>
      <c r="J191" s="26" t="n"/>
      <c r="K191" s="25" t="n"/>
      <c r="L191" s="25" t="n"/>
      <c r="M191" s="25" t="n"/>
      <c r="N191" s="25" t="n"/>
      <c r="O191" s="25" t="n"/>
      <c r="P191" s="25" t="n"/>
      <c r="Q191" s="19">
        <f>IF($A191="","",COUNTIFS(Assignments!$C$2:$C$769,$A191,Assignments!$G$2:$G$769,"Active"))</f>
        <v/>
      </c>
      <c r="R191" s="20">
        <f>IF($A191="","",SUMIFS(Assignments!$I$2:$I$769,Assignments!$C$2:$C$769,$A191,Assignments!$G$2:$G$769,"Active"))</f>
        <v/>
      </c>
      <c r="S191" s="16" t="inlineStr">
        <is>
          <t>WIP</t>
        </is>
      </c>
      <c r="T191" s="27" t="n"/>
      <c r="U191" s="25" t="n"/>
      <c r="V191" s="22">
        <f>IF($U191="","",IFERROR(INDEX(Templates!$K$3:$K$10,MATCH($U191,Templates!$A$3:$A$10,0)),""))</f>
        <v/>
      </c>
      <c r="W191" s="22">
        <f>IF($U191="","",IFERROR(INDEX(Templates!$L$3:$L$10,MATCH($U191,Templates!$A$3:$A$10,0)),""))</f>
        <v/>
      </c>
      <c r="X191" s="23">
        <f>IF($U191="","",IFERROR(INDEX(Templates!$J$3:$J$10,MATCH($U191,Templates!$A$3:$A$10,0)),""))</f>
        <v/>
      </c>
      <c r="Y191" s="24">
        <f>IF(OR($U191="",$I191="",$J191="",$X191=""),"",$I191+$X191*($J191-$I191))</f>
        <v/>
      </c>
    </row>
    <row r="192">
      <c r="A192" s="15" t="inlineStr">
        <is>
          <t>ValorC3_1</t>
        </is>
      </c>
      <c r="B192" s="16" t="inlineStr">
        <is>
          <t>CVC Capital Partners : DIF Capital Partners : ValorC3</t>
        </is>
      </c>
      <c r="C192" s="15" t="inlineStr">
        <is>
          <t>CVC Capital Partners</t>
        </is>
      </c>
      <c r="D192" s="15" t="inlineStr">
        <is>
          <t>ValorC3</t>
        </is>
      </c>
      <c r="E192" s="15" t="inlineStr">
        <is>
          <t>No</t>
        </is>
      </c>
      <c r="F192" s="15" t="inlineStr">
        <is>
          <t>Active</t>
        </is>
      </c>
      <c r="G192" s="25" t="n"/>
      <c r="H192" s="17" t="n">
        <v>1</v>
      </c>
      <c r="I192" s="26" t="n"/>
      <c r="J192" s="26" t="n"/>
      <c r="K192" s="25" t="n"/>
      <c r="L192" s="25" t="n"/>
      <c r="M192" s="25" t="n"/>
      <c r="N192" s="25" t="n"/>
      <c r="O192" s="25" t="n"/>
      <c r="P192" s="25" t="n"/>
      <c r="Q192" s="19">
        <f>IF($A192="","",COUNTIFS(Assignments!$C$2:$C$769,$A192,Assignments!$G$2:$G$769,"Active"))</f>
        <v/>
      </c>
      <c r="R192" s="20">
        <f>IF($A192="","",SUMIFS(Assignments!$I$2:$I$769,Assignments!$C$2:$C$769,$A192,Assignments!$G$2:$G$769,"Active"))</f>
        <v/>
      </c>
      <c r="S192" s="16" t="inlineStr">
        <is>
          <t>WIP</t>
        </is>
      </c>
      <c r="T192" s="27" t="n"/>
      <c r="U192" s="25" t="n"/>
      <c r="V192" s="22">
        <f>IF($U192="","",IFERROR(INDEX(Templates!$K$3:$K$10,MATCH($U192,Templates!$A$3:$A$10,0)),""))</f>
        <v/>
      </c>
      <c r="W192" s="22">
        <f>IF($U192="","",IFERROR(INDEX(Templates!$L$3:$L$10,MATCH($U192,Templates!$A$3:$A$10,0)),""))</f>
        <v/>
      </c>
      <c r="X192" s="23">
        <f>IF($U192="","",IFERROR(INDEX(Templates!$J$3:$J$10,MATCH($U192,Templates!$A$3:$A$10,0)),""))</f>
        <v/>
      </c>
      <c r="Y192" s="24">
        <f>IF(OR($U192="",$I192="",$J192="",$X192=""),"",$I192+$X192*($J192-$I192))</f>
        <v/>
      </c>
    </row>
    <row r="193">
      <c r="A193" s="15" t="inlineStr">
        <is>
          <t>Vega_1</t>
        </is>
      </c>
      <c r="B193" s="16" t="inlineStr">
        <is>
          <t>Vitol : VC Renewables</t>
        </is>
      </c>
      <c r="C193" s="15" t="inlineStr">
        <is>
          <t>Vitol</t>
        </is>
      </c>
      <c r="D193" s="15" t="inlineStr">
        <is>
          <t>VC Renewables</t>
        </is>
      </c>
      <c r="E193" s="15" t="inlineStr">
        <is>
          <t>No</t>
        </is>
      </c>
      <c r="F193" s="15" t="inlineStr">
        <is>
          <t>Active</t>
        </is>
      </c>
      <c r="G193" s="25" t="n"/>
      <c r="H193" s="17" t="n">
        <v>1</v>
      </c>
      <c r="I193" s="26" t="n"/>
      <c r="J193" s="26" t="n"/>
      <c r="K193" s="25" t="n"/>
      <c r="L193" s="25" t="n"/>
      <c r="M193" s="25" t="n"/>
      <c r="N193" s="25" t="n"/>
      <c r="O193" s="25" t="n"/>
      <c r="P193" s="25" t="n"/>
      <c r="Q193" s="19">
        <f>IF($A193="","",COUNTIFS(Assignments!$C$2:$C$769,$A193,Assignments!$G$2:$G$769,"Active"))</f>
        <v/>
      </c>
      <c r="R193" s="20">
        <f>IF($A193="","",SUMIFS(Assignments!$I$2:$I$769,Assignments!$C$2:$C$769,$A193,Assignments!$G$2:$G$769,"Active"))</f>
        <v/>
      </c>
      <c r="S193" s="16" t="inlineStr">
        <is>
          <t>WIP</t>
        </is>
      </c>
      <c r="T193" s="27" t="n"/>
      <c r="U193" s="25" t="n"/>
      <c r="V193" s="22">
        <f>IF($U193="","",IFERROR(INDEX(Templates!$K$3:$K$10,MATCH($U193,Templates!$A$3:$A$10,0)),""))</f>
        <v/>
      </c>
      <c r="W193" s="22">
        <f>IF($U193="","",IFERROR(INDEX(Templates!$L$3:$L$10,MATCH($U193,Templates!$A$3:$A$10,0)),""))</f>
        <v/>
      </c>
      <c r="X193" s="23">
        <f>IF($U193="","",IFERROR(INDEX(Templates!$J$3:$J$10,MATCH($U193,Templates!$A$3:$A$10,0)),""))</f>
        <v/>
      </c>
      <c r="Y193" s="24">
        <f>IF(OR($U193="",$I193="",$J193="",$X193=""),"",$I193+$X193*($J193-$I193))</f>
        <v/>
      </c>
    </row>
    <row r="194">
      <c r="A194" s="15" t="inlineStr">
        <is>
          <t>Veritas_1</t>
        </is>
      </c>
      <c r="B194" s="16" t="inlineStr">
        <is>
          <t>Manulife : John Hancock</t>
        </is>
      </c>
      <c r="C194" s="15" t="inlineStr">
        <is>
          <t>Manulife</t>
        </is>
      </c>
      <c r="D194" s="15" t="inlineStr">
        <is>
          <t>John Hancock</t>
        </is>
      </c>
      <c r="E194" s="15" t="inlineStr">
        <is>
          <t>No</t>
        </is>
      </c>
      <c r="F194" s="15" t="inlineStr">
        <is>
          <t>Active</t>
        </is>
      </c>
      <c r="G194" s="25" t="n"/>
      <c r="H194" s="17" t="n">
        <v>1</v>
      </c>
      <c r="I194" s="26" t="n"/>
      <c r="J194" s="26" t="n"/>
      <c r="K194" s="25" t="n"/>
      <c r="L194" s="25" t="n"/>
      <c r="M194" s="25" t="n"/>
      <c r="N194" s="25" t="n"/>
      <c r="O194" s="25" t="n"/>
      <c r="P194" s="25" t="n"/>
      <c r="Q194" s="19">
        <f>IF($A194="","",COUNTIFS(Assignments!$C$2:$C$769,$A194,Assignments!$G$2:$G$769,"Active"))</f>
        <v/>
      </c>
      <c r="R194" s="20">
        <f>IF($A194="","",SUMIFS(Assignments!$I$2:$I$769,Assignments!$C$2:$C$769,$A194,Assignments!$G$2:$G$769,"Active"))</f>
        <v/>
      </c>
      <c r="S194" s="16" t="inlineStr">
        <is>
          <t>WIP</t>
        </is>
      </c>
      <c r="T194" s="27" t="n"/>
      <c r="U194" s="25" t="n"/>
      <c r="V194" s="22">
        <f>IF($U194="","",IFERROR(INDEX(Templates!$K$3:$K$10,MATCH($U194,Templates!$A$3:$A$10,0)),""))</f>
        <v/>
      </c>
      <c r="W194" s="22">
        <f>IF($U194="","",IFERROR(INDEX(Templates!$L$3:$L$10,MATCH($U194,Templates!$A$3:$A$10,0)),""))</f>
        <v/>
      </c>
      <c r="X194" s="23">
        <f>IF($U194="","",IFERROR(INDEX(Templates!$J$3:$J$10,MATCH($U194,Templates!$A$3:$A$10,0)),""))</f>
        <v/>
      </c>
      <c r="Y194" s="24">
        <f>IF(OR($U194="",$I194="",$J194="",$X194=""),"",$I194+$X194*($J194-$I194))</f>
        <v/>
      </c>
    </row>
    <row r="195">
      <c r="A195" s="15" t="inlineStr">
        <is>
          <t>Vero_1</t>
        </is>
      </c>
      <c r="B195" s="16" t="inlineStr">
        <is>
          <t>Euclid Transactional</t>
        </is>
      </c>
      <c r="C195" s="15" t="inlineStr">
        <is>
          <t>Euclid Transactional</t>
        </is>
      </c>
      <c r="D195" s="15" t="inlineStr"/>
      <c r="E195" s="15" t="inlineStr">
        <is>
          <t>No</t>
        </is>
      </c>
      <c r="F195" s="15" t="inlineStr">
        <is>
          <t>Active</t>
        </is>
      </c>
      <c r="G195" s="25" t="n"/>
      <c r="H195" s="17" t="n">
        <v>1</v>
      </c>
      <c r="I195" s="26" t="n"/>
      <c r="J195" s="26" t="n"/>
      <c r="K195" s="25" t="n"/>
      <c r="L195" s="25" t="n"/>
      <c r="M195" s="25" t="n"/>
      <c r="N195" s="25" t="n"/>
      <c r="O195" s="25" t="n"/>
      <c r="P195" s="25" t="n"/>
      <c r="Q195" s="19">
        <f>IF($A195="","",COUNTIFS(Assignments!$C$2:$C$769,$A195,Assignments!$G$2:$G$769,"Active"))</f>
        <v/>
      </c>
      <c r="R195" s="20">
        <f>IF($A195="","",SUMIFS(Assignments!$I$2:$I$769,Assignments!$C$2:$C$769,$A195,Assignments!$G$2:$G$769,"Active"))</f>
        <v/>
      </c>
      <c r="S195" s="16" t="inlineStr">
        <is>
          <t>WIP</t>
        </is>
      </c>
      <c r="T195" s="27" t="n"/>
      <c r="U195" s="25" t="n"/>
      <c r="V195" s="22">
        <f>IF($U195="","",IFERROR(INDEX(Templates!$K$3:$K$10,MATCH($U195,Templates!$A$3:$A$10,0)),""))</f>
        <v/>
      </c>
      <c r="W195" s="22">
        <f>IF($U195="","",IFERROR(INDEX(Templates!$L$3:$L$10,MATCH($U195,Templates!$A$3:$A$10,0)),""))</f>
        <v/>
      </c>
      <c r="X195" s="23">
        <f>IF($U195="","",IFERROR(INDEX(Templates!$J$3:$J$10,MATCH($U195,Templates!$A$3:$A$10,0)),""))</f>
        <v/>
      </c>
      <c r="Y195" s="24">
        <f>IF(OR($U195="",$I195="",$J195="",$X195=""),"",$I195+$X195*($J195-$I195))</f>
        <v/>
      </c>
    </row>
    <row r="196">
      <c r="A196" s="15" t="inlineStr">
        <is>
          <t>Voyager_1</t>
        </is>
      </c>
      <c r="B196" s="16" t="inlineStr">
        <is>
          <t>Ares Management Corporation</t>
        </is>
      </c>
      <c r="C196" s="15" t="inlineStr">
        <is>
          <t>Ares Management Corporation</t>
        </is>
      </c>
      <c r="D196" s="15" t="inlineStr"/>
      <c r="E196" s="15" t="inlineStr">
        <is>
          <t>No</t>
        </is>
      </c>
      <c r="F196" s="15" t="inlineStr">
        <is>
          <t>Active</t>
        </is>
      </c>
      <c r="G196" s="25" t="n"/>
      <c r="H196" s="17" t="n">
        <v>1</v>
      </c>
      <c r="I196" s="26" t="n"/>
      <c r="J196" s="26" t="n"/>
      <c r="K196" s="25" t="n"/>
      <c r="L196" s="25" t="n"/>
      <c r="M196" s="25" t="n"/>
      <c r="N196" s="25" t="n"/>
      <c r="O196" s="25" t="n"/>
      <c r="P196" s="25" t="n"/>
      <c r="Q196" s="19">
        <f>IF($A196="","",COUNTIFS(Assignments!$C$2:$C$769,$A196,Assignments!$G$2:$G$769,"Active"))</f>
        <v/>
      </c>
      <c r="R196" s="20">
        <f>IF($A196="","",SUMIFS(Assignments!$I$2:$I$769,Assignments!$C$2:$C$769,$A196,Assignments!$G$2:$G$769,"Active"))</f>
        <v/>
      </c>
      <c r="S196" s="16" t="inlineStr">
        <is>
          <t>WIP</t>
        </is>
      </c>
      <c r="T196" s="27" t="n"/>
      <c r="U196" s="25" t="n"/>
      <c r="V196" s="22">
        <f>IF($U196="","",IFERROR(INDEX(Templates!$K$3:$K$10,MATCH($U196,Templates!$A$3:$A$10,0)),""))</f>
        <v/>
      </c>
      <c r="W196" s="22">
        <f>IF($U196="","",IFERROR(INDEX(Templates!$L$3:$L$10,MATCH($U196,Templates!$A$3:$A$10,0)),""))</f>
        <v/>
      </c>
      <c r="X196" s="23">
        <f>IF($U196="","",IFERROR(INDEX(Templates!$J$3:$J$10,MATCH($U196,Templates!$A$3:$A$10,0)),""))</f>
        <v/>
      </c>
      <c r="Y196" s="24">
        <f>IF(OR($U196="",$I196="",$J196="",$X196=""),"",$I196+$X196*($J196-$I196))</f>
        <v/>
      </c>
    </row>
    <row r="197">
      <c r="A197" s="15" t="inlineStr">
        <is>
          <t>VW1_1</t>
        </is>
      </c>
      <c r="B197" s="16" t="inlineStr">
        <is>
          <t>Ethos Specialty Insurance Services</t>
        </is>
      </c>
      <c r="C197" s="15" t="inlineStr">
        <is>
          <t>Ethos Specialty Insurance Services</t>
        </is>
      </c>
      <c r="D197" s="15" t="inlineStr"/>
      <c r="E197" s="15" t="inlineStr">
        <is>
          <t>No</t>
        </is>
      </c>
      <c r="F197" s="15" t="inlineStr">
        <is>
          <t>Active</t>
        </is>
      </c>
      <c r="G197" s="25" t="n"/>
      <c r="H197" s="17" t="n">
        <v>1</v>
      </c>
      <c r="I197" s="26" t="n"/>
      <c r="J197" s="26" t="n"/>
      <c r="K197" s="25" t="n"/>
      <c r="L197" s="25" t="n"/>
      <c r="M197" s="25" t="n"/>
      <c r="N197" s="25" t="n"/>
      <c r="O197" s="25" t="n"/>
      <c r="P197" s="25" t="n"/>
      <c r="Q197" s="19">
        <f>IF($A197="","",COUNTIFS(Assignments!$C$2:$C$769,$A197,Assignments!$G$2:$G$769,"Active"))</f>
        <v/>
      </c>
      <c r="R197" s="20">
        <f>IF($A197="","",SUMIFS(Assignments!$I$2:$I$769,Assignments!$C$2:$C$769,$A197,Assignments!$G$2:$G$769,"Active"))</f>
        <v/>
      </c>
      <c r="S197" s="16" t="inlineStr">
        <is>
          <t>WIP</t>
        </is>
      </c>
      <c r="T197" s="27" t="n"/>
      <c r="U197" s="25" t="n"/>
      <c r="V197" s="22">
        <f>IF($U197="","",IFERROR(INDEX(Templates!$K$3:$K$10,MATCH($U197,Templates!$A$3:$A$10,0)),""))</f>
        <v/>
      </c>
      <c r="W197" s="22">
        <f>IF($U197="","",IFERROR(INDEX(Templates!$L$3:$L$10,MATCH($U197,Templates!$A$3:$A$10,0)),""))</f>
        <v/>
      </c>
      <c r="X197" s="23">
        <f>IF($U197="","",IFERROR(INDEX(Templates!$J$3:$J$10,MATCH($U197,Templates!$A$3:$A$10,0)),""))</f>
        <v/>
      </c>
      <c r="Y197" s="24">
        <f>IF(OR($U197="",$I197="",$J197="",$X197=""),"",$I197+$X197*($J197-$I197))</f>
        <v/>
      </c>
    </row>
    <row r="198">
      <c r="A198" s="15" t="inlineStr">
        <is>
          <t>WASP_2</t>
        </is>
      </c>
      <c r="B198" s="16" t="inlineStr">
        <is>
          <t>Taxand Global : Arsene TaxAnd</t>
        </is>
      </c>
      <c r="C198" s="15" t="inlineStr">
        <is>
          <t>Taxand Global</t>
        </is>
      </c>
      <c r="D198" s="15" t="inlineStr">
        <is>
          <t>Arsene TaxAnd</t>
        </is>
      </c>
      <c r="E198" s="15" t="inlineStr">
        <is>
          <t>No</t>
        </is>
      </c>
      <c r="F198" s="15" t="inlineStr">
        <is>
          <t>Active</t>
        </is>
      </c>
      <c r="G198" s="25" t="n"/>
      <c r="H198" s="17" t="n">
        <v>1</v>
      </c>
      <c r="I198" s="26" t="n"/>
      <c r="J198" s="26" t="n"/>
      <c r="K198" s="25" t="n"/>
      <c r="L198" s="25" t="n"/>
      <c r="M198" s="25" t="n"/>
      <c r="N198" s="25" t="n"/>
      <c r="O198" s="25" t="n"/>
      <c r="P198" s="25" t="n"/>
      <c r="Q198" s="19">
        <f>IF($A198="","",COUNTIFS(Assignments!$C$2:$C$769,$A198,Assignments!$G$2:$G$769,"Active"))</f>
        <v/>
      </c>
      <c r="R198" s="20">
        <f>IF($A198="","",SUMIFS(Assignments!$I$2:$I$769,Assignments!$C$2:$C$769,$A198,Assignments!$G$2:$G$769,"Active"))</f>
        <v/>
      </c>
      <c r="S198" s="16" t="inlineStr">
        <is>
          <t>WIP</t>
        </is>
      </c>
      <c r="T198" s="27" t="n"/>
      <c r="U198" s="25" t="n"/>
      <c r="V198" s="22">
        <f>IF($U198="","",IFERROR(INDEX(Templates!$K$3:$K$10,MATCH($U198,Templates!$A$3:$A$10,0)),""))</f>
        <v/>
      </c>
      <c r="W198" s="22">
        <f>IF($U198="","",IFERROR(INDEX(Templates!$L$3:$L$10,MATCH($U198,Templates!$A$3:$A$10,0)),""))</f>
        <v/>
      </c>
      <c r="X198" s="23">
        <f>IF($U198="","",IFERROR(INDEX(Templates!$J$3:$J$10,MATCH($U198,Templates!$A$3:$A$10,0)),""))</f>
        <v/>
      </c>
      <c r="Y198" s="24">
        <f>IF(OR($U198="",$I198="",$J198="",$X198=""),"",$I198+$X198*($J198-$I198))</f>
        <v/>
      </c>
    </row>
    <row r="199">
      <c r="A199" s="15" t="inlineStr">
        <is>
          <t>Westfold</t>
        </is>
      </c>
      <c r="B199" s="16" t="inlineStr">
        <is>
          <t>EQT Group</t>
        </is>
      </c>
      <c r="C199" s="15" t="inlineStr">
        <is>
          <t>EQT Group</t>
        </is>
      </c>
      <c r="D199" s="15" t="inlineStr"/>
      <c r="E199" s="15" t="inlineStr">
        <is>
          <t>No</t>
        </is>
      </c>
      <c r="F199" s="15" t="inlineStr">
        <is>
          <t>Active</t>
        </is>
      </c>
      <c r="G199" s="25" t="n"/>
      <c r="H199" s="17" t="n">
        <v>1</v>
      </c>
      <c r="I199" s="26" t="n"/>
      <c r="J199" s="26" t="n"/>
      <c r="K199" s="25" t="n"/>
      <c r="L199" s="25" t="n"/>
      <c r="M199" s="25" t="n"/>
      <c r="N199" s="25" t="n"/>
      <c r="O199" s="25" t="n"/>
      <c r="P199" s="25" t="n"/>
      <c r="Q199" s="19">
        <f>IF($A199="","",COUNTIFS(Assignments!$C$2:$C$769,$A199,Assignments!$G$2:$G$769,"Active"))</f>
        <v/>
      </c>
      <c r="R199" s="20">
        <f>IF($A199="","",SUMIFS(Assignments!$I$2:$I$769,Assignments!$C$2:$C$769,$A199,Assignments!$G$2:$G$769,"Active"))</f>
        <v/>
      </c>
      <c r="S199" s="16" t="inlineStr">
        <is>
          <t>Summary tab only (WIP)</t>
        </is>
      </c>
      <c r="T199" s="27" t="n"/>
      <c r="U199" s="25" t="n"/>
      <c r="V199" s="22">
        <f>IF($U199="","",IFERROR(INDEX(Templates!$K$3:$K$10,MATCH($U199,Templates!$A$3:$A$10,0)),""))</f>
        <v/>
      </c>
      <c r="W199" s="22">
        <f>IF($U199="","",IFERROR(INDEX(Templates!$L$3:$L$10,MATCH($U199,Templates!$A$3:$A$10,0)),""))</f>
        <v/>
      </c>
      <c r="X199" s="23">
        <f>IF($U199="","",IFERROR(INDEX(Templates!$J$3:$J$10,MATCH($U199,Templates!$A$3:$A$10,0)),""))</f>
        <v/>
      </c>
      <c r="Y199" s="24">
        <f>IF(OR($U199="",$I199="",$J199="",$X199=""),"",$I199+$X199*($J199-$I199))</f>
        <v/>
      </c>
    </row>
    <row r="200">
      <c r="A200" s="15" t="inlineStr">
        <is>
          <t>Whale_3</t>
        </is>
      </c>
      <c r="B200" s="16" t="inlineStr">
        <is>
          <t>Certa</t>
        </is>
      </c>
      <c r="C200" s="15" t="inlineStr">
        <is>
          <t>Certa</t>
        </is>
      </c>
      <c r="D200" s="15" t="inlineStr"/>
      <c r="E200" s="15" t="inlineStr">
        <is>
          <t>No</t>
        </is>
      </c>
      <c r="F200" s="15" t="inlineStr">
        <is>
          <t>Active</t>
        </is>
      </c>
      <c r="G200" s="25" t="n"/>
      <c r="H200" s="17" t="n">
        <v>1</v>
      </c>
      <c r="I200" s="26" t="n"/>
      <c r="J200" s="26" t="n"/>
      <c r="K200" s="25" t="n"/>
      <c r="L200" s="25" t="n"/>
      <c r="M200" s="25" t="n"/>
      <c r="N200" s="25" t="n"/>
      <c r="O200" s="25" t="n"/>
      <c r="P200" s="25" t="n"/>
      <c r="Q200" s="19">
        <f>IF($A200="","",COUNTIFS(Assignments!$C$2:$C$769,$A200,Assignments!$G$2:$G$769,"Active"))</f>
        <v/>
      </c>
      <c r="R200" s="20">
        <f>IF($A200="","",SUMIFS(Assignments!$I$2:$I$769,Assignments!$C$2:$C$769,$A200,Assignments!$G$2:$G$769,"Active"))</f>
        <v/>
      </c>
      <c r="S200" s="16" t="inlineStr">
        <is>
          <t>WIP</t>
        </is>
      </c>
      <c r="T200" s="27" t="n"/>
      <c r="U200" s="25" t="n"/>
      <c r="V200" s="22">
        <f>IF($U200="","",IFERROR(INDEX(Templates!$K$3:$K$10,MATCH($U200,Templates!$A$3:$A$10,0)),""))</f>
        <v/>
      </c>
      <c r="W200" s="22">
        <f>IF($U200="","",IFERROR(INDEX(Templates!$L$3:$L$10,MATCH($U200,Templates!$A$3:$A$10,0)),""))</f>
        <v/>
      </c>
      <c r="X200" s="23">
        <f>IF($U200="","",IFERROR(INDEX(Templates!$J$3:$J$10,MATCH($U200,Templates!$A$3:$A$10,0)),""))</f>
        <v/>
      </c>
      <c r="Y200" s="24">
        <f>IF(OR($U200="",$I200="",$J200="",$X200=""),"",$I200+$X200*($J200-$I200))</f>
        <v/>
      </c>
    </row>
    <row r="201">
      <c r="A201" s="15" t="inlineStr">
        <is>
          <t>White Tail_2</t>
        </is>
      </c>
      <c r="B201" s="16" t="inlineStr">
        <is>
          <t>Ryan Transactional Risk</t>
        </is>
      </c>
      <c r="C201" s="15" t="inlineStr">
        <is>
          <t>Ryan Transactional Risk</t>
        </is>
      </c>
      <c r="D201" s="15" t="inlineStr"/>
      <c r="E201" s="15" t="inlineStr">
        <is>
          <t>No</t>
        </is>
      </c>
      <c r="F201" s="15" t="inlineStr">
        <is>
          <t>Active</t>
        </is>
      </c>
      <c r="G201" s="25" t="n"/>
      <c r="H201" s="17" t="n">
        <v>1</v>
      </c>
      <c r="I201" s="26" t="n"/>
      <c r="J201" s="26" t="n"/>
      <c r="K201" s="25" t="n"/>
      <c r="L201" s="25" t="n"/>
      <c r="M201" s="25" t="n"/>
      <c r="N201" s="25" t="n"/>
      <c r="O201" s="25" t="n"/>
      <c r="P201" s="25" t="n"/>
      <c r="Q201" s="19">
        <f>IF($A201="","",COUNTIFS(Assignments!$C$2:$C$769,$A201,Assignments!$G$2:$G$769,"Active"))</f>
        <v/>
      </c>
      <c r="R201" s="20">
        <f>IF($A201="","",SUMIFS(Assignments!$I$2:$I$769,Assignments!$C$2:$C$769,$A201,Assignments!$G$2:$G$769,"Active"))</f>
        <v/>
      </c>
      <c r="S201" s="16" t="inlineStr">
        <is>
          <t>WIP</t>
        </is>
      </c>
      <c r="T201" s="27" t="n"/>
      <c r="U201" s="25" t="n"/>
      <c r="V201" s="22">
        <f>IF($U201="","",IFERROR(INDEX(Templates!$K$3:$K$10,MATCH($U201,Templates!$A$3:$A$10,0)),""))</f>
        <v/>
      </c>
      <c r="W201" s="22">
        <f>IF($U201="","",IFERROR(INDEX(Templates!$L$3:$L$10,MATCH($U201,Templates!$A$3:$A$10,0)),""))</f>
        <v/>
      </c>
      <c r="X201" s="23">
        <f>IF($U201="","",IFERROR(INDEX(Templates!$J$3:$J$10,MATCH($U201,Templates!$A$3:$A$10,0)),""))</f>
        <v/>
      </c>
      <c r="Y201" s="24">
        <f>IF(OR($U201="",$I201="",$J201="",$X201=""),"",$I201+$X201*($J201-$I201))</f>
        <v/>
      </c>
    </row>
    <row r="202">
      <c r="A202" s="15" t="inlineStr">
        <is>
          <t>Winchester_1</t>
        </is>
      </c>
      <c r="B202" s="16" t="inlineStr">
        <is>
          <t>Ethos Specialty Insurance Services</t>
        </is>
      </c>
      <c r="C202" s="15" t="inlineStr">
        <is>
          <t>Ethos Specialty Insurance Services</t>
        </is>
      </c>
      <c r="D202" s="15" t="inlineStr"/>
      <c r="E202" s="15" t="inlineStr">
        <is>
          <t>No</t>
        </is>
      </c>
      <c r="F202" s="15" t="inlineStr">
        <is>
          <t>Active</t>
        </is>
      </c>
      <c r="G202" s="25" t="n"/>
      <c r="H202" s="17" t="n">
        <v>1</v>
      </c>
      <c r="I202" s="26" t="n"/>
      <c r="J202" s="26" t="n"/>
      <c r="K202" s="25" t="n"/>
      <c r="L202" s="25" t="n"/>
      <c r="M202" s="25" t="n"/>
      <c r="N202" s="25" t="n"/>
      <c r="O202" s="25" t="n"/>
      <c r="P202" s="25" t="n"/>
      <c r="Q202" s="19">
        <f>IF($A202="","",COUNTIFS(Assignments!$C$2:$C$769,$A202,Assignments!$G$2:$G$769,"Active"))</f>
        <v/>
      </c>
      <c r="R202" s="20">
        <f>IF($A202="","",SUMIFS(Assignments!$I$2:$I$769,Assignments!$C$2:$C$769,$A202,Assignments!$G$2:$G$769,"Active"))</f>
        <v/>
      </c>
      <c r="S202" s="16" t="inlineStr">
        <is>
          <t>WIP</t>
        </is>
      </c>
      <c r="T202" s="27" t="n"/>
      <c r="U202" s="25" t="n"/>
      <c r="V202" s="22">
        <f>IF($U202="","",IFERROR(INDEX(Templates!$K$3:$K$10,MATCH($U202,Templates!$A$3:$A$10,0)),""))</f>
        <v/>
      </c>
      <c r="W202" s="22">
        <f>IF($U202="","",IFERROR(INDEX(Templates!$L$3:$L$10,MATCH($U202,Templates!$A$3:$A$10,0)),""))</f>
        <v/>
      </c>
      <c r="X202" s="23">
        <f>IF($U202="","",IFERROR(INDEX(Templates!$J$3:$J$10,MATCH($U202,Templates!$A$3:$A$10,0)),""))</f>
        <v/>
      </c>
      <c r="Y202" s="24">
        <f>IF(OR($U202="",$I202="",$J202="",$X202=""),"",$I202+$X202*($J202-$I202))</f>
        <v/>
      </c>
    </row>
    <row r="203">
      <c r="A203" s="15" t="inlineStr">
        <is>
          <t>Wolverine_3</t>
        </is>
      </c>
      <c r="B203" s="16" t="inlineStr">
        <is>
          <t>Infrared Capital Partners</t>
        </is>
      </c>
      <c r="C203" s="15" t="inlineStr">
        <is>
          <t>Infrared Capital Partners</t>
        </is>
      </c>
      <c r="D203" s="15" t="inlineStr"/>
      <c r="E203" s="15" t="inlineStr">
        <is>
          <t>No</t>
        </is>
      </c>
      <c r="F203" s="15" t="inlineStr">
        <is>
          <t>Active</t>
        </is>
      </c>
      <c r="G203" s="25" t="n"/>
      <c r="H203" s="17" t="n">
        <v>1</v>
      </c>
      <c r="I203" s="26" t="n"/>
      <c r="J203" s="26" t="n"/>
      <c r="K203" s="25" t="n"/>
      <c r="L203" s="25" t="n"/>
      <c r="M203" s="25" t="n"/>
      <c r="N203" s="25" t="n"/>
      <c r="O203" s="25" t="n"/>
      <c r="P203" s="25" t="n"/>
      <c r="Q203" s="19">
        <f>IF($A203="","",COUNTIFS(Assignments!$C$2:$C$769,$A203,Assignments!$G$2:$G$769,"Active"))</f>
        <v/>
      </c>
      <c r="R203" s="20">
        <f>IF($A203="","",SUMIFS(Assignments!$I$2:$I$769,Assignments!$C$2:$C$769,$A203,Assignments!$G$2:$G$769,"Active"))</f>
        <v/>
      </c>
      <c r="S203" s="16" t="inlineStr">
        <is>
          <t>WIP</t>
        </is>
      </c>
      <c r="T203" s="27" t="n"/>
      <c r="U203" s="25" t="n"/>
      <c r="V203" s="22">
        <f>IF($U203="","",IFERROR(INDEX(Templates!$K$3:$K$10,MATCH($U203,Templates!$A$3:$A$10,0)),""))</f>
        <v/>
      </c>
      <c r="W203" s="22">
        <f>IF($U203="","",IFERROR(INDEX(Templates!$L$3:$L$10,MATCH($U203,Templates!$A$3:$A$10,0)),""))</f>
        <v/>
      </c>
      <c r="X203" s="23">
        <f>IF($U203="","",IFERROR(INDEX(Templates!$J$3:$J$10,MATCH($U203,Templates!$A$3:$A$10,0)),""))</f>
        <v/>
      </c>
      <c r="Y203" s="24">
        <f>IF(OR($U203="",$I203="",$J203="",$X203=""),"",$I203+$X203*($J203-$I203))</f>
        <v/>
      </c>
    </row>
    <row r="204">
      <c r="A204" s="15" t="inlineStr">
        <is>
          <t>Zeus_2</t>
        </is>
      </c>
      <c r="B204" s="16" t="inlineStr">
        <is>
          <t>Flick Gocke Schaumburg</t>
        </is>
      </c>
      <c r="C204" s="15" t="inlineStr">
        <is>
          <t>Flick Gocke Schaumburg</t>
        </is>
      </c>
      <c r="D204" s="15" t="inlineStr"/>
      <c r="E204" s="15" t="inlineStr">
        <is>
          <t>No</t>
        </is>
      </c>
      <c r="F204" s="15" t="inlineStr">
        <is>
          <t>Active</t>
        </is>
      </c>
      <c r="G204" s="25" t="n"/>
      <c r="H204" s="17" t="n">
        <v>1</v>
      </c>
      <c r="I204" s="26" t="n"/>
      <c r="J204" s="26" t="n"/>
      <c r="K204" s="25" t="n"/>
      <c r="L204" s="25" t="n"/>
      <c r="M204" s="25" t="n"/>
      <c r="N204" s="25" t="n"/>
      <c r="O204" s="25" t="n"/>
      <c r="P204" s="25" t="n"/>
      <c r="Q204" s="19">
        <f>IF($A204="","",COUNTIFS(Assignments!$C$2:$C$769,$A204,Assignments!$G$2:$G$769,"Active"))</f>
        <v/>
      </c>
      <c r="R204" s="20">
        <f>IF($A204="","",SUMIFS(Assignments!$I$2:$I$769,Assignments!$C$2:$C$769,$A204,Assignments!$G$2:$G$769,"Active"))</f>
        <v/>
      </c>
      <c r="S204" s="16" t="inlineStr">
        <is>
          <t>WIP</t>
        </is>
      </c>
      <c r="T204" s="27" t="n"/>
      <c r="U204" s="25" t="n"/>
      <c r="V204" s="22">
        <f>IF($U204="","",IFERROR(INDEX(Templates!$K$3:$K$10,MATCH($U204,Templates!$A$3:$A$10,0)),""))</f>
        <v/>
      </c>
      <c r="W204" s="22">
        <f>IF($U204="","",IFERROR(INDEX(Templates!$L$3:$L$10,MATCH($U204,Templates!$A$3:$A$10,0)),""))</f>
        <v/>
      </c>
      <c r="X204" s="23">
        <f>IF($U204="","",IFERROR(INDEX(Templates!$J$3:$J$10,MATCH($U204,Templates!$A$3:$A$10,0)),""))</f>
        <v/>
      </c>
      <c r="Y204" s="24">
        <f>IF(OR($U204="",$I204="",$J204="",$X204=""),"",$I204+$X204*($J204-$I204))</f>
        <v/>
      </c>
    </row>
    <row r="205">
      <c r="A205" s="15" t="inlineStr">
        <is>
          <t>Zircon 2_1</t>
        </is>
      </c>
      <c r="B205" s="16" t="inlineStr">
        <is>
          <t>Northleaf Capital Partners</t>
        </is>
      </c>
      <c r="C205" s="15" t="inlineStr">
        <is>
          <t>Northleaf Capital Partners</t>
        </is>
      </c>
      <c r="D205" s="15" t="inlineStr"/>
      <c r="E205" s="15" t="inlineStr">
        <is>
          <t>No</t>
        </is>
      </c>
      <c r="F205" s="15" t="inlineStr">
        <is>
          <t>Active</t>
        </is>
      </c>
      <c r="G205" s="25" t="n"/>
      <c r="H205" s="17" t="n">
        <v>1</v>
      </c>
      <c r="I205" s="26" t="n"/>
      <c r="J205" s="26" t="n"/>
      <c r="K205" s="25" t="n"/>
      <c r="L205" s="25" t="n"/>
      <c r="M205" s="25" t="n"/>
      <c r="N205" s="25" t="n"/>
      <c r="O205" s="25" t="n"/>
      <c r="P205" s="25" t="n"/>
      <c r="Q205" s="19">
        <f>IF($A205="","",COUNTIFS(Assignments!$C$2:$C$769,$A205,Assignments!$G$2:$G$769,"Active"))</f>
        <v/>
      </c>
      <c r="R205" s="20">
        <f>IF($A205="","",SUMIFS(Assignments!$I$2:$I$769,Assignments!$C$2:$C$769,$A205,Assignments!$G$2:$G$769,"Active"))</f>
        <v/>
      </c>
      <c r="S205" s="16" t="inlineStr">
        <is>
          <t>WIP</t>
        </is>
      </c>
      <c r="T205" s="27" t="n"/>
      <c r="U205" s="25" t="n"/>
      <c r="V205" s="22">
        <f>IF($U205="","",IFERROR(INDEX(Templates!$K$3:$K$10,MATCH($U205,Templates!$A$3:$A$10,0)),""))</f>
        <v/>
      </c>
      <c r="W205" s="22">
        <f>IF($U205="","",IFERROR(INDEX(Templates!$L$3:$L$10,MATCH($U205,Templates!$A$3:$A$10,0)),""))</f>
        <v/>
      </c>
      <c r="X205" s="23">
        <f>IF($U205="","",IFERROR(INDEX(Templates!$J$3:$J$10,MATCH($U205,Templates!$A$3:$A$10,0)),""))</f>
        <v/>
      </c>
      <c r="Y205" s="24">
        <f>IF(OR($U205="",$I205="",$J205="",$X205=""),"",$I205+$X205*($J205-$I205))</f>
        <v/>
      </c>
    </row>
    <row r="206">
      <c r="A206" s="15" t="inlineStr">
        <is>
          <t>Zora_1</t>
        </is>
      </c>
      <c r="B206" s="16" t="inlineStr">
        <is>
          <t>MEAG MUNICH ERGO AssetManagement GmbH</t>
        </is>
      </c>
      <c r="C206" s="15" t="inlineStr">
        <is>
          <t>MEAG MUNICH ERGO AssetManagement GmbH</t>
        </is>
      </c>
      <c r="D206" s="15" t="inlineStr"/>
      <c r="E206" s="15" t="inlineStr">
        <is>
          <t>No</t>
        </is>
      </c>
      <c r="F206" s="15" t="inlineStr">
        <is>
          <t>Active</t>
        </is>
      </c>
      <c r="G206" s="25" t="n"/>
      <c r="H206" s="17" t="n">
        <v>1</v>
      </c>
      <c r="I206" s="26" t="n"/>
      <c r="J206" s="26" t="n"/>
      <c r="K206" s="25" t="n"/>
      <c r="L206" s="25" t="n"/>
      <c r="M206" s="25" t="n"/>
      <c r="N206" s="25" t="n"/>
      <c r="O206" s="25" t="n"/>
      <c r="P206" s="25" t="n"/>
      <c r="Q206" s="19">
        <f>IF($A206="","",COUNTIFS(Assignments!$C$2:$C$769,$A206,Assignments!$G$2:$G$769,"Active"))</f>
        <v/>
      </c>
      <c r="R206" s="20">
        <f>IF($A206="","",SUMIFS(Assignments!$I$2:$I$769,Assignments!$C$2:$C$769,$A206,Assignments!$G$2:$G$769,"Active"))</f>
        <v/>
      </c>
      <c r="S206" s="16" t="inlineStr">
        <is>
          <t>WIP</t>
        </is>
      </c>
      <c r="T206" s="27" t="n"/>
      <c r="U206" s="25" t="n"/>
      <c r="V206" s="22">
        <f>IF($U206="","",IFERROR(INDEX(Templates!$K$3:$K$10,MATCH($U206,Templates!$A$3:$A$10,0)),""))</f>
        <v/>
      </c>
      <c r="W206" s="22">
        <f>IF($U206="","",IFERROR(INDEX(Templates!$L$3:$L$10,MATCH($U206,Templates!$A$3:$A$10,0)),""))</f>
        <v/>
      </c>
      <c r="X206" s="23">
        <f>IF($U206="","",IFERROR(INDEX(Templates!$J$3:$J$10,MATCH($U206,Templates!$A$3:$A$10,0)),""))</f>
        <v/>
      </c>
      <c r="Y206" s="24">
        <f>IF(OR($U206="",$I206="",$J206="",$X206=""),"",$I206+$X206*($J206-$I206))</f>
        <v/>
      </c>
    </row>
    <row r="207">
      <c r="A207" s="15" t="inlineStr">
        <is>
          <t>Ace_2</t>
        </is>
      </c>
      <c r="B207" s="16" t="inlineStr">
        <is>
          <t>Northampton Capital Partners</t>
        </is>
      </c>
      <c r="C207" s="15" t="inlineStr">
        <is>
          <t>Northampton Capital Partners</t>
        </is>
      </c>
      <c r="D207" s="15" t="inlineStr"/>
      <c r="E207" s="15" t="inlineStr">
        <is>
          <t>No</t>
        </is>
      </c>
      <c r="F207" s="15" t="inlineStr">
        <is>
          <t>Proposal</t>
        </is>
      </c>
      <c r="G207" s="25" t="n"/>
      <c r="H207" s="28" t="n">
        <v>0.5</v>
      </c>
      <c r="I207" s="26" t="n"/>
      <c r="J207" s="26" t="n"/>
      <c r="K207" s="25" t="n"/>
      <c r="L207" s="25" t="n"/>
      <c r="M207" s="25" t="n"/>
      <c r="N207" s="25" t="n"/>
      <c r="O207" s="25" t="n"/>
      <c r="P207" s="25" t="n"/>
      <c r="Q207" s="19">
        <f>IF($A207="","",COUNTIFS(Assignments!$C$2:$C$769,$A207,Assignments!$G$2:$G$769,"Active"))</f>
        <v/>
      </c>
      <c r="R207" s="20">
        <f>IF($A207="","",SUMIFS(Assignments!$I$2:$I$769,Assignments!$C$2:$C$769,$A207,Assignments!$G$2:$G$769,"Active"))</f>
        <v/>
      </c>
      <c r="S207" s="16" t="inlineStr">
        <is>
          <t>Proposal</t>
        </is>
      </c>
      <c r="T207" s="27" t="n"/>
      <c r="U207" s="25" t="n"/>
      <c r="V207" s="22">
        <f>IF($U207="","",IFERROR(INDEX(Templates!$K$3:$K$10,MATCH($U207,Templates!$A$3:$A$10,0)),""))</f>
        <v/>
      </c>
      <c r="W207" s="22">
        <f>IF($U207="","",IFERROR(INDEX(Templates!$L$3:$L$10,MATCH($U207,Templates!$A$3:$A$10,0)),""))</f>
        <v/>
      </c>
      <c r="X207" s="23">
        <f>IF($U207="","",IFERROR(INDEX(Templates!$J$3:$J$10,MATCH($U207,Templates!$A$3:$A$10,0)),""))</f>
        <v/>
      </c>
      <c r="Y207" s="24">
        <f>IF(OR($U207="",$I207="",$J207="",$X207=""),"",$I207+$X207*($J207-$I207))</f>
        <v/>
      </c>
    </row>
    <row r="208">
      <c r="A208" s="15" t="inlineStr">
        <is>
          <t>Ad-Hoc_1</t>
        </is>
      </c>
      <c r="B208" s="16" t="inlineStr">
        <is>
          <t>Wells Fargo</t>
        </is>
      </c>
      <c r="C208" s="15" t="inlineStr">
        <is>
          <t>Wells Fargo</t>
        </is>
      </c>
      <c r="D208" s="15" t="inlineStr"/>
      <c r="E208" s="15" t="inlineStr">
        <is>
          <t>No</t>
        </is>
      </c>
      <c r="F208" s="15" t="inlineStr">
        <is>
          <t>Proposal</t>
        </is>
      </c>
      <c r="G208" s="25" t="n"/>
      <c r="H208" s="28" t="n">
        <v>0.5</v>
      </c>
      <c r="I208" s="26" t="n"/>
      <c r="J208" s="26" t="n"/>
      <c r="K208" s="25" t="n"/>
      <c r="L208" s="25" t="n"/>
      <c r="M208" s="25" t="n"/>
      <c r="N208" s="25" t="n"/>
      <c r="O208" s="25" t="n"/>
      <c r="P208" s="25" t="n"/>
      <c r="Q208" s="19">
        <f>IF($A208="","",COUNTIFS(Assignments!$C$2:$C$769,$A208,Assignments!$G$2:$G$769,"Active"))</f>
        <v/>
      </c>
      <c r="R208" s="20">
        <f>IF($A208="","",SUMIFS(Assignments!$I$2:$I$769,Assignments!$C$2:$C$769,$A208,Assignments!$G$2:$G$769,"Active"))</f>
        <v/>
      </c>
      <c r="S208" s="16" t="inlineStr">
        <is>
          <t>Proposal</t>
        </is>
      </c>
      <c r="T208" s="27" t="n"/>
      <c r="U208" s="25" t="n"/>
      <c r="V208" s="22">
        <f>IF($U208="","",IFERROR(INDEX(Templates!$K$3:$K$10,MATCH($U208,Templates!$A$3:$A$10,0)),""))</f>
        <v/>
      </c>
      <c r="W208" s="22">
        <f>IF($U208="","",IFERROR(INDEX(Templates!$L$3:$L$10,MATCH($U208,Templates!$A$3:$A$10,0)),""))</f>
        <v/>
      </c>
      <c r="X208" s="23">
        <f>IF($U208="","",IFERROR(INDEX(Templates!$J$3:$J$10,MATCH($U208,Templates!$A$3:$A$10,0)),""))</f>
        <v/>
      </c>
      <c r="Y208" s="24">
        <f>IF(OR($U208="",$I208="",$J208="",$X208=""),"",$I208+$X208*($J208-$I208))</f>
        <v/>
      </c>
    </row>
    <row r="209">
      <c r="A209" s="15" t="inlineStr">
        <is>
          <t>Alliance_1</t>
        </is>
      </c>
      <c r="B209" s="16" t="inlineStr">
        <is>
          <t>Argo Group</t>
        </is>
      </c>
      <c r="C209" s="15" t="inlineStr">
        <is>
          <t>Argo Group</t>
        </is>
      </c>
      <c r="D209" s="15" t="inlineStr"/>
      <c r="E209" s="15" t="inlineStr">
        <is>
          <t>No</t>
        </is>
      </c>
      <c r="F209" s="15" t="inlineStr">
        <is>
          <t>Proposal</t>
        </is>
      </c>
      <c r="G209" s="25" t="n"/>
      <c r="H209" s="28" t="n">
        <v>0.5</v>
      </c>
      <c r="I209" s="26" t="n"/>
      <c r="J209" s="26" t="n"/>
      <c r="K209" s="25" t="n"/>
      <c r="L209" s="25" t="n"/>
      <c r="M209" s="25" t="n"/>
      <c r="N209" s="25" t="n"/>
      <c r="O209" s="25" t="n"/>
      <c r="P209" s="25" t="n"/>
      <c r="Q209" s="19">
        <f>IF($A209="","",COUNTIFS(Assignments!$C$2:$C$769,$A209,Assignments!$G$2:$G$769,"Active"))</f>
        <v/>
      </c>
      <c r="R209" s="20">
        <f>IF($A209="","",SUMIFS(Assignments!$I$2:$I$769,Assignments!$C$2:$C$769,$A209,Assignments!$G$2:$G$769,"Active"))</f>
        <v/>
      </c>
      <c r="S209" s="16" t="inlineStr">
        <is>
          <t>Proposal</t>
        </is>
      </c>
      <c r="T209" s="27" t="n"/>
      <c r="U209" s="25" t="n"/>
      <c r="V209" s="22">
        <f>IF($U209="","",IFERROR(INDEX(Templates!$K$3:$K$10,MATCH($U209,Templates!$A$3:$A$10,0)),""))</f>
        <v/>
      </c>
      <c r="W209" s="22">
        <f>IF($U209="","",IFERROR(INDEX(Templates!$L$3:$L$10,MATCH($U209,Templates!$A$3:$A$10,0)),""))</f>
        <v/>
      </c>
      <c r="X209" s="23">
        <f>IF($U209="","",IFERROR(INDEX(Templates!$J$3:$J$10,MATCH($U209,Templates!$A$3:$A$10,0)),""))</f>
        <v/>
      </c>
      <c r="Y209" s="24">
        <f>IF(OR($U209="",$I209="",$J209="",$X209=""),"",$I209+$X209*($J209-$I209))</f>
        <v/>
      </c>
    </row>
    <row r="210">
      <c r="A210" s="15" t="inlineStr">
        <is>
          <t>Amp_1</t>
        </is>
      </c>
      <c r="B210" s="16" t="inlineStr">
        <is>
          <t>ICEN Risk</t>
        </is>
      </c>
      <c r="C210" s="15" t="inlineStr">
        <is>
          <t>ICEN Risk</t>
        </is>
      </c>
      <c r="D210" s="15" t="inlineStr"/>
      <c r="E210" s="15" t="inlineStr">
        <is>
          <t>No</t>
        </is>
      </c>
      <c r="F210" s="15" t="inlineStr">
        <is>
          <t>Proposal</t>
        </is>
      </c>
      <c r="G210" s="25" t="n"/>
      <c r="H210" s="28" t="n">
        <v>0.5</v>
      </c>
      <c r="I210" s="26" t="n"/>
      <c r="J210" s="26" t="n"/>
      <c r="K210" s="25" t="n"/>
      <c r="L210" s="25" t="n"/>
      <c r="M210" s="25" t="n"/>
      <c r="N210" s="25" t="n"/>
      <c r="O210" s="25" t="n"/>
      <c r="P210" s="25" t="n"/>
      <c r="Q210" s="19">
        <f>IF($A210="","",COUNTIFS(Assignments!$C$2:$C$769,$A210,Assignments!$G$2:$G$769,"Active"))</f>
        <v/>
      </c>
      <c r="R210" s="20">
        <f>IF($A210="","",SUMIFS(Assignments!$I$2:$I$769,Assignments!$C$2:$C$769,$A210,Assignments!$G$2:$G$769,"Active"))</f>
        <v/>
      </c>
      <c r="S210" s="16" t="inlineStr">
        <is>
          <t>Proposal</t>
        </is>
      </c>
      <c r="T210" s="27" t="n"/>
      <c r="U210" s="25" t="n"/>
      <c r="V210" s="22">
        <f>IF($U210="","",IFERROR(INDEX(Templates!$K$3:$K$10,MATCH($U210,Templates!$A$3:$A$10,0)),""))</f>
        <v/>
      </c>
      <c r="W210" s="22">
        <f>IF($U210="","",IFERROR(INDEX(Templates!$L$3:$L$10,MATCH($U210,Templates!$A$3:$A$10,0)),""))</f>
        <v/>
      </c>
      <c r="X210" s="23">
        <f>IF($U210="","",IFERROR(INDEX(Templates!$J$3:$J$10,MATCH($U210,Templates!$A$3:$A$10,0)),""))</f>
        <v/>
      </c>
      <c r="Y210" s="24">
        <f>IF(OR($U210="",$I210="",$J210="",$X210=""),"",$I210+$X210*($J210-$I210))</f>
        <v/>
      </c>
    </row>
    <row r="211">
      <c r="A211" s="15" t="inlineStr">
        <is>
          <t>AOP Model_1</t>
        </is>
      </c>
      <c r="B211" s="16" t="inlineStr">
        <is>
          <t>Fengate</t>
        </is>
      </c>
      <c r="C211" s="15" t="inlineStr">
        <is>
          <t>Fengate</t>
        </is>
      </c>
      <c r="D211" s="15" t="inlineStr"/>
      <c r="E211" s="15" t="inlineStr">
        <is>
          <t>No</t>
        </is>
      </c>
      <c r="F211" s="15" t="inlineStr">
        <is>
          <t>Proposal</t>
        </is>
      </c>
      <c r="G211" s="25" t="n"/>
      <c r="H211" s="28" t="n">
        <v>0.5</v>
      </c>
      <c r="I211" s="26" t="n"/>
      <c r="J211" s="26" t="n"/>
      <c r="K211" s="25" t="n"/>
      <c r="L211" s="25" t="n"/>
      <c r="M211" s="25" t="n"/>
      <c r="N211" s="25" t="n"/>
      <c r="O211" s="25" t="n"/>
      <c r="P211" s="25" t="n"/>
      <c r="Q211" s="19">
        <f>IF($A211="","",COUNTIFS(Assignments!$C$2:$C$769,$A211,Assignments!$G$2:$G$769,"Active"))</f>
        <v/>
      </c>
      <c r="R211" s="20">
        <f>IF($A211="","",SUMIFS(Assignments!$I$2:$I$769,Assignments!$C$2:$C$769,$A211,Assignments!$G$2:$G$769,"Active"))</f>
        <v/>
      </c>
      <c r="S211" s="16" t="inlineStr">
        <is>
          <t>Proposal</t>
        </is>
      </c>
      <c r="T211" s="27" t="n"/>
      <c r="U211" s="25" t="n"/>
      <c r="V211" s="22">
        <f>IF($U211="","",IFERROR(INDEX(Templates!$K$3:$K$10,MATCH($U211,Templates!$A$3:$A$10,0)),""))</f>
        <v/>
      </c>
      <c r="W211" s="22">
        <f>IF($U211="","",IFERROR(INDEX(Templates!$L$3:$L$10,MATCH($U211,Templates!$A$3:$A$10,0)),""))</f>
        <v/>
      </c>
      <c r="X211" s="23">
        <f>IF($U211="","",IFERROR(INDEX(Templates!$J$3:$J$10,MATCH($U211,Templates!$A$3:$A$10,0)),""))</f>
        <v/>
      </c>
      <c r="Y211" s="24">
        <f>IF(OR($U211="",$I211="",$J211="",$X211=""),"",$I211+$X211*($J211-$I211))</f>
        <v/>
      </c>
    </row>
    <row r="212">
      <c r="A212" s="15" t="inlineStr">
        <is>
          <t>Apple_2</t>
        </is>
      </c>
      <c r="B212" s="16" t="inlineStr">
        <is>
          <t>Omnes Capital</t>
        </is>
      </c>
      <c r="C212" s="15" t="inlineStr">
        <is>
          <t>Omnes Capital</t>
        </is>
      </c>
      <c r="D212" s="15" t="inlineStr"/>
      <c r="E212" s="15" t="inlineStr">
        <is>
          <t>No</t>
        </is>
      </c>
      <c r="F212" s="15" t="inlineStr">
        <is>
          <t>Proposal</t>
        </is>
      </c>
      <c r="G212" s="25" t="n"/>
      <c r="H212" s="28" t="n">
        <v>0.5</v>
      </c>
      <c r="I212" s="26" t="n"/>
      <c r="J212" s="26" t="n"/>
      <c r="K212" s="25" t="n"/>
      <c r="L212" s="25" t="n"/>
      <c r="M212" s="25" t="n"/>
      <c r="N212" s="25" t="n"/>
      <c r="O212" s="25" t="n"/>
      <c r="P212" s="25" t="n"/>
      <c r="Q212" s="19">
        <f>IF($A212="","",COUNTIFS(Assignments!$C$2:$C$769,$A212,Assignments!$G$2:$G$769,"Active"))</f>
        <v/>
      </c>
      <c r="R212" s="20">
        <f>IF($A212="","",SUMIFS(Assignments!$I$2:$I$769,Assignments!$C$2:$C$769,$A212,Assignments!$G$2:$G$769,"Active"))</f>
        <v/>
      </c>
      <c r="S212" s="16" t="inlineStr">
        <is>
          <t>Proposal</t>
        </is>
      </c>
      <c r="T212" s="27" t="n"/>
      <c r="U212" s="25" t="n"/>
      <c r="V212" s="22">
        <f>IF($U212="","",IFERROR(INDEX(Templates!$K$3:$K$10,MATCH($U212,Templates!$A$3:$A$10,0)),""))</f>
        <v/>
      </c>
      <c r="W212" s="22">
        <f>IF($U212="","",IFERROR(INDEX(Templates!$L$3:$L$10,MATCH($U212,Templates!$A$3:$A$10,0)),""))</f>
        <v/>
      </c>
      <c r="X212" s="23">
        <f>IF($U212="","",IFERROR(INDEX(Templates!$J$3:$J$10,MATCH($U212,Templates!$A$3:$A$10,0)),""))</f>
        <v/>
      </c>
      <c r="Y212" s="24">
        <f>IF(OR($U212="",$I212="",$J212="",$X212=""),"",$I212+$X212*($J212-$I212))</f>
        <v/>
      </c>
    </row>
    <row r="213">
      <c r="A213" s="15" t="inlineStr">
        <is>
          <t>Arctic_2</t>
        </is>
      </c>
      <c r="B213" s="16" t="inlineStr">
        <is>
          <t>IFM Investors</t>
        </is>
      </c>
      <c r="C213" s="15" t="inlineStr">
        <is>
          <t>IFM Investors</t>
        </is>
      </c>
      <c r="D213" s="15" t="inlineStr"/>
      <c r="E213" s="15" t="inlineStr">
        <is>
          <t>No</t>
        </is>
      </c>
      <c r="F213" s="15" t="inlineStr">
        <is>
          <t>Proposal</t>
        </is>
      </c>
      <c r="G213" s="25" t="n"/>
      <c r="H213" s="28" t="n">
        <v>0.5</v>
      </c>
      <c r="I213" s="26" t="n"/>
      <c r="J213" s="26" t="n"/>
      <c r="K213" s="25" t="n"/>
      <c r="L213" s="25" t="n"/>
      <c r="M213" s="25" t="n"/>
      <c r="N213" s="25" t="n"/>
      <c r="O213" s="25" t="n"/>
      <c r="P213" s="25" t="n"/>
      <c r="Q213" s="19">
        <f>IF($A213="","",COUNTIFS(Assignments!$C$2:$C$769,$A213,Assignments!$G$2:$G$769,"Active"))</f>
        <v/>
      </c>
      <c r="R213" s="20">
        <f>IF($A213="","",SUMIFS(Assignments!$I$2:$I$769,Assignments!$C$2:$C$769,$A213,Assignments!$G$2:$G$769,"Active"))</f>
        <v/>
      </c>
      <c r="S213" s="16" t="inlineStr">
        <is>
          <t>Proposal</t>
        </is>
      </c>
      <c r="T213" s="27" t="n"/>
      <c r="U213" s="25" t="n"/>
      <c r="V213" s="22">
        <f>IF($U213="","",IFERROR(INDEX(Templates!$K$3:$K$10,MATCH($U213,Templates!$A$3:$A$10,0)),""))</f>
        <v/>
      </c>
      <c r="W213" s="22">
        <f>IF($U213="","",IFERROR(INDEX(Templates!$L$3:$L$10,MATCH($U213,Templates!$A$3:$A$10,0)),""))</f>
        <v/>
      </c>
      <c r="X213" s="23">
        <f>IF($U213="","",IFERROR(INDEX(Templates!$J$3:$J$10,MATCH($U213,Templates!$A$3:$A$10,0)),""))</f>
        <v/>
      </c>
      <c r="Y213" s="24">
        <f>IF(OR($U213="",$I213="",$J213="",$X213=""),"",$I213+$X213*($J213-$I213))</f>
        <v/>
      </c>
    </row>
    <row r="214">
      <c r="A214" s="15" t="inlineStr">
        <is>
          <t>Ares FIRPTA_2</t>
        </is>
      </c>
      <c r="B214" s="16" t="inlineStr">
        <is>
          <t>Ares Management Corporation</t>
        </is>
      </c>
      <c r="C214" s="15" t="inlineStr">
        <is>
          <t>Ares Management Corporation</t>
        </is>
      </c>
      <c r="D214" s="15" t="inlineStr"/>
      <c r="E214" s="15" t="inlineStr">
        <is>
          <t>No</t>
        </is>
      </c>
      <c r="F214" s="15" t="inlineStr">
        <is>
          <t>Proposal</t>
        </is>
      </c>
      <c r="G214" s="25" t="n"/>
      <c r="H214" s="28" t="n">
        <v>0.5</v>
      </c>
      <c r="I214" s="26" t="n"/>
      <c r="J214" s="26" t="n"/>
      <c r="K214" s="25" t="n"/>
      <c r="L214" s="25" t="n"/>
      <c r="M214" s="25" t="n"/>
      <c r="N214" s="25" t="n"/>
      <c r="O214" s="25" t="n"/>
      <c r="P214" s="25" t="n"/>
      <c r="Q214" s="19">
        <f>IF($A214="","",COUNTIFS(Assignments!$C$2:$C$769,$A214,Assignments!$G$2:$G$769,"Active"))</f>
        <v/>
      </c>
      <c r="R214" s="20">
        <f>IF($A214="","",SUMIFS(Assignments!$I$2:$I$769,Assignments!$C$2:$C$769,$A214,Assignments!$G$2:$G$769,"Active"))</f>
        <v/>
      </c>
      <c r="S214" s="16" t="inlineStr">
        <is>
          <t>Proposal</t>
        </is>
      </c>
      <c r="T214" s="27" t="n"/>
      <c r="U214" s="25" t="n"/>
      <c r="V214" s="22">
        <f>IF($U214="","",IFERROR(INDEX(Templates!$K$3:$K$10,MATCH($U214,Templates!$A$3:$A$10,0)),""))</f>
        <v/>
      </c>
      <c r="W214" s="22">
        <f>IF($U214="","",IFERROR(INDEX(Templates!$L$3:$L$10,MATCH($U214,Templates!$A$3:$A$10,0)),""))</f>
        <v/>
      </c>
      <c r="X214" s="23">
        <f>IF($U214="","",IFERROR(INDEX(Templates!$J$3:$J$10,MATCH($U214,Templates!$A$3:$A$10,0)),""))</f>
        <v/>
      </c>
      <c r="Y214" s="24">
        <f>IF(OR($U214="",$I214="",$J214="",$X214=""),"",$I214+$X214*($J214-$I214))</f>
        <v/>
      </c>
    </row>
    <row r="215">
      <c r="A215" s="15" t="inlineStr">
        <is>
          <t>Assys_1</t>
        </is>
      </c>
      <c r="B215" s="16" t="inlineStr">
        <is>
          <t>Leo Berwick (Referral Source)</t>
        </is>
      </c>
      <c r="C215" s="15" t="inlineStr">
        <is>
          <t>Leo Berwick</t>
        </is>
      </c>
      <c r="D215" s="15" t="inlineStr"/>
      <c r="E215" s="15" t="inlineStr">
        <is>
          <t>Yes</t>
        </is>
      </c>
      <c r="F215" s="15" t="inlineStr">
        <is>
          <t>Proposal</t>
        </is>
      </c>
      <c r="G215" s="25" t="n"/>
      <c r="H215" s="28" t="n">
        <v>0.5</v>
      </c>
      <c r="I215" s="26" t="n"/>
      <c r="J215" s="26" t="n"/>
      <c r="K215" s="25" t="n"/>
      <c r="L215" s="25" t="n"/>
      <c r="M215" s="25" t="n"/>
      <c r="N215" s="25" t="n"/>
      <c r="O215" s="25" t="n"/>
      <c r="P215" s="25" t="n"/>
      <c r="Q215" s="19">
        <f>IF($A215="","",COUNTIFS(Assignments!$C$2:$C$769,$A215,Assignments!$G$2:$G$769,"Active"))</f>
        <v/>
      </c>
      <c r="R215" s="20">
        <f>IF($A215="","",SUMIFS(Assignments!$I$2:$I$769,Assignments!$C$2:$C$769,$A215,Assignments!$G$2:$G$769,"Active"))</f>
        <v/>
      </c>
      <c r="S215" s="16" t="inlineStr">
        <is>
          <t>Proposal</t>
        </is>
      </c>
      <c r="T215" s="27" t="n"/>
      <c r="U215" s="25" t="n"/>
      <c r="V215" s="22">
        <f>IF($U215="","",IFERROR(INDEX(Templates!$K$3:$K$10,MATCH($U215,Templates!$A$3:$A$10,0)),""))</f>
        <v/>
      </c>
      <c r="W215" s="22">
        <f>IF($U215="","",IFERROR(INDEX(Templates!$L$3:$L$10,MATCH($U215,Templates!$A$3:$A$10,0)),""))</f>
        <v/>
      </c>
      <c r="X215" s="23">
        <f>IF($U215="","",IFERROR(INDEX(Templates!$J$3:$J$10,MATCH($U215,Templates!$A$3:$A$10,0)),""))</f>
        <v/>
      </c>
      <c r="Y215" s="24">
        <f>IF(OR($U215="",$I215="",$J215="",$X215=""),"",$I215+$X215*($J215-$I215))</f>
        <v/>
      </c>
    </row>
    <row r="216">
      <c r="A216" s="15" t="inlineStr">
        <is>
          <t>Avengers</t>
        </is>
      </c>
      <c r="B216" s="16" t="inlineStr">
        <is>
          <t>Morrison</t>
        </is>
      </c>
      <c r="C216" s="15" t="inlineStr">
        <is>
          <t>Morrison</t>
        </is>
      </c>
      <c r="D216" s="15" t="inlineStr"/>
      <c r="E216" s="15" t="inlineStr">
        <is>
          <t>No</t>
        </is>
      </c>
      <c r="F216" s="15" t="inlineStr">
        <is>
          <t>Proposal</t>
        </is>
      </c>
      <c r="G216" s="25" t="n"/>
      <c r="H216" s="28" t="n">
        <v>0.5</v>
      </c>
      <c r="I216" s="26" t="n"/>
      <c r="J216" s="26" t="n"/>
      <c r="K216" s="25" t="n"/>
      <c r="L216" s="25" t="n"/>
      <c r="M216" s="25" t="n"/>
      <c r="N216" s="25" t="n"/>
      <c r="O216" s="25" t="n"/>
      <c r="P216" s="25" t="n"/>
      <c r="Q216" s="19">
        <f>IF($A216="","",COUNTIFS(Assignments!$C$2:$C$769,$A216,Assignments!$G$2:$G$769,"Active"))</f>
        <v/>
      </c>
      <c r="R216" s="20">
        <f>IF($A216="","",SUMIFS(Assignments!$I$2:$I$769,Assignments!$C$2:$C$769,$A216,Assignments!$G$2:$G$769,"Active"))</f>
        <v/>
      </c>
      <c r="S216" s="16" t="inlineStr">
        <is>
          <t>Proposal</t>
        </is>
      </c>
      <c r="T216" s="27" t="n"/>
      <c r="U216" s="25" t="n"/>
      <c r="V216" s="22">
        <f>IF($U216="","",IFERROR(INDEX(Templates!$K$3:$K$10,MATCH($U216,Templates!$A$3:$A$10,0)),""))</f>
        <v/>
      </c>
      <c r="W216" s="22">
        <f>IF($U216="","",IFERROR(INDEX(Templates!$L$3:$L$10,MATCH($U216,Templates!$A$3:$A$10,0)),""))</f>
        <v/>
      </c>
      <c r="X216" s="23">
        <f>IF($U216="","",IFERROR(INDEX(Templates!$J$3:$J$10,MATCH($U216,Templates!$A$3:$A$10,0)),""))</f>
        <v/>
      </c>
      <c r="Y216" s="24">
        <f>IF(OR($U216="",$I216="",$J216="",$X216=""),"",$I216+$X216*($J216-$I216))</f>
        <v/>
      </c>
    </row>
    <row r="217">
      <c r="A217" s="15" t="inlineStr">
        <is>
          <t>Avlino_1</t>
        </is>
      </c>
      <c r="B217" s="16" t="inlineStr">
        <is>
          <t>Diversis Capital</t>
        </is>
      </c>
      <c r="C217" s="15" t="inlineStr">
        <is>
          <t>Diversis Capital</t>
        </is>
      </c>
      <c r="D217" s="15" t="inlineStr"/>
      <c r="E217" s="15" t="inlineStr">
        <is>
          <t>No</t>
        </is>
      </c>
      <c r="F217" s="15" t="inlineStr">
        <is>
          <t>Proposal</t>
        </is>
      </c>
      <c r="G217" s="25" t="n"/>
      <c r="H217" s="28" t="n">
        <v>0.5</v>
      </c>
      <c r="I217" s="26" t="n"/>
      <c r="J217" s="26" t="n"/>
      <c r="K217" s="25" t="n"/>
      <c r="L217" s="25" t="n"/>
      <c r="M217" s="25" t="n"/>
      <c r="N217" s="25" t="n"/>
      <c r="O217" s="25" t="n"/>
      <c r="P217" s="25" t="n"/>
      <c r="Q217" s="19">
        <f>IF($A217="","",COUNTIFS(Assignments!$C$2:$C$769,$A217,Assignments!$G$2:$G$769,"Active"))</f>
        <v/>
      </c>
      <c r="R217" s="20">
        <f>IF($A217="","",SUMIFS(Assignments!$I$2:$I$769,Assignments!$C$2:$C$769,$A217,Assignments!$G$2:$G$769,"Active"))</f>
        <v/>
      </c>
      <c r="S217" s="16" t="inlineStr">
        <is>
          <t>Summary tab only (Proposal)</t>
        </is>
      </c>
      <c r="T217" s="27" t="n"/>
      <c r="U217" s="25" t="n"/>
      <c r="V217" s="22">
        <f>IF($U217="","",IFERROR(INDEX(Templates!$K$3:$K$10,MATCH($U217,Templates!$A$3:$A$10,0)),""))</f>
        <v/>
      </c>
      <c r="W217" s="22">
        <f>IF($U217="","",IFERROR(INDEX(Templates!$L$3:$L$10,MATCH($U217,Templates!$A$3:$A$10,0)),""))</f>
        <v/>
      </c>
      <c r="X217" s="23">
        <f>IF($U217="","",IFERROR(INDEX(Templates!$J$3:$J$10,MATCH($U217,Templates!$A$3:$A$10,0)),""))</f>
        <v/>
      </c>
      <c r="Y217" s="24">
        <f>IF(OR($U217="",$I217="",$J217="",$X217=""),"",$I217+$X217*($J217-$I217))</f>
        <v/>
      </c>
    </row>
    <row r="218">
      <c r="A218" s="15" t="inlineStr">
        <is>
          <t>AZ BESS_1</t>
        </is>
      </c>
      <c r="B218" s="16" t="inlineStr">
        <is>
          <t>The Blackstone Group : Aypa Power : Coval Infrastructure DevCo Holdings LP</t>
        </is>
      </c>
      <c r="C218" s="15" t="inlineStr">
        <is>
          <t>The Blackstone Group</t>
        </is>
      </c>
      <c r="D218" s="15" t="inlineStr">
        <is>
          <t>Coval Infrastructure DevCo Holdings LP</t>
        </is>
      </c>
      <c r="E218" s="15" t="inlineStr">
        <is>
          <t>No</t>
        </is>
      </c>
      <c r="F218" s="15" t="inlineStr">
        <is>
          <t>Proposal</t>
        </is>
      </c>
      <c r="G218" s="25" t="n"/>
      <c r="H218" s="28" t="n">
        <v>0.5</v>
      </c>
      <c r="I218" s="26" t="n"/>
      <c r="J218" s="26" t="n"/>
      <c r="K218" s="25" t="n"/>
      <c r="L218" s="25" t="n"/>
      <c r="M218" s="25" t="n"/>
      <c r="N218" s="25" t="n"/>
      <c r="O218" s="25" t="n"/>
      <c r="P218" s="25" t="n"/>
      <c r="Q218" s="19">
        <f>IF($A218="","",COUNTIFS(Assignments!$C$2:$C$769,$A218,Assignments!$G$2:$G$769,"Active"))</f>
        <v/>
      </c>
      <c r="R218" s="20">
        <f>IF($A218="","",SUMIFS(Assignments!$I$2:$I$769,Assignments!$C$2:$C$769,$A218,Assignments!$G$2:$G$769,"Active"))</f>
        <v/>
      </c>
      <c r="S218" s="16" t="inlineStr">
        <is>
          <t>Proposal</t>
        </is>
      </c>
      <c r="T218" s="27" t="n"/>
      <c r="U218" s="25" t="n"/>
      <c r="V218" s="22">
        <f>IF($U218="","",IFERROR(INDEX(Templates!$K$3:$K$10,MATCH($U218,Templates!$A$3:$A$10,0)),""))</f>
        <v/>
      </c>
      <c r="W218" s="22">
        <f>IF($U218="","",IFERROR(INDEX(Templates!$L$3:$L$10,MATCH($U218,Templates!$A$3:$A$10,0)),""))</f>
        <v/>
      </c>
      <c r="X218" s="23">
        <f>IF($U218="","",IFERROR(INDEX(Templates!$J$3:$J$10,MATCH($U218,Templates!$A$3:$A$10,0)),""))</f>
        <v/>
      </c>
      <c r="Y218" s="24">
        <f>IF(OR($U218="",$I218="",$J218="",$X218=""),"",$I218+$X218*($J218-$I218))</f>
        <v/>
      </c>
    </row>
    <row r="219">
      <c r="A219" s="15" t="inlineStr">
        <is>
          <t>Battery_2</t>
        </is>
      </c>
      <c r="B219" s="16" t="inlineStr">
        <is>
          <t>Manulife : John Hancock</t>
        </is>
      </c>
      <c r="C219" s="15" t="inlineStr">
        <is>
          <t>Manulife</t>
        </is>
      </c>
      <c r="D219" s="15" t="inlineStr">
        <is>
          <t>John Hancock</t>
        </is>
      </c>
      <c r="E219" s="15" t="inlineStr">
        <is>
          <t>No</t>
        </is>
      </c>
      <c r="F219" s="15" t="inlineStr">
        <is>
          <t>Proposal</t>
        </is>
      </c>
      <c r="G219" s="25" t="n"/>
      <c r="H219" s="28" t="n">
        <v>0.5</v>
      </c>
      <c r="I219" s="26" t="n"/>
      <c r="J219" s="26" t="n"/>
      <c r="K219" s="25" t="n"/>
      <c r="L219" s="25" t="n"/>
      <c r="M219" s="25" t="n"/>
      <c r="N219" s="25" t="n"/>
      <c r="O219" s="25" t="n"/>
      <c r="P219" s="25" t="n"/>
      <c r="Q219" s="19">
        <f>IF($A219="","",COUNTIFS(Assignments!$C$2:$C$769,$A219,Assignments!$G$2:$G$769,"Active"))</f>
        <v/>
      </c>
      <c r="R219" s="20">
        <f>IF($A219="","",SUMIFS(Assignments!$I$2:$I$769,Assignments!$C$2:$C$769,$A219,Assignments!$G$2:$G$769,"Active"))</f>
        <v/>
      </c>
      <c r="S219" s="16" t="inlineStr">
        <is>
          <t>Proposal</t>
        </is>
      </c>
      <c r="T219" s="27" t="n"/>
      <c r="U219" s="25" t="n"/>
      <c r="V219" s="22">
        <f>IF($U219="","",IFERROR(INDEX(Templates!$K$3:$K$10,MATCH($U219,Templates!$A$3:$A$10,0)),""))</f>
        <v/>
      </c>
      <c r="W219" s="22">
        <f>IF($U219="","",IFERROR(INDEX(Templates!$L$3:$L$10,MATCH($U219,Templates!$A$3:$A$10,0)),""))</f>
        <v/>
      </c>
      <c r="X219" s="23">
        <f>IF($U219="","",IFERROR(INDEX(Templates!$J$3:$J$10,MATCH($U219,Templates!$A$3:$A$10,0)),""))</f>
        <v/>
      </c>
      <c r="Y219" s="24">
        <f>IF(OR($U219="",$I219="",$J219="",$X219=""),"",$I219+$X219*($J219-$I219))</f>
        <v/>
      </c>
    </row>
    <row r="220">
      <c r="A220" s="15" t="inlineStr">
        <is>
          <t>Beauty_3</t>
        </is>
      </c>
      <c r="B220" s="16" t="inlineStr">
        <is>
          <t>Eight Advisory (Referral Source)</t>
        </is>
      </c>
      <c r="C220" s="15" t="inlineStr">
        <is>
          <t>Eight Advisory</t>
        </is>
      </c>
      <c r="D220" s="15" t="inlineStr"/>
      <c r="E220" s="15" t="inlineStr">
        <is>
          <t>Yes</t>
        </is>
      </c>
      <c r="F220" s="15" t="inlineStr">
        <is>
          <t>Proposal</t>
        </is>
      </c>
      <c r="G220" s="25" t="n"/>
      <c r="H220" s="28" t="n">
        <v>0.5</v>
      </c>
      <c r="I220" s="26" t="n"/>
      <c r="J220" s="26" t="n"/>
      <c r="K220" s="25" t="n"/>
      <c r="L220" s="25" t="n"/>
      <c r="M220" s="25" t="n"/>
      <c r="N220" s="25" t="n"/>
      <c r="O220" s="25" t="n"/>
      <c r="P220" s="25" t="n"/>
      <c r="Q220" s="19">
        <f>IF($A220="","",COUNTIFS(Assignments!$C$2:$C$769,$A220,Assignments!$G$2:$G$769,"Active"))</f>
        <v/>
      </c>
      <c r="R220" s="20">
        <f>IF($A220="","",SUMIFS(Assignments!$I$2:$I$769,Assignments!$C$2:$C$769,$A220,Assignments!$G$2:$G$769,"Active"))</f>
        <v/>
      </c>
      <c r="S220" s="16" t="inlineStr">
        <is>
          <t>Proposal</t>
        </is>
      </c>
      <c r="T220" s="27" t="n"/>
      <c r="U220" s="25" t="n"/>
      <c r="V220" s="22">
        <f>IF($U220="","",IFERROR(INDEX(Templates!$K$3:$K$10,MATCH($U220,Templates!$A$3:$A$10,0)),""))</f>
        <v/>
      </c>
      <c r="W220" s="22">
        <f>IF($U220="","",IFERROR(INDEX(Templates!$L$3:$L$10,MATCH($U220,Templates!$A$3:$A$10,0)),""))</f>
        <v/>
      </c>
      <c r="X220" s="23">
        <f>IF($U220="","",IFERROR(INDEX(Templates!$J$3:$J$10,MATCH($U220,Templates!$A$3:$A$10,0)),""))</f>
        <v/>
      </c>
      <c r="Y220" s="24">
        <f>IF(OR($U220="",$I220="",$J220="",$X220=""),"",$I220+$X220*($J220-$I220))</f>
        <v/>
      </c>
    </row>
    <row r="221">
      <c r="A221" s="15" t="inlineStr">
        <is>
          <t>Biochar_1</t>
        </is>
      </c>
      <c r="B221" s="16" t="inlineStr">
        <is>
          <t>Sands Point Risk</t>
        </is>
      </c>
      <c r="C221" s="15" t="inlineStr">
        <is>
          <t>Sands Point Risk</t>
        </is>
      </c>
      <c r="D221" s="15" t="inlineStr"/>
      <c r="E221" s="15" t="inlineStr">
        <is>
          <t>No</t>
        </is>
      </c>
      <c r="F221" s="15" t="inlineStr">
        <is>
          <t>Proposal</t>
        </is>
      </c>
      <c r="G221" s="25" t="n"/>
      <c r="H221" s="28" t="n">
        <v>0.5</v>
      </c>
      <c r="I221" s="26" t="n"/>
      <c r="J221" s="26" t="n"/>
      <c r="K221" s="25" t="n"/>
      <c r="L221" s="25" t="n"/>
      <c r="M221" s="25" t="n"/>
      <c r="N221" s="25" t="n"/>
      <c r="O221" s="25" t="n"/>
      <c r="P221" s="25" t="n"/>
      <c r="Q221" s="19">
        <f>IF($A221="","",COUNTIFS(Assignments!$C$2:$C$769,$A221,Assignments!$G$2:$G$769,"Active"))</f>
        <v/>
      </c>
      <c r="R221" s="20">
        <f>IF($A221="","",SUMIFS(Assignments!$I$2:$I$769,Assignments!$C$2:$C$769,$A221,Assignments!$G$2:$G$769,"Active"))</f>
        <v/>
      </c>
      <c r="S221" s="16" t="inlineStr">
        <is>
          <t>Proposal</t>
        </is>
      </c>
      <c r="T221" s="27" t="n"/>
      <c r="U221" s="25" t="n"/>
      <c r="V221" s="22">
        <f>IF($U221="","",IFERROR(INDEX(Templates!$K$3:$K$10,MATCH($U221,Templates!$A$3:$A$10,0)),""))</f>
        <v/>
      </c>
      <c r="W221" s="22">
        <f>IF($U221="","",IFERROR(INDEX(Templates!$L$3:$L$10,MATCH($U221,Templates!$A$3:$A$10,0)),""))</f>
        <v/>
      </c>
      <c r="X221" s="23">
        <f>IF($U221="","",IFERROR(INDEX(Templates!$J$3:$J$10,MATCH($U221,Templates!$A$3:$A$10,0)),""))</f>
        <v/>
      </c>
      <c r="Y221" s="24">
        <f>IF(OR($U221="",$I221="",$J221="",$X221=""),"",$I221+$X221*($J221-$I221))</f>
        <v/>
      </c>
    </row>
    <row r="222">
      <c r="A222" s="15" t="inlineStr">
        <is>
          <t>Broadway_1</t>
        </is>
      </c>
      <c r="B222" s="16" t="inlineStr">
        <is>
          <t>Manulife : John Hancock</t>
        </is>
      </c>
      <c r="C222" s="15" t="inlineStr">
        <is>
          <t>Manulife</t>
        </is>
      </c>
      <c r="D222" s="15" t="inlineStr">
        <is>
          <t>John Hancock</t>
        </is>
      </c>
      <c r="E222" s="15" t="inlineStr">
        <is>
          <t>No</t>
        </is>
      </c>
      <c r="F222" s="15" t="inlineStr">
        <is>
          <t>Proposal</t>
        </is>
      </c>
      <c r="G222" s="25" t="n"/>
      <c r="H222" s="28" t="n">
        <v>0.5</v>
      </c>
      <c r="I222" s="26" t="n"/>
      <c r="J222" s="26" t="n"/>
      <c r="K222" s="25" t="n"/>
      <c r="L222" s="25" t="n"/>
      <c r="M222" s="25" t="n"/>
      <c r="N222" s="25" t="n"/>
      <c r="O222" s="25" t="n"/>
      <c r="P222" s="25" t="n"/>
      <c r="Q222" s="19">
        <f>IF($A222="","",COUNTIFS(Assignments!$C$2:$C$769,$A222,Assignments!$G$2:$G$769,"Active"))</f>
        <v/>
      </c>
      <c r="R222" s="20">
        <f>IF($A222="","",SUMIFS(Assignments!$I$2:$I$769,Assignments!$C$2:$C$769,$A222,Assignments!$G$2:$G$769,"Active"))</f>
        <v/>
      </c>
      <c r="S222" s="16" t="inlineStr">
        <is>
          <t>Proposal</t>
        </is>
      </c>
      <c r="T222" s="27" t="n"/>
      <c r="U222" s="25" t="n"/>
      <c r="V222" s="22">
        <f>IF($U222="","",IFERROR(INDEX(Templates!$K$3:$K$10,MATCH($U222,Templates!$A$3:$A$10,0)),""))</f>
        <v/>
      </c>
      <c r="W222" s="22">
        <f>IF($U222="","",IFERROR(INDEX(Templates!$L$3:$L$10,MATCH($U222,Templates!$A$3:$A$10,0)),""))</f>
        <v/>
      </c>
      <c r="X222" s="23">
        <f>IF($U222="","",IFERROR(INDEX(Templates!$J$3:$J$10,MATCH($U222,Templates!$A$3:$A$10,0)),""))</f>
        <v/>
      </c>
      <c r="Y222" s="24">
        <f>IF(OR($U222="",$I222="",$J222="",$X222=""),"",$I222+$X222*($J222-$I222))</f>
        <v/>
      </c>
    </row>
    <row r="223">
      <c r="A223" s="15" t="inlineStr">
        <is>
          <t>Cactus</t>
        </is>
      </c>
      <c r="B223" s="16" t="inlineStr">
        <is>
          <t>Morrison</t>
        </is>
      </c>
      <c r="C223" s="15" t="inlineStr">
        <is>
          <t>Morrison</t>
        </is>
      </c>
      <c r="D223" s="15" t="inlineStr"/>
      <c r="E223" s="15" t="inlineStr">
        <is>
          <t>No</t>
        </is>
      </c>
      <c r="F223" s="15" t="inlineStr">
        <is>
          <t>Proposal</t>
        </is>
      </c>
      <c r="G223" s="25" t="n"/>
      <c r="H223" s="28" t="n">
        <v>0.5</v>
      </c>
      <c r="I223" s="26" t="n"/>
      <c r="J223" s="26" t="n"/>
      <c r="K223" s="25" t="n"/>
      <c r="L223" s="25" t="n"/>
      <c r="M223" s="25" t="n"/>
      <c r="N223" s="25" t="n"/>
      <c r="O223" s="25" t="n"/>
      <c r="P223" s="25" t="n"/>
      <c r="Q223" s="19">
        <f>IF($A223="","",COUNTIFS(Assignments!$C$2:$C$769,$A223,Assignments!$G$2:$G$769,"Active"))</f>
        <v/>
      </c>
      <c r="R223" s="20">
        <f>IF($A223="","",SUMIFS(Assignments!$I$2:$I$769,Assignments!$C$2:$C$769,$A223,Assignments!$G$2:$G$769,"Active"))</f>
        <v/>
      </c>
      <c r="S223" s="16" t="inlineStr">
        <is>
          <t>Proposal</t>
        </is>
      </c>
      <c r="T223" s="27" t="n"/>
      <c r="U223" s="25" t="n"/>
      <c r="V223" s="22">
        <f>IF($U223="","",IFERROR(INDEX(Templates!$K$3:$K$10,MATCH($U223,Templates!$A$3:$A$10,0)),""))</f>
        <v/>
      </c>
      <c r="W223" s="22">
        <f>IF($U223="","",IFERROR(INDEX(Templates!$L$3:$L$10,MATCH($U223,Templates!$A$3:$A$10,0)),""))</f>
        <v/>
      </c>
      <c r="X223" s="23">
        <f>IF($U223="","",IFERROR(INDEX(Templates!$J$3:$J$10,MATCH($U223,Templates!$A$3:$A$10,0)),""))</f>
        <v/>
      </c>
      <c r="Y223" s="24">
        <f>IF(OR($U223="",$I223="",$J223="",$X223=""),"",$I223+$X223*($J223-$I223))</f>
        <v/>
      </c>
    </row>
    <row r="224">
      <c r="A224" s="15" t="inlineStr">
        <is>
          <t>Calistoga_1</t>
        </is>
      </c>
      <c r="B224" s="16" t="inlineStr">
        <is>
          <t>Solertia MGA Ltd.</t>
        </is>
      </c>
      <c r="C224" s="15" t="inlineStr">
        <is>
          <t>Solertia MGA Ltd.</t>
        </is>
      </c>
      <c r="D224" s="15" t="inlineStr"/>
      <c r="E224" s="15" t="inlineStr">
        <is>
          <t>No</t>
        </is>
      </c>
      <c r="F224" s="15" t="inlineStr">
        <is>
          <t>Proposal</t>
        </is>
      </c>
      <c r="G224" s="25" t="n"/>
      <c r="H224" s="28" t="n">
        <v>0.5</v>
      </c>
      <c r="I224" s="26" t="n"/>
      <c r="J224" s="26" t="n"/>
      <c r="K224" s="25" t="n"/>
      <c r="L224" s="25" t="n"/>
      <c r="M224" s="25" t="n"/>
      <c r="N224" s="25" t="n"/>
      <c r="O224" s="25" t="n"/>
      <c r="P224" s="25" t="n"/>
      <c r="Q224" s="19">
        <f>IF($A224="","",COUNTIFS(Assignments!$C$2:$C$769,$A224,Assignments!$G$2:$G$769,"Active"))</f>
        <v/>
      </c>
      <c r="R224" s="20">
        <f>IF($A224="","",SUMIFS(Assignments!$I$2:$I$769,Assignments!$C$2:$C$769,$A224,Assignments!$G$2:$G$769,"Active"))</f>
        <v/>
      </c>
      <c r="S224" s="16" t="inlineStr">
        <is>
          <t>Proposal</t>
        </is>
      </c>
      <c r="T224" s="27" t="n"/>
      <c r="U224" s="25" t="n"/>
      <c r="V224" s="22">
        <f>IF($U224="","",IFERROR(INDEX(Templates!$K$3:$K$10,MATCH($U224,Templates!$A$3:$A$10,0)),""))</f>
        <v/>
      </c>
      <c r="W224" s="22">
        <f>IF($U224="","",IFERROR(INDEX(Templates!$L$3:$L$10,MATCH($U224,Templates!$A$3:$A$10,0)),""))</f>
        <v/>
      </c>
      <c r="X224" s="23">
        <f>IF($U224="","",IFERROR(INDEX(Templates!$J$3:$J$10,MATCH($U224,Templates!$A$3:$A$10,0)),""))</f>
        <v/>
      </c>
      <c r="Y224" s="24">
        <f>IF(OR($U224="",$I224="",$J224="",$X224=""),"",$I224+$X224*($J224-$I224))</f>
        <v/>
      </c>
    </row>
    <row r="225">
      <c r="A225" s="15" t="inlineStr">
        <is>
          <t>CAN Rail_1</t>
        </is>
      </c>
      <c r="B225" s="16" t="inlineStr">
        <is>
          <t>Manulife : John Hancock</t>
        </is>
      </c>
      <c r="C225" s="15" t="inlineStr">
        <is>
          <t>Manulife</t>
        </is>
      </c>
      <c r="D225" s="15" t="inlineStr">
        <is>
          <t>John Hancock</t>
        </is>
      </c>
      <c r="E225" s="15" t="inlineStr">
        <is>
          <t>No</t>
        </is>
      </c>
      <c r="F225" s="15" t="inlineStr">
        <is>
          <t>Proposal</t>
        </is>
      </c>
      <c r="G225" s="25" t="n"/>
      <c r="H225" s="28" t="n">
        <v>0.5</v>
      </c>
      <c r="I225" s="26" t="n"/>
      <c r="J225" s="26" t="n"/>
      <c r="K225" s="25" t="n"/>
      <c r="L225" s="25" t="n"/>
      <c r="M225" s="25" t="n"/>
      <c r="N225" s="25" t="n"/>
      <c r="O225" s="25" t="n"/>
      <c r="P225" s="25" t="n"/>
      <c r="Q225" s="19">
        <f>IF($A225="","",COUNTIFS(Assignments!$C$2:$C$769,$A225,Assignments!$G$2:$G$769,"Active"))</f>
        <v/>
      </c>
      <c r="R225" s="20">
        <f>IF($A225="","",SUMIFS(Assignments!$I$2:$I$769,Assignments!$C$2:$C$769,$A225,Assignments!$G$2:$G$769,"Active"))</f>
        <v/>
      </c>
      <c r="S225" s="16" t="inlineStr">
        <is>
          <t>Proposal</t>
        </is>
      </c>
      <c r="T225" s="27" t="n"/>
      <c r="U225" s="25" t="n"/>
      <c r="V225" s="22">
        <f>IF($U225="","",IFERROR(INDEX(Templates!$K$3:$K$10,MATCH($U225,Templates!$A$3:$A$10,0)),""))</f>
        <v/>
      </c>
      <c r="W225" s="22">
        <f>IF($U225="","",IFERROR(INDEX(Templates!$L$3:$L$10,MATCH($U225,Templates!$A$3:$A$10,0)),""))</f>
        <v/>
      </c>
      <c r="X225" s="23">
        <f>IF($U225="","",IFERROR(INDEX(Templates!$J$3:$J$10,MATCH($U225,Templates!$A$3:$A$10,0)),""))</f>
        <v/>
      </c>
      <c r="Y225" s="24">
        <f>IF(OR($U225="",$I225="",$J225="",$X225=""),"",$I225+$X225*($J225-$I225))</f>
        <v/>
      </c>
    </row>
    <row r="226">
      <c r="A226" s="15" t="inlineStr">
        <is>
          <t>Canoe_1</t>
        </is>
      </c>
      <c r="B226" s="16" t="inlineStr">
        <is>
          <t>Eight Advisory (Referral Source)</t>
        </is>
      </c>
      <c r="C226" s="15" t="inlineStr">
        <is>
          <t>Eight Advisory</t>
        </is>
      </c>
      <c r="D226" s="15" t="inlineStr"/>
      <c r="E226" s="15" t="inlineStr">
        <is>
          <t>Yes</t>
        </is>
      </c>
      <c r="F226" s="15" t="inlineStr">
        <is>
          <t>Proposal</t>
        </is>
      </c>
      <c r="G226" s="25" t="n"/>
      <c r="H226" s="28" t="n">
        <v>0.5</v>
      </c>
      <c r="I226" s="26" t="n"/>
      <c r="J226" s="26" t="n"/>
      <c r="K226" s="25" t="n"/>
      <c r="L226" s="25" t="n"/>
      <c r="M226" s="25" t="n"/>
      <c r="N226" s="25" t="n"/>
      <c r="O226" s="25" t="n"/>
      <c r="P226" s="25" t="n"/>
      <c r="Q226" s="19">
        <f>IF($A226="","",COUNTIFS(Assignments!$C$2:$C$769,$A226,Assignments!$G$2:$G$769,"Active"))</f>
        <v/>
      </c>
      <c r="R226" s="20">
        <f>IF($A226="","",SUMIFS(Assignments!$I$2:$I$769,Assignments!$C$2:$C$769,$A226,Assignments!$G$2:$G$769,"Active"))</f>
        <v/>
      </c>
      <c r="S226" s="16" t="inlineStr">
        <is>
          <t>Proposal</t>
        </is>
      </c>
      <c r="T226" s="27" t="n"/>
      <c r="U226" s="25" t="n"/>
      <c r="V226" s="22">
        <f>IF($U226="","",IFERROR(INDEX(Templates!$K$3:$K$10,MATCH($U226,Templates!$A$3:$A$10,0)),""))</f>
        <v/>
      </c>
      <c r="W226" s="22">
        <f>IF($U226="","",IFERROR(INDEX(Templates!$L$3:$L$10,MATCH($U226,Templates!$A$3:$A$10,0)),""))</f>
        <v/>
      </c>
      <c r="X226" s="23">
        <f>IF($U226="","",IFERROR(INDEX(Templates!$J$3:$J$10,MATCH($U226,Templates!$A$3:$A$10,0)),""))</f>
        <v/>
      </c>
      <c r="Y226" s="24">
        <f>IF(OR($U226="",$I226="",$J226="",$X226=""),"",$I226+$X226*($J226-$I226))</f>
        <v/>
      </c>
    </row>
    <row r="227">
      <c r="A227" s="15" t="inlineStr">
        <is>
          <t>Catalyze_2</t>
        </is>
      </c>
      <c r="B227" s="16" t="inlineStr">
        <is>
          <t>Catalyze</t>
        </is>
      </c>
      <c r="C227" s="15" t="inlineStr">
        <is>
          <t>Catalyze</t>
        </is>
      </c>
      <c r="D227" s="15" t="inlineStr"/>
      <c r="E227" s="15" t="inlineStr">
        <is>
          <t>No</t>
        </is>
      </c>
      <c r="F227" s="15" t="inlineStr">
        <is>
          <t>Proposal</t>
        </is>
      </c>
      <c r="G227" s="25" t="n"/>
      <c r="H227" s="28" t="n">
        <v>0.5</v>
      </c>
      <c r="I227" s="26" t="n"/>
      <c r="J227" s="26" t="n"/>
      <c r="K227" s="25" t="n"/>
      <c r="L227" s="25" t="n"/>
      <c r="M227" s="25" t="n"/>
      <c r="N227" s="25" t="n"/>
      <c r="O227" s="25" t="n"/>
      <c r="P227" s="25" t="n"/>
      <c r="Q227" s="19">
        <f>IF($A227="","",COUNTIFS(Assignments!$C$2:$C$769,$A227,Assignments!$G$2:$G$769,"Active"))</f>
        <v/>
      </c>
      <c r="R227" s="20">
        <f>IF($A227="","",SUMIFS(Assignments!$I$2:$I$769,Assignments!$C$2:$C$769,$A227,Assignments!$G$2:$G$769,"Active"))</f>
        <v/>
      </c>
      <c r="S227" s="16" t="inlineStr">
        <is>
          <t>Proposal</t>
        </is>
      </c>
      <c r="T227" s="27" t="n"/>
      <c r="U227" s="25" t="n"/>
      <c r="V227" s="22">
        <f>IF($U227="","",IFERROR(INDEX(Templates!$K$3:$K$10,MATCH($U227,Templates!$A$3:$A$10,0)),""))</f>
        <v/>
      </c>
      <c r="W227" s="22">
        <f>IF($U227="","",IFERROR(INDEX(Templates!$L$3:$L$10,MATCH($U227,Templates!$A$3:$A$10,0)),""))</f>
        <v/>
      </c>
      <c r="X227" s="23">
        <f>IF($U227="","",IFERROR(INDEX(Templates!$J$3:$J$10,MATCH($U227,Templates!$A$3:$A$10,0)),""))</f>
        <v/>
      </c>
      <c r="Y227" s="24">
        <f>IF(OR($U227="",$I227="",$J227="",$X227=""),"",$I227+$X227*($J227-$I227))</f>
        <v/>
      </c>
    </row>
    <row r="228">
      <c r="A228" s="15" t="inlineStr">
        <is>
          <t>Cirque</t>
        </is>
      </c>
      <c r="B228" s="16" t="inlineStr">
        <is>
          <t>Gauge</t>
        </is>
      </c>
      <c r="C228" s="15" t="inlineStr">
        <is>
          <t>Gauge</t>
        </is>
      </c>
      <c r="D228" s="15" t="inlineStr"/>
      <c r="E228" s="15" t="inlineStr">
        <is>
          <t>No</t>
        </is>
      </c>
      <c r="F228" s="15" t="inlineStr">
        <is>
          <t>Proposal</t>
        </is>
      </c>
      <c r="G228" s="25" t="n"/>
      <c r="H228" s="28" t="n">
        <v>0.5</v>
      </c>
      <c r="I228" s="26" t="n"/>
      <c r="J228" s="26" t="n"/>
      <c r="K228" s="25" t="n"/>
      <c r="L228" s="25" t="n"/>
      <c r="M228" s="25" t="n"/>
      <c r="N228" s="25" t="n"/>
      <c r="O228" s="25" t="n"/>
      <c r="P228" s="25" t="n"/>
      <c r="Q228" s="19">
        <f>IF($A228="","",COUNTIFS(Assignments!$C$2:$C$769,$A228,Assignments!$G$2:$G$769,"Active"))</f>
        <v/>
      </c>
      <c r="R228" s="20">
        <f>IF($A228="","",SUMIFS(Assignments!$I$2:$I$769,Assignments!$C$2:$C$769,$A228,Assignments!$G$2:$G$769,"Active"))</f>
        <v/>
      </c>
      <c r="S228" s="16" t="inlineStr">
        <is>
          <t>Summary tab only (Proposal)</t>
        </is>
      </c>
      <c r="T228" s="27" t="n"/>
      <c r="U228" s="25" t="n"/>
      <c r="V228" s="22">
        <f>IF($U228="","",IFERROR(INDEX(Templates!$K$3:$K$10,MATCH($U228,Templates!$A$3:$A$10,0)),""))</f>
        <v/>
      </c>
      <c r="W228" s="22">
        <f>IF($U228="","",IFERROR(INDEX(Templates!$L$3:$L$10,MATCH($U228,Templates!$A$3:$A$10,0)),""))</f>
        <v/>
      </c>
      <c r="X228" s="23">
        <f>IF($U228="","",IFERROR(INDEX(Templates!$J$3:$J$10,MATCH($U228,Templates!$A$3:$A$10,0)),""))</f>
        <v/>
      </c>
      <c r="Y228" s="24">
        <f>IF(OR($U228="",$I228="",$J228="",$X228=""),"",$I228+$X228*($J228-$I228))</f>
        <v/>
      </c>
    </row>
    <row r="229">
      <c r="A229" s="15" t="inlineStr">
        <is>
          <t>Clenara_1</t>
        </is>
      </c>
      <c r="B229" s="16" t="inlineStr">
        <is>
          <t>Ryan Transactional Risk : Themis Underwriting</t>
        </is>
      </c>
      <c r="C229" s="15" t="inlineStr">
        <is>
          <t>Ryan Transactional Risk</t>
        </is>
      </c>
      <c r="D229" s="15" t="inlineStr">
        <is>
          <t>Themis Underwriting</t>
        </is>
      </c>
      <c r="E229" s="15" t="inlineStr">
        <is>
          <t>No</t>
        </is>
      </c>
      <c r="F229" s="15" t="inlineStr">
        <is>
          <t>Proposal</t>
        </is>
      </c>
      <c r="G229" s="25" t="n"/>
      <c r="H229" s="28" t="n">
        <v>0.5</v>
      </c>
      <c r="I229" s="26" t="n"/>
      <c r="J229" s="26" t="n"/>
      <c r="K229" s="25" t="n"/>
      <c r="L229" s="25" t="n"/>
      <c r="M229" s="25" t="n"/>
      <c r="N229" s="25" t="n"/>
      <c r="O229" s="25" t="n"/>
      <c r="P229" s="25" t="n"/>
      <c r="Q229" s="19">
        <f>IF($A229="","",COUNTIFS(Assignments!$C$2:$C$769,$A229,Assignments!$G$2:$G$769,"Active"))</f>
        <v/>
      </c>
      <c r="R229" s="20">
        <f>IF($A229="","",SUMIFS(Assignments!$I$2:$I$769,Assignments!$C$2:$C$769,$A229,Assignments!$G$2:$G$769,"Active"))</f>
        <v/>
      </c>
      <c r="S229" s="16" t="inlineStr">
        <is>
          <t>Proposal</t>
        </is>
      </c>
      <c r="T229" s="27" t="n"/>
      <c r="U229" s="25" t="n"/>
      <c r="V229" s="22">
        <f>IF($U229="","",IFERROR(INDEX(Templates!$K$3:$K$10,MATCH($U229,Templates!$A$3:$A$10,0)),""))</f>
        <v/>
      </c>
      <c r="W229" s="22">
        <f>IF($U229="","",IFERROR(INDEX(Templates!$L$3:$L$10,MATCH($U229,Templates!$A$3:$A$10,0)),""))</f>
        <v/>
      </c>
      <c r="X229" s="23">
        <f>IF($U229="","",IFERROR(INDEX(Templates!$J$3:$J$10,MATCH($U229,Templates!$A$3:$A$10,0)),""))</f>
        <v/>
      </c>
      <c r="Y229" s="24">
        <f>IF(OR($U229="",$I229="",$J229="",$X229=""),"",$I229+$X229*($J229-$I229))</f>
        <v/>
      </c>
    </row>
    <row r="230">
      <c r="A230" s="15" t="inlineStr">
        <is>
          <t>CNX_1</t>
        </is>
      </c>
      <c r="B230" s="16" t="inlineStr">
        <is>
          <t>Solertia MGA Ltd.</t>
        </is>
      </c>
      <c r="C230" s="15" t="inlineStr">
        <is>
          <t>Solertia MGA Ltd.</t>
        </is>
      </c>
      <c r="D230" s="15" t="inlineStr"/>
      <c r="E230" s="15" t="inlineStr">
        <is>
          <t>No</t>
        </is>
      </c>
      <c r="F230" s="15" t="inlineStr">
        <is>
          <t>Proposal</t>
        </is>
      </c>
      <c r="G230" s="25" t="n"/>
      <c r="H230" s="28" t="n">
        <v>0.5</v>
      </c>
      <c r="I230" s="26" t="n"/>
      <c r="J230" s="26" t="n"/>
      <c r="K230" s="25" t="n"/>
      <c r="L230" s="25" t="n"/>
      <c r="M230" s="25" t="n"/>
      <c r="N230" s="25" t="n"/>
      <c r="O230" s="25" t="n"/>
      <c r="P230" s="25" t="n"/>
      <c r="Q230" s="19">
        <f>IF($A230="","",COUNTIFS(Assignments!$C$2:$C$769,$A230,Assignments!$G$2:$G$769,"Active"))</f>
        <v/>
      </c>
      <c r="R230" s="20">
        <f>IF($A230="","",SUMIFS(Assignments!$I$2:$I$769,Assignments!$C$2:$C$769,$A230,Assignments!$G$2:$G$769,"Active"))</f>
        <v/>
      </c>
      <c r="S230" s="16" t="inlineStr">
        <is>
          <t>Proposal</t>
        </is>
      </c>
      <c r="T230" s="27" t="n"/>
      <c r="U230" s="25" t="n"/>
      <c r="V230" s="22">
        <f>IF($U230="","",IFERROR(INDEX(Templates!$K$3:$K$10,MATCH($U230,Templates!$A$3:$A$10,0)),""))</f>
        <v/>
      </c>
      <c r="W230" s="22">
        <f>IF($U230="","",IFERROR(INDEX(Templates!$L$3:$L$10,MATCH($U230,Templates!$A$3:$A$10,0)),""))</f>
        <v/>
      </c>
      <c r="X230" s="23">
        <f>IF($U230="","",IFERROR(INDEX(Templates!$J$3:$J$10,MATCH($U230,Templates!$A$3:$A$10,0)),""))</f>
        <v/>
      </c>
      <c r="Y230" s="24">
        <f>IF(OR($U230="",$I230="",$J230="",$X230=""),"",$I230+$X230*($J230-$I230))</f>
        <v/>
      </c>
    </row>
    <row r="231">
      <c r="A231" s="15" t="inlineStr">
        <is>
          <t>code not yet requested</t>
        </is>
      </c>
      <c r="B231" s="16" t="inlineStr">
        <is>
          <t>Mascarene</t>
        </is>
      </c>
      <c r="C231" s="15" t="inlineStr">
        <is>
          <t>Mascarene</t>
        </is>
      </c>
      <c r="D231" s="15" t="inlineStr"/>
      <c r="E231" s="15" t="inlineStr">
        <is>
          <t>No</t>
        </is>
      </c>
      <c r="F231" s="15" t="inlineStr">
        <is>
          <t>Proposal</t>
        </is>
      </c>
      <c r="G231" s="25" t="n"/>
      <c r="H231" s="28" t="n">
        <v>0.5</v>
      </c>
      <c r="I231" s="26" t="n"/>
      <c r="J231" s="26" t="n"/>
      <c r="K231" s="25" t="n"/>
      <c r="L231" s="25" t="n"/>
      <c r="M231" s="25" t="n"/>
      <c r="N231" s="25" t="n"/>
      <c r="O231" s="25" t="n"/>
      <c r="P231" s="25" t="n"/>
      <c r="Q231" s="19">
        <f>IF($A231="","",COUNTIFS(Assignments!$C$2:$C$769,$A231,Assignments!$G$2:$G$769,"Active"))</f>
        <v/>
      </c>
      <c r="R231" s="20">
        <f>IF($A231="","",SUMIFS(Assignments!$I$2:$I$769,Assignments!$C$2:$C$769,$A231,Assignments!$G$2:$G$769,"Active"))</f>
        <v/>
      </c>
      <c r="S231" s="16" t="inlineStr">
        <is>
          <t>Summary tab only (Proposal)</t>
        </is>
      </c>
      <c r="T231" s="27" t="n"/>
      <c r="U231" s="25" t="n"/>
      <c r="V231" s="22">
        <f>IF($U231="","",IFERROR(INDEX(Templates!$K$3:$K$10,MATCH($U231,Templates!$A$3:$A$10,0)),""))</f>
        <v/>
      </c>
      <c r="W231" s="22">
        <f>IF($U231="","",IFERROR(INDEX(Templates!$L$3:$L$10,MATCH($U231,Templates!$A$3:$A$10,0)),""))</f>
        <v/>
      </c>
      <c r="X231" s="23">
        <f>IF($U231="","",IFERROR(INDEX(Templates!$J$3:$J$10,MATCH($U231,Templates!$A$3:$A$10,0)),""))</f>
        <v/>
      </c>
      <c r="Y231" s="24">
        <f>IF(OR($U231="",$I231="",$J231="",$X231=""),"",$I231+$X231*($J231-$I231))</f>
        <v/>
      </c>
    </row>
    <row r="232">
      <c r="A232" s="15" t="inlineStr">
        <is>
          <t>Contango_1</t>
        </is>
      </c>
      <c r="B232" s="16" t="inlineStr">
        <is>
          <t>Certa</t>
        </is>
      </c>
      <c r="C232" s="15" t="inlineStr">
        <is>
          <t>Certa</t>
        </is>
      </c>
      <c r="D232" s="15" t="inlineStr"/>
      <c r="E232" s="15" t="inlineStr">
        <is>
          <t>No</t>
        </is>
      </c>
      <c r="F232" s="15" t="inlineStr">
        <is>
          <t>Proposal</t>
        </is>
      </c>
      <c r="G232" s="25" t="n"/>
      <c r="H232" s="28" t="n">
        <v>0.5</v>
      </c>
      <c r="I232" s="26" t="n"/>
      <c r="J232" s="26" t="n"/>
      <c r="K232" s="25" t="n"/>
      <c r="L232" s="25" t="n"/>
      <c r="M232" s="25" t="n"/>
      <c r="N232" s="25" t="n"/>
      <c r="O232" s="25" t="n"/>
      <c r="P232" s="25" t="n"/>
      <c r="Q232" s="19">
        <f>IF($A232="","",COUNTIFS(Assignments!$C$2:$C$769,$A232,Assignments!$G$2:$G$769,"Active"))</f>
        <v/>
      </c>
      <c r="R232" s="20">
        <f>IF($A232="","",SUMIFS(Assignments!$I$2:$I$769,Assignments!$C$2:$C$769,$A232,Assignments!$G$2:$G$769,"Active"))</f>
        <v/>
      </c>
      <c r="S232" s="16" t="inlineStr">
        <is>
          <t>Proposal</t>
        </is>
      </c>
      <c r="T232" s="27" t="n"/>
      <c r="U232" s="25" t="n"/>
      <c r="V232" s="22">
        <f>IF($U232="","",IFERROR(INDEX(Templates!$K$3:$K$10,MATCH($U232,Templates!$A$3:$A$10,0)),""))</f>
        <v/>
      </c>
      <c r="W232" s="22">
        <f>IF($U232="","",IFERROR(INDEX(Templates!$L$3:$L$10,MATCH($U232,Templates!$A$3:$A$10,0)),""))</f>
        <v/>
      </c>
      <c r="X232" s="23">
        <f>IF($U232="","",IFERROR(INDEX(Templates!$J$3:$J$10,MATCH($U232,Templates!$A$3:$A$10,0)),""))</f>
        <v/>
      </c>
      <c r="Y232" s="24">
        <f>IF(OR($U232="",$I232="",$J232="",$X232=""),"",$I232+$X232*($J232-$I232))</f>
        <v/>
      </c>
    </row>
    <row r="233">
      <c r="A233" s="15" t="inlineStr">
        <is>
          <t>Craft_1</t>
        </is>
      </c>
      <c r="B233" s="16" t="inlineStr">
        <is>
          <t>Eight Advisory (Referral Source)</t>
        </is>
      </c>
      <c r="C233" s="15" t="inlineStr">
        <is>
          <t>Eight Advisory</t>
        </is>
      </c>
      <c r="D233" s="15" t="inlineStr"/>
      <c r="E233" s="15" t="inlineStr">
        <is>
          <t>Yes</t>
        </is>
      </c>
      <c r="F233" s="15" t="inlineStr">
        <is>
          <t>Proposal</t>
        </is>
      </c>
      <c r="G233" s="25" t="n"/>
      <c r="H233" s="28" t="n">
        <v>0.5</v>
      </c>
      <c r="I233" s="26" t="n"/>
      <c r="J233" s="26" t="n"/>
      <c r="K233" s="25" t="n"/>
      <c r="L233" s="25" t="n"/>
      <c r="M233" s="25" t="n"/>
      <c r="N233" s="25" t="n"/>
      <c r="O233" s="25" t="n"/>
      <c r="P233" s="25" t="n"/>
      <c r="Q233" s="19">
        <f>IF($A233="","",COUNTIFS(Assignments!$C$2:$C$769,$A233,Assignments!$G$2:$G$769,"Active"))</f>
        <v/>
      </c>
      <c r="R233" s="20">
        <f>IF($A233="","",SUMIFS(Assignments!$I$2:$I$769,Assignments!$C$2:$C$769,$A233,Assignments!$G$2:$G$769,"Active"))</f>
        <v/>
      </c>
      <c r="S233" s="16" t="inlineStr">
        <is>
          <t>Proposal</t>
        </is>
      </c>
      <c r="T233" s="27" t="n"/>
      <c r="U233" s="25" t="n"/>
      <c r="V233" s="22">
        <f>IF($U233="","",IFERROR(INDEX(Templates!$K$3:$K$10,MATCH($U233,Templates!$A$3:$A$10,0)),""))</f>
        <v/>
      </c>
      <c r="W233" s="22">
        <f>IF($U233="","",IFERROR(INDEX(Templates!$L$3:$L$10,MATCH($U233,Templates!$A$3:$A$10,0)),""))</f>
        <v/>
      </c>
      <c r="X233" s="23">
        <f>IF($U233="","",IFERROR(INDEX(Templates!$J$3:$J$10,MATCH($U233,Templates!$A$3:$A$10,0)),""))</f>
        <v/>
      </c>
      <c r="Y233" s="24">
        <f>IF(OR($U233="",$I233="",$J233="",$X233=""),"",$I233+$X233*($J233-$I233))</f>
        <v/>
      </c>
    </row>
    <row r="234">
      <c r="A234" s="15" t="inlineStr">
        <is>
          <t>Danone_1</t>
        </is>
      </c>
      <c r="B234" s="16" t="inlineStr">
        <is>
          <t>Danone North America</t>
        </is>
      </c>
      <c r="C234" s="15" t="inlineStr">
        <is>
          <t>Danone North America</t>
        </is>
      </c>
      <c r="D234" s="15" t="inlineStr"/>
      <c r="E234" s="15" t="inlineStr">
        <is>
          <t>No</t>
        </is>
      </c>
      <c r="F234" s="15" t="inlineStr">
        <is>
          <t>Proposal</t>
        </is>
      </c>
      <c r="G234" s="25" t="n"/>
      <c r="H234" s="28" t="n">
        <v>0.5</v>
      </c>
      <c r="I234" s="26" t="n"/>
      <c r="J234" s="26" t="n"/>
      <c r="K234" s="25" t="n"/>
      <c r="L234" s="25" t="n"/>
      <c r="M234" s="25" t="n"/>
      <c r="N234" s="25" t="n"/>
      <c r="O234" s="25" t="n"/>
      <c r="P234" s="25" t="n"/>
      <c r="Q234" s="19">
        <f>IF($A234="","",COUNTIFS(Assignments!$C$2:$C$769,$A234,Assignments!$G$2:$G$769,"Active"))</f>
        <v/>
      </c>
      <c r="R234" s="20">
        <f>IF($A234="","",SUMIFS(Assignments!$I$2:$I$769,Assignments!$C$2:$C$769,$A234,Assignments!$G$2:$G$769,"Active"))</f>
        <v/>
      </c>
      <c r="S234" s="16" t="inlineStr">
        <is>
          <t>Proposal</t>
        </is>
      </c>
      <c r="T234" s="27" t="n"/>
      <c r="U234" s="25" t="n"/>
      <c r="V234" s="22">
        <f>IF($U234="","",IFERROR(INDEX(Templates!$K$3:$K$10,MATCH($U234,Templates!$A$3:$A$10,0)),""))</f>
        <v/>
      </c>
      <c r="W234" s="22">
        <f>IF($U234="","",IFERROR(INDEX(Templates!$L$3:$L$10,MATCH($U234,Templates!$A$3:$A$10,0)),""))</f>
        <v/>
      </c>
      <c r="X234" s="23">
        <f>IF($U234="","",IFERROR(INDEX(Templates!$J$3:$J$10,MATCH($U234,Templates!$A$3:$A$10,0)),""))</f>
        <v/>
      </c>
      <c r="Y234" s="24">
        <f>IF(OR($U234="",$I234="",$J234="",$X234=""),"",$I234+$X234*($J234-$I234))</f>
        <v/>
      </c>
    </row>
    <row r="235">
      <c r="A235" s="15" t="inlineStr">
        <is>
          <t>DCLI Sellside_1</t>
        </is>
      </c>
      <c r="B235" s="16" t="inlineStr">
        <is>
          <t>OMERS Infrastructure</t>
        </is>
      </c>
      <c r="C235" s="15" t="inlineStr">
        <is>
          <t>OMERS Infrastructure</t>
        </is>
      </c>
      <c r="D235" s="15" t="inlineStr"/>
      <c r="E235" s="15" t="inlineStr">
        <is>
          <t>No</t>
        </is>
      </c>
      <c r="F235" s="15" t="inlineStr">
        <is>
          <t>Proposal</t>
        </is>
      </c>
      <c r="G235" s="25" t="n"/>
      <c r="H235" s="28" t="n">
        <v>0.5</v>
      </c>
      <c r="I235" s="26" t="n"/>
      <c r="J235" s="26" t="n"/>
      <c r="K235" s="25" t="n"/>
      <c r="L235" s="25" t="n"/>
      <c r="M235" s="25" t="n"/>
      <c r="N235" s="25" t="n"/>
      <c r="O235" s="25" t="n"/>
      <c r="P235" s="25" t="n"/>
      <c r="Q235" s="19">
        <f>IF($A235="","",COUNTIFS(Assignments!$C$2:$C$769,$A235,Assignments!$G$2:$G$769,"Active"))</f>
        <v/>
      </c>
      <c r="R235" s="20">
        <f>IF($A235="","",SUMIFS(Assignments!$I$2:$I$769,Assignments!$C$2:$C$769,$A235,Assignments!$G$2:$G$769,"Active"))</f>
        <v/>
      </c>
      <c r="S235" s="16" t="inlineStr">
        <is>
          <t>Proposal</t>
        </is>
      </c>
      <c r="T235" s="27" t="n"/>
      <c r="U235" s="25" t="n"/>
      <c r="V235" s="22">
        <f>IF($U235="","",IFERROR(INDEX(Templates!$K$3:$K$10,MATCH($U235,Templates!$A$3:$A$10,0)),""))</f>
        <v/>
      </c>
      <c r="W235" s="22">
        <f>IF($U235="","",IFERROR(INDEX(Templates!$L$3:$L$10,MATCH($U235,Templates!$A$3:$A$10,0)),""))</f>
        <v/>
      </c>
      <c r="X235" s="23">
        <f>IF($U235="","",IFERROR(INDEX(Templates!$J$3:$J$10,MATCH($U235,Templates!$A$3:$A$10,0)),""))</f>
        <v/>
      </c>
      <c r="Y235" s="24">
        <f>IF(OR($U235="",$I235="",$J235="",$X235=""),"",$I235+$X235*($J235-$I235))</f>
        <v/>
      </c>
    </row>
    <row r="236">
      <c r="A236" s="15" t="inlineStr">
        <is>
          <t>Dunlin_1</t>
        </is>
      </c>
      <c r="B236" s="16" t="inlineStr">
        <is>
          <t>Infrared Capital Partners</t>
        </is>
      </c>
      <c r="C236" s="15" t="inlineStr">
        <is>
          <t>Infrared Capital Partners</t>
        </is>
      </c>
      <c r="D236" s="15" t="inlineStr"/>
      <c r="E236" s="15" t="inlineStr">
        <is>
          <t>No</t>
        </is>
      </c>
      <c r="F236" s="15" t="inlineStr">
        <is>
          <t>Proposal</t>
        </is>
      </c>
      <c r="G236" s="25" t="n"/>
      <c r="H236" s="28" t="n">
        <v>0.5</v>
      </c>
      <c r="I236" s="26" t="n"/>
      <c r="J236" s="26" t="n"/>
      <c r="K236" s="25" t="n"/>
      <c r="L236" s="25" t="n"/>
      <c r="M236" s="25" t="n"/>
      <c r="N236" s="25" t="n"/>
      <c r="O236" s="25" t="n"/>
      <c r="P236" s="25" t="n"/>
      <c r="Q236" s="19">
        <f>IF($A236="","",COUNTIFS(Assignments!$C$2:$C$769,$A236,Assignments!$G$2:$G$769,"Active"))</f>
        <v/>
      </c>
      <c r="R236" s="20">
        <f>IF($A236="","",SUMIFS(Assignments!$I$2:$I$769,Assignments!$C$2:$C$769,$A236,Assignments!$G$2:$G$769,"Active"))</f>
        <v/>
      </c>
      <c r="S236" s="16" t="inlineStr">
        <is>
          <t>Proposal</t>
        </is>
      </c>
      <c r="T236" s="27" t="n"/>
      <c r="U236" s="25" t="n"/>
      <c r="V236" s="22">
        <f>IF($U236="","",IFERROR(INDEX(Templates!$K$3:$K$10,MATCH($U236,Templates!$A$3:$A$10,0)),""))</f>
        <v/>
      </c>
      <c r="W236" s="22">
        <f>IF($U236="","",IFERROR(INDEX(Templates!$L$3:$L$10,MATCH($U236,Templates!$A$3:$A$10,0)),""))</f>
        <v/>
      </c>
      <c r="X236" s="23">
        <f>IF($U236="","",IFERROR(INDEX(Templates!$J$3:$J$10,MATCH($U236,Templates!$A$3:$A$10,0)),""))</f>
        <v/>
      </c>
      <c r="Y236" s="24">
        <f>IF(OR($U236="",$I236="",$J236="",$X236=""),"",$I236+$X236*($J236-$I236))</f>
        <v/>
      </c>
    </row>
    <row r="237">
      <c r="A237" s="15" t="inlineStr">
        <is>
          <t>EDFG TVDD_1</t>
        </is>
      </c>
      <c r="B237" s="16" t="inlineStr">
        <is>
          <t>Eight Advisory (Referral Source)</t>
        </is>
      </c>
      <c r="C237" s="15" t="inlineStr">
        <is>
          <t>Eight Advisory</t>
        </is>
      </c>
      <c r="D237" s="15" t="inlineStr"/>
      <c r="E237" s="15" t="inlineStr">
        <is>
          <t>Yes</t>
        </is>
      </c>
      <c r="F237" s="15" t="inlineStr">
        <is>
          <t>Proposal</t>
        </is>
      </c>
      <c r="G237" s="25" t="n"/>
      <c r="H237" s="28" t="n">
        <v>0.5</v>
      </c>
      <c r="I237" s="26" t="n"/>
      <c r="J237" s="26" t="n"/>
      <c r="K237" s="25" t="n"/>
      <c r="L237" s="25" t="n"/>
      <c r="M237" s="25" t="n"/>
      <c r="N237" s="25" t="n"/>
      <c r="O237" s="25" t="n"/>
      <c r="P237" s="25" t="n"/>
      <c r="Q237" s="19">
        <f>IF($A237="","",COUNTIFS(Assignments!$C$2:$C$769,$A237,Assignments!$G$2:$G$769,"Active"))</f>
        <v/>
      </c>
      <c r="R237" s="20">
        <f>IF($A237="","",SUMIFS(Assignments!$I$2:$I$769,Assignments!$C$2:$C$769,$A237,Assignments!$G$2:$G$769,"Active"))</f>
        <v/>
      </c>
      <c r="S237" s="16" t="inlineStr">
        <is>
          <t>Proposal</t>
        </is>
      </c>
      <c r="T237" s="27" t="n"/>
      <c r="U237" s="25" t="n"/>
      <c r="V237" s="22">
        <f>IF($U237="","",IFERROR(INDEX(Templates!$K$3:$K$10,MATCH($U237,Templates!$A$3:$A$10,0)),""))</f>
        <v/>
      </c>
      <c r="W237" s="22">
        <f>IF($U237="","",IFERROR(INDEX(Templates!$L$3:$L$10,MATCH($U237,Templates!$A$3:$A$10,0)),""))</f>
        <v/>
      </c>
      <c r="X237" s="23">
        <f>IF($U237="","",IFERROR(INDEX(Templates!$J$3:$J$10,MATCH($U237,Templates!$A$3:$A$10,0)),""))</f>
        <v/>
      </c>
      <c r="Y237" s="24">
        <f>IF(OR($U237="",$I237="",$J237="",$X237=""),"",$I237+$X237*($J237-$I237))</f>
        <v/>
      </c>
    </row>
    <row r="238">
      <c r="A238" s="15" t="inlineStr">
        <is>
          <t>Ek_1</t>
        </is>
      </c>
      <c r="B238" s="16" t="inlineStr">
        <is>
          <t>Eight Advisory (Referral Source)</t>
        </is>
      </c>
      <c r="C238" s="15" t="inlineStr">
        <is>
          <t>Eight Advisory</t>
        </is>
      </c>
      <c r="D238" s="15" t="inlineStr"/>
      <c r="E238" s="15" t="inlineStr">
        <is>
          <t>Yes</t>
        </is>
      </c>
      <c r="F238" s="15" t="inlineStr">
        <is>
          <t>Proposal</t>
        </is>
      </c>
      <c r="G238" s="25" t="n"/>
      <c r="H238" s="28" t="n">
        <v>0.5</v>
      </c>
      <c r="I238" s="26" t="n"/>
      <c r="J238" s="26" t="n"/>
      <c r="K238" s="25" t="n"/>
      <c r="L238" s="25" t="n"/>
      <c r="M238" s="25" t="n"/>
      <c r="N238" s="25" t="n"/>
      <c r="O238" s="25" t="n"/>
      <c r="P238" s="25" t="n"/>
      <c r="Q238" s="19">
        <f>IF($A238="","",COUNTIFS(Assignments!$C$2:$C$769,$A238,Assignments!$G$2:$G$769,"Active"))</f>
        <v/>
      </c>
      <c r="R238" s="20">
        <f>IF($A238="","",SUMIFS(Assignments!$I$2:$I$769,Assignments!$C$2:$C$769,$A238,Assignments!$G$2:$G$769,"Active"))</f>
        <v/>
      </c>
      <c r="S238" s="16" t="inlineStr">
        <is>
          <t>Proposal</t>
        </is>
      </c>
      <c r="T238" s="27" t="n"/>
      <c r="U238" s="25" t="n"/>
      <c r="V238" s="22">
        <f>IF($U238="","",IFERROR(INDEX(Templates!$K$3:$K$10,MATCH($U238,Templates!$A$3:$A$10,0)),""))</f>
        <v/>
      </c>
      <c r="W238" s="22">
        <f>IF($U238="","",IFERROR(INDEX(Templates!$L$3:$L$10,MATCH($U238,Templates!$A$3:$A$10,0)),""))</f>
        <v/>
      </c>
      <c r="X238" s="23">
        <f>IF($U238="","",IFERROR(INDEX(Templates!$J$3:$J$10,MATCH($U238,Templates!$A$3:$A$10,0)),""))</f>
        <v/>
      </c>
      <c r="Y238" s="24">
        <f>IF(OR($U238="",$I238="",$J238="",$X238=""),"",$I238+$X238*($J238-$I238))</f>
        <v/>
      </c>
    </row>
    <row r="239">
      <c r="A239" s="15" t="inlineStr">
        <is>
          <t>Elcano_1</t>
        </is>
      </c>
      <c r="B239" s="16" t="inlineStr">
        <is>
          <t>CVC Capital Partners : DIF Capital Partners</t>
        </is>
      </c>
      <c r="C239" s="15" t="inlineStr">
        <is>
          <t>CVC Capital Partners</t>
        </is>
      </c>
      <c r="D239" s="15" t="inlineStr">
        <is>
          <t>DIF Capital Partners</t>
        </is>
      </c>
      <c r="E239" s="15" t="inlineStr">
        <is>
          <t>No</t>
        </is>
      </c>
      <c r="F239" s="15" t="inlineStr">
        <is>
          <t>Proposal</t>
        </is>
      </c>
      <c r="G239" s="25" t="n"/>
      <c r="H239" s="28" t="n">
        <v>0.5</v>
      </c>
      <c r="I239" s="26" t="n"/>
      <c r="J239" s="26" t="n"/>
      <c r="K239" s="25" t="n"/>
      <c r="L239" s="25" t="n"/>
      <c r="M239" s="25" t="n"/>
      <c r="N239" s="25" t="n"/>
      <c r="O239" s="25" t="n"/>
      <c r="P239" s="25" t="n"/>
      <c r="Q239" s="19">
        <f>IF($A239="","",COUNTIFS(Assignments!$C$2:$C$769,$A239,Assignments!$G$2:$G$769,"Active"))</f>
        <v/>
      </c>
      <c r="R239" s="20">
        <f>IF($A239="","",SUMIFS(Assignments!$I$2:$I$769,Assignments!$C$2:$C$769,$A239,Assignments!$G$2:$G$769,"Active"))</f>
        <v/>
      </c>
      <c r="S239" s="16" t="inlineStr">
        <is>
          <t>Proposal</t>
        </is>
      </c>
      <c r="T239" s="27" t="n"/>
      <c r="U239" s="25" t="n"/>
      <c r="V239" s="22">
        <f>IF($U239="","",IFERROR(INDEX(Templates!$K$3:$K$10,MATCH($U239,Templates!$A$3:$A$10,0)),""))</f>
        <v/>
      </c>
      <c r="W239" s="22">
        <f>IF($U239="","",IFERROR(INDEX(Templates!$L$3:$L$10,MATCH($U239,Templates!$A$3:$A$10,0)),""))</f>
        <v/>
      </c>
      <c r="X239" s="23">
        <f>IF($U239="","",IFERROR(INDEX(Templates!$J$3:$J$10,MATCH($U239,Templates!$A$3:$A$10,0)),""))</f>
        <v/>
      </c>
      <c r="Y239" s="24">
        <f>IF(OR($U239="",$I239="",$J239="",$X239=""),"",$I239+$X239*($J239-$I239))</f>
        <v/>
      </c>
    </row>
    <row r="240">
      <c r="A240" s="15" t="inlineStr">
        <is>
          <t>Elk_2</t>
        </is>
      </c>
      <c r="B240" s="16" t="inlineStr">
        <is>
          <t>Mosaic Insurance</t>
        </is>
      </c>
      <c r="C240" s="15" t="inlineStr">
        <is>
          <t>Mosaic Insurance</t>
        </is>
      </c>
      <c r="D240" s="15" t="inlineStr"/>
      <c r="E240" s="15" t="inlineStr">
        <is>
          <t>No</t>
        </is>
      </c>
      <c r="F240" s="15" t="inlineStr">
        <is>
          <t>Proposal</t>
        </is>
      </c>
      <c r="G240" s="25" t="n"/>
      <c r="H240" s="28" t="n">
        <v>0.5</v>
      </c>
      <c r="I240" s="26" t="n"/>
      <c r="J240" s="26" t="n"/>
      <c r="K240" s="25" t="n"/>
      <c r="L240" s="25" t="n"/>
      <c r="M240" s="25" t="n"/>
      <c r="N240" s="25" t="n"/>
      <c r="O240" s="25" t="n"/>
      <c r="P240" s="25" t="n"/>
      <c r="Q240" s="19">
        <f>IF($A240="","",COUNTIFS(Assignments!$C$2:$C$769,$A240,Assignments!$G$2:$G$769,"Active"))</f>
        <v/>
      </c>
      <c r="R240" s="20">
        <f>IF($A240="","",SUMIFS(Assignments!$I$2:$I$769,Assignments!$C$2:$C$769,$A240,Assignments!$G$2:$G$769,"Active"))</f>
        <v/>
      </c>
      <c r="S240" s="16" t="inlineStr">
        <is>
          <t>Proposal</t>
        </is>
      </c>
      <c r="T240" s="27" t="n"/>
      <c r="U240" s="25" t="n"/>
      <c r="V240" s="22">
        <f>IF($U240="","",IFERROR(INDEX(Templates!$K$3:$K$10,MATCH($U240,Templates!$A$3:$A$10,0)),""))</f>
        <v/>
      </c>
      <c r="W240" s="22">
        <f>IF($U240="","",IFERROR(INDEX(Templates!$L$3:$L$10,MATCH($U240,Templates!$A$3:$A$10,0)),""))</f>
        <v/>
      </c>
      <c r="X240" s="23">
        <f>IF($U240="","",IFERROR(INDEX(Templates!$J$3:$J$10,MATCH($U240,Templates!$A$3:$A$10,0)),""))</f>
        <v/>
      </c>
      <c r="Y240" s="24">
        <f>IF(OR($U240="",$I240="",$J240="",$X240=""),"",$I240+$X240*($J240-$I240))</f>
        <v/>
      </c>
    </row>
    <row r="241">
      <c r="A241" s="15" t="inlineStr">
        <is>
          <t>Elm_2</t>
        </is>
      </c>
      <c r="B241" s="16" t="inlineStr">
        <is>
          <t>Lightswitch Property Management</t>
        </is>
      </c>
      <c r="C241" s="15" t="inlineStr">
        <is>
          <t>Lightswitch Property Management</t>
        </is>
      </c>
      <c r="D241" s="15" t="inlineStr"/>
      <c r="E241" s="15" t="inlineStr">
        <is>
          <t>No</t>
        </is>
      </c>
      <c r="F241" s="15" t="inlineStr">
        <is>
          <t>Proposal</t>
        </is>
      </c>
      <c r="G241" s="25" t="n"/>
      <c r="H241" s="28" t="n">
        <v>0.5</v>
      </c>
      <c r="I241" s="26" t="n"/>
      <c r="J241" s="26" t="n"/>
      <c r="K241" s="25" t="n"/>
      <c r="L241" s="25" t="n"/>
      <c r="M241" s="25" t="n"/>
      <c r="N241" s="25" t="n"/>
      <c r="O241" s="25" t="n"/>
      <c r="P241" s="25" t="n"/>
      <c r="Q241" s="19">
        <f>IF($A241="","",COUNTIFS(Assignments!$C$2:$C$769,$A241,Assignments!$G$2:$G$769,"Active"))</f>
        <v/>
      </c>
      <c r="R241" s="20">
        <f>IF($A241="","",SUMIFS(Assignments!$I$2:$I$769,Assignments!$C$2:$C$769,$A241,Assignments!$G$2:$G$769,"Active"))</f>
        <v/>
      </c>
      <c r="S241" s="16" t="inlineStr">
        <is>
          <t>Proposal</t>
        </is>
      </c>
      <c r="T241" s="27" t="n"/>
      <c r="U241" s="25" t="n"/>
      <c r="V241" s="22">
        <f>IF($U241="","",IFERROR(INDEX(Templates!$K$3:$K$10,MATCH($U241,Templates!$A$3:$A$10,0)),""))</f>
        <v/>
      </c>
      <c r="W241" s="22">
        <f>IF($U241="","",IFERROR(INDEX(Templates!$L$3:$L$10,MATCH($U241,Templates!$A$3:$A$10,0)),""))</f>
        <v/>
      </c>
      <c r="X241" s="23">
        <f>IF($U241="","",IFERROR(INDEX(Templates!$J$3:$J$10,MATCH($U241,Templates!$A$3:$A$10,0)),""))</f>
        <v/>
      </c>
      <c r="Y241" s="24">
        <f>IF(OR($U241="",$I241="",$J241="",$X241=""),"",$I241+$X241*($J241-$I241))</f>
        <v/>
      </c>
    </row>
    <row r="242">
      <c r="A242" s="15" t="inlineStr">
        <is>
          <t>Engineering_1</t>
        </is>
      </c>
      <c r="B242" s="16" t="inlineStr">
        <is>
          <t>Eight Advisory (Referral Source)</t>
        </is>
      </c>
      <c r="C242" s="15" t="inlineStr">
        <is>
          <t>Eight Advisory</t>
        </is>
      </c>
      <c r="D242" s="15" t="inlineStr"/>
      <c r="E242" s="15" t="inlineStr">
        <is>
          <t>Yes</t>
        </is>
      </c>
      <c r="F242" s="15" t="inlineStr">
        <is>
          <t>Proposal</t>
        </is>
      </c>
      <c r="G242" s="25" t="n"/>
      <c r="H242" s="28" t="n">
        <v>0.5</v>
      </c>
      <c r="I242" s="26" t="n"/>
      <c r="J242" s="26" t="n"/>
      <c r="K242" s="25" t="n"/>
      <c r="L242" s="25" t="n"/>
      <c r="M242" s="25" t="n"/>
      <c r="N242" s="25" t="n"/>
      <c r="O242" s="25" t="n"/>
      <c r="P242" s="25" t="n"/>
      <c r="Q242" s="19">
        <f>IF($A242="","",COUNTIFS(Assignments!$C$2:$C$769,$A242,Assignments!$G$2:$G$769,"Active"))</f>
        <v/>
      </c>
      <c r="R242" s="20">
        <f>IF($A242="","",SUMIFS(Assignments!$I$2:$I$769,Assignments!$C$2:$C$769,$A242,Assignments!$G$2:$G$769,"Active"))</f>
        <v/>
      </c>
      <c r="S242" s="16" t="inlineStr">
        <is>
          <t>Proposal</t>
        </is>
      </c>
      <c r="T242" s="27" t="n"/>
      <c r="U242" s="25" t="n"/>
      <c r="V242" s="22">
        <f>IF($U242="","",IFERROR(INDEX(Templates!$K$3:$K$10,MATCH($U242,Templates!$A$3:$A$10,0)),""))</f>
        <v/>
      </c>
      <c r="W242" s="22">
        <f>IF($U242="","",IFERROR(INDEX(Templates!$L$3:$L$10,MATCH($U242,Templates!$A$3:$A$10,0)),""))</f>
        <v/>
      </c>
      <c r="X242" s="23">
        <f>IF($U242="","",IFERROR(INDEX(Templates!$J$3:$J$10,MATCH($U242,Templates!$A$3:$A$10,0)),""))</f>
        <v/>
      </c>
      <c r="Y242" s="24">
        <f>IF(OR($U242="",$I242="",$J242="",$X242=""),"",$I242+$X242*($J242-$I242))</f>
        <v/>
      </c>
    </row>
    <row r="243">
      <c r="A243" s="15" t="inlineStr">
        <is>
          <t>EV Passport_2</t>
        </is>
      </c>
      <c r="B243" s="16" t="inlineStr">
        <is>
          <t>Northleaf Capital Partners</t>
        </is>
      </c>
      <c r="C243" s="15" t="inlineStr">
        <is>
          <t>Northleaf Capital Partners</t>
        </is>
      </c>
      <c r="D243" s="15" t="inlineStr"/>
      <c r="E243" s="15" t="inlineStr">
        <is>
          <t>No</t>
        </is>
      </c>
      <c r="F243" s="15" t="inlineStr">
        <is>
          <t>Proposal</t>
        </is>
      </c>
      <c r="G243" s="25" t="n"/>
      <c r="H243" s="28" t="n">
        <v>0.5</v>
      </c>
      <c r="I243" s="26" t="n"/>
      <c r="J243" s="26" t="n"/>
      <c r="K243" s="25" t="n"/>
      <c r="L243" s="25" t="n"/>
      <c r="M243" s="25" t="n"/>
      <c r="N243" s="25" t="n"/>
      <c r="O243" s="25" t="n"/>
      <c r="P243" s="25" t="n"/>
      <c r="Q243" s="19">
        <f>IF($A243="","",COUNTIFS(Assignments!$C$2:$C$769,$A243,Assignments!$G$2:$G$769,"Active"))</f>
        <v/>
      </c>
      <c r="R243" s="20">
        <f>IF($A243="","",SUMIFS(Assignments!$I$2:$I$769,Assignments!$C$2:$C$769,$A243,Assignments!$G$2:$G$769,"Active"))</f>
        <v/>
      </c>
      <c r="S243" s="16" t="inlineStr">
        <is>
          <t>Proposal</t>
        </is>
      </c>
      <c r="T243" s="27" t="n"/>
      <c r="U243" s="25" t="n"/>
      <c r="V243" s="22">
        <f>IF($U243="","",IFERROR(INDEX(Templates!$K$3:$K$10,MATCH($U243,Templates!$A$3:$A$10,0)),""))</f>
        <v/>
      </c>
      <c r="W243" s="22">
        <f>IF($U243="","",IFERROR(INDEX(Templates!$L$3:$L$10,MATCH($U243,Templates!$A$3:$A$10,0)),""))</f>
        <v/>
      </c>
      <c r="X243" s="23">
        <f>IF($U243="","",IFERROR(INDEX(Templates!$J$3:$J$10,MATCH($U243,Templates!$A$3:$A$10,0)),""))</f>
        <v/>
      </c>
      <c r="Y243" s="24">
        <f>IF(OR($U243="",$I243="",$J243="",$X243=""),"",$I243+$X243*($J243-$I243))</f>
        <v/>
      </c>
    </row>
    <row r="244">
      <c r="A244" s="15" t="inlineStr">
        <is>
          <t>EV3</t>
        </is>
      </c>
      <c r="B244" s="16" t="inlineStr">
        <is>
          <t>Kalos LLP</t>
        </is>
      </c>
      <c r="C244" s="15" t="inlineStr">
        <is>
          <t>Kalos LLP</t>
        </is>
      </c>
      <c r="D244" s="15" t="inlineStr"/>
      <c r="E244" s="15" t="inlineStr">
        <is>
          <t>No</t>
        </is>
      </c>
      <c r="F244" s="15" t="inlineStr">
        <is>
          <t>Proposal</t>
        </is>
      </c>
      <c r="G244" s="25" t="n"/>
      <c r="H244" s="28" t="n">
        <v>0.5</v>
      </c>
      <c r="I244" s="26" t="n"/>
      <c r="J244" s="26" t="n"/>
      <c r="K244" s="25" t="n"/>
      <c r="L244" s="25" t="n"/>
      <c r="M244" s="25" t="n"/>
      <c r="N244" s="25" t="n"/>
      <c r="O244" s="25" t="n"/>
      <c r="P244" s="25" t="n"/>
      <c r="Q244" s="19">
        <f>IF($A244="","",COUNTIFS(Assignments!$C$2:$C$769,$A244,Assignments!$G$2:$G$769,"Active"))</f>
        <v/>
      </c>
      <c r="R244" s="20">
        <f>IF($A244="","",SUMIFS(Assignments!$I$2:$I$769,Assignments!$C$2:$C$769,$A244,Assignments!$G$2:$G$769,"Active"))</f>
        <v/>
      </c>
      <c r="S244" s="16" t="inlineStr">
        <is>
          <t>Summary tab only (Proposal)</t>
        </is>
      </c>
      <c r="T244" s="27" t="n"/>
      <c r="U244" s="25" t="n"/>
      <c r="V244" s="22">
        <f>IF($U244="","",IFERROR(INDEX(Templates!$K$3:$K$10,MATCH($U244,Templates!$A$3:$A$10,0)),""))</f>
        <v/>
      </c>
      <c r="W244" s="22">
        <f>IF($U244="","",IFERROR(INDEX(Templates!$L$3:$L$10,MATCH($U244,Templates!$A$3:$A$10,0)),""))</f>
        <v/>
      </c>
      <c r="X244" s="23">
        <f>IF($U244="","",IFERROR(INDEX(Templates!$J$3:$J$10,MATCH($U244,Templates!$A$3:$A$10,0)),""))</f>
        <v/>
      </c>
      <c r="Y244" s="24">
        <f>IF(OR($U244="",$I244="",$J244="",$X244=""),"",$I244+$X244*($J244-$I244))</f>
        <v/>
      </c>
    </row>
    <row r="245">
      <c r="A245" s="15" t="inlineStr">
        <is>
          <t>EV3_1</t>
        </is>
      </c>
      <c r="B245" s="16" t="inlineStr">
        <is>
          <t>Eva Equity partners</t>
        </is>
      </c>
      <c r="C245" s="15" t="inlineStr">
        <is>
          <t>Eva Equity partners</t>
        </is>
      </c>
      <c r="D245" s="15" t="inlineStr"/>
      <c r="E245" s="15" t="inlineStr">
        <is>
          <t>No</t>
        </is>
      </c>
      <c r="F245" s="15" t="inlineStr">
        <is>
          <t>Proposal</t>
        </is>
      </c>
      <c r="G245" s="25" t="n"/>
      <c r="H245" s="28" t="n">
        <v>0.5</v>
      </c>
      <c r="I245" s="26" t="n"/>
      <c r="J245" s="26" t="n"/>
      <c r="K245" s="25" t="n"/>
      <c r="L245" s="25" t="n"/>
      <c r="M245" s="25" t="n"/>
      <c r="N245" s="25" t="n"/>
      <c r="O245" s="25" t="n"/>
      <c r="P245" s="25" t="n"/>
      <c r="Q245" s="19">
        <f>IF($A245="","",COUNTIFS(Assignments!$C$2:$C$769,$A245,Assignments!$G$2:$G$769,"Active"))</f>
        <v/>
      </c>
      <c r="R245" s="20">
        <f>IF($A245="","",SUMIFS(Assignments!$I$2:$I$769,Assignments!$C$2:$C$769,$A245,Assignments!$G$2:$G$769,"Active"))</f>
        <v/>
      </c>
      <c r="S245" s="16" t="inlineStr">
        <is>
          <t>Summary tab only (Proposal)</t>
        </is>
      </c>
      <c r="T245" s="27" t="n"/>
      <c r="U245" s="25" t="n"/>
      <c r="V245" s="22">
        <f>IF($U245="","",IFERROR(INDEX(Templates!$K$3:$K$10,MATCH($U245,Templates!$A$3:$A$10,0)),""))</f>
        <v/>
      </c>
      <c r="W245" s="22">
        <f>IF($U245="","",IFERROR(INDEX(Templates!$L$3:$L$10,MATCH($U245,Templates!$A$3:$A$10,0)),""))</f>
        <v/>
      </c>
      <c r="X245" s="23">
        <f>IF($U245="","",IFERROR(INDEX(Templates!$J$3:$J$10,MATCH($U245,Templates!$A$3:$A$10,0)),""))</f>
        <v/>
      </c>
      <c r="Y245" s="24">
        <f>IF(OR($U245="",$I245="",$J245="",$X245=""),"",$I245+$X245*($J245-$I245))</f>
        <v/>
      </c>
    </row>
    <row r="246">
      <c r="A246" s="15" t="inlineStr">
        <is>
          <t>FAUME US Expansion_1</t>
        </is>
      </c>
      <c r="B246" s="16" t="inlineStr">
        <is>
          <t>FAUME</t>
        </is>
      </c>
      <c r="C246" s="15" t="inlineStr">
        <is>
          <t>FAUME</t>
        </is>
      </c>
      <c r="D246" s="15" t="inlineStr"/>
      <c r="E246" s="15" t="inlineStr">
        <is>
          <t>No</t>
        </is>
      </c>
      <c r="F246" s="15" t="inlineStr">
        <is>
          <t>Proposal</t>
        </is>
      </c>
      <c r="G246" s="25" t="n"/>
      <c r="H246" s="28" t="n">
        <v>0.5</v>
      </c>
      <c r="I246" s="26" t="n"/>
      <c r="J246" s="26" t="n"/>
      <c r="K246" s="25" t="n"/>
      <c r="L246" s="25" t="n"/>
      <c r="M246" s="25" t="n"/>
      <c r="N246" s="25" t="n"/>
      <c r="O246" s="25" t="n"/>
      <c r="P246" s="25" t="n"/>
      <c r="Q246" s="19">
        <f>IF($A246="","",COUNTIFS(Assignments!$C$2:$C$769,$A246,Assignments!$G$2:$G$769,"Active"))</f>
        <v/>
      </c>
      <c r="R246" s="20">
        <f>IF($A246="","",SUMIFS(Assignments!$I$2:$I$769,Assignments!$C$2:$C$769,$A246,Assignments!$G$2:$G$769,"Active"))</f>
        <v/>
      </c>
      <c r="S246" s="16" t="inlineStr">
        <is>
          <t>Proposal</t>
        </is>
      </c>
      <c r="T246" s="27" t="n"/>
      <c r="U246" s="25" t="n"/>
      <c r="V246" s="22">
        <f>IF($U246="","",IFERROR(INDEX(Templates!$K$3:$K$10,MATCH($U246,Templates!$A$3:$A$10,0)),""))</f>
        <v/>
      </c>
      <c r="W246" s="22">
        <f>IF($U246="","",IFERROR(INDEX(Templates!$L$3:$L$10,MATCH($U246,Templates!$A$3:$A$10,0)),""))</f>
        <v/>
      </c>
      <c r="X246" s="23">
        <f>IF($U246="","",IFERROR(INDEX(Templates!$J$3:$J$10,MATCH($U246,Templates!$A$3:$A$10,0)),""))</f>
        <v/>
      </c>
      <c r="Y246" s="24">
        <f>IF(OR($U246="",$I246="",$J246="",$X246=""),"",$I246+$X246*($J246-$I246))</f>
        <v/>
      </c>
    </row>
    <row r="247">
      <c r="A247" s="15" t="inlineStr">
        <is>
          <t>FIRPTA_5</t>
        </is>
      </c>
      <c r="B247" s="16" t="inlineStr">
        <is>
          <t>Macquarie Group</t>
        </is>
      </c>
      <c r="C247" s="15" t="inlineStr">
        <is>
          <t>Macquarie Group</t>
        </is>
      </c>
      <c r="D247" s="15" t="inlineStr"/>
      <c r="E247" s="15" t="inlineStr">
        <is>
          <t>No</t>
        </is>
      </c>
      <c r="F247" s="15" t="inlineStr">
        <is>
          <t>Proposal</t>
        </is>
      </c>
      <c r="G247" s="25" t="n"/>
      <c r="H247" s="28" t="n">
        <v>0.5</v>
      </c>
      <c r="I247" s="26" t="n"/>
      <c r="J247" s="26" t="n"/>
      <c r="K247" s="25" t="n"/>
      <c r="L247" s="25" t="n"/>
      <c r="M247" s="25" t="n"/>
      <c r="N247" s="25" t="n"/>
      <c r="O247" s="25" t="n"/>
      <c r="P247" s="25" t="n"/>
      <c r="Q247" s="19">
        <f>IF($A247="","",COUNTIFS(Assignments!$C$2:$C$769,$A247,Assignments!$G$2:$G$769,"Active"))</f>
        <v/>
      </c>
      <c r="R247" s="20">
        <f>IF($A247="","",SUMIFS(Assignments!$I$2:$I$769,Assignments!$C$2:$C$769,$A247,Assignments!$G$2:$G$769,"Active"))</f>
        <v/>
      </c>
      <c r="S247" s="16" t="inlineStr">
        <is>
          <t>Proposal</t>
        </is>
      </c>
      <c r="T247" s="27" t="n"/>
      <c r="U247" s="25" t="n"/>
      <c r="V247" s="22">
        <f>IF($U247="","",IFERROR(INDEX(Templates!$K$3:$K$10,MATCH($U247,Templates!$A$3:$A$10,0)),""))</f>
        <v/>
      </c>
      <c r="W247" s="22">
        <f>IF($U247="","",IFERROR(INDEX(Templates!$L$3:$L$10,MATCH($U247,Templates!$A$3:$A$10,0)),""))</f>
        <v/>
      </c>
      <c r="X247" s="23">
        <f>IF($U247="","",IFERROR(INDEX(Templates!$J$3:$J$10,MATCH($U247,Templates!$A$3:$A$10,0)),""))</f>
        <v/>
      </c>
      <c r="Y247" s="24">
        <f>IF(OR($U247="",$I247="",$J247="",$X247=""),"",$I247+$X247*($J247-$I247))</f>
        <v/>
      </c>
    </row>
    <row r="248">
      <c r="A248" s="15" t="inlineStr">
        <is>
          <t>Gemini</t>
        </is>
      </c>
      <c r="B248" s="16" t="inlineStr">
        <is>
          <t>Royal Bank of Canada</t>
        </is>
      </c>
      <c r="C248" s="15" t="inlineStr">
        <is>
          <t>Royal Bank of Canada</t>
        </is>
      </c>
      <c r="D248" s="15" t="inlineStr"/>
      <c r="E248" s="15" t="inlineStr">
        <is>
          <t>No</t>
        </is>
      </c>
      <c r="F248" s="15" t="inlineStr">
        <is>
          <t>Proposal</t>
        </is>
      </c>
      <c r="G248" s="25" t="n"/>
      <c r="H248" s="28" t="n">
        <v>0.5</v>
      </c>
      <c r="I248" s="26" t="n"/>
      <c r="J248" s="26" t="n"/>
      <c r="K248" s="25" t="n"/>
      <c r="L248" s="25" t="n"/>
      <c r="M248" s="25" t="n"/>
      <c r="N248" s="25" t="n"/>
      <c r="O248" s="25" t="n"/>
      <c r="P248" s="25" t="n"/>
      <c r="Q248" s="19">
        <f>IF($A248="","",COUNTIFS(Assignments!$C$2:$C$769,$A248,Assignments!$G$2:$G$769,"Active"))</f>
        <v/>
      </c>
      <c r="R248" s="20">
        <f>IF($A248="","",SUMIFS(Assignments!$I$2:$I$769,Assignments!$C$2:$C$769,$A248,Assignments!$G$2:$G$769,"Active"))</f>
        <v/>
      </c>
      <c r="S248" s="16" t="inlineStr">
        <is>
          <t>Proposal</t>
        </is>
      </c>
      <c r="T248" s="27" t="n"/>
      <c r="U248" s="25" t="n"/>
      <c r="V248" s="22">
        <f>IF($U248="","",IFERROR(INDEX(Templates!$K$3:$K$10,MATCH($U248,Templates!$A$3:$A$10,0)),""))</f>
        <v/>
      </c>
      <c r="W248" s="22">
        <f>IF($U248="","",IFERROR(INDEX(Templates!$L$3:$L$10,MATCH($U248,Templates!$A$3:$A$10,0)),""))</f>
        <v/>
      </c>
      <c r="X248" s="23">
        <f>IF($U248="","",IFERROR(INDEX(Templates!$J$3:$J$10,MATCH($U248,Templates!$A$3:$A$10,0)),""))</f>
        <v/>
      </c>
      <c r="Y248" s="24">
        <f>IF(OR($U248="",$I248="",$J248="",$X248=""),"",$I248+$X248*($J248-$I248))</f>
        <v/>
      </c>
    </row>
    <row r="249">
      <c r="A249" s="15" t="inlineStr">
        <is>
          <t>Gerflor REORG</t>
        </is>
      </c>
      <c r="B249" s="16" t="inlineStr">
        <is>
          <t>Arsene TaxAnd</t>
        </is>
      </c>
      <c r="C249" s="15" t="inlineStr">
        <is>
          <t>Arsene TaxAnd</t>
        </is>
      </c>
      <c r="D249" s="15" t="inlineStr"/>
      <c r="E249" s="15" t="inlineStr">
        <is>
          <t>No</t>
        </is>
      </c>
      <c r="F249" s="15" t="inlineStr">
        <is>
          <t>Proposal</t>
        </is>
      </c>
      <c r="G249" s="25" t="n"/>
      <c r="H249" s="28" t="n">
        <v>0.5</v>
      </c>
      <c r="I249" s="26" t="n"/>
      <c r="J249" s="26" t="n"/>
      <c r="K249" s="25" t="n"/>
      <c r="L249" s="25" t="n"/>
      <c r="M249" s="25" t="n"/>
      <c r="N249" s="25" t="n"/>
      <c r="O249" s="25" t="n"/>
      <c r="P249" s="25" t="n"/>
      <c r="Q249" s="19">
        <f>IF($A249="","",COUNTIFS(Assignments!$C$2:$C$769,$A249,Assignments!$G$2:$G$769,"Active"))</f>
        <v/>
      </c>
      <c r="R249" s="20">
        <f>IF($A249="","",SUMIFS(Assignments!$I$2:$I$769,Assignments!$C$2:$C$769,$A249,Assignments!$G$2:$G$769,"Active"))</f>
        <v/>
      </c>
      <c r="S249" s="16" t="inlineStr">
        <is>
          <t>Summary tab only (Proposal)</t>
        </is>
      </c>
      <c r="T249" s="27" t="n"/>
      <c r="U249" s="25" t="n"/>
      <c r="V249" s="22">
        <f>IF($U249="","",IFERROR(INDEX(Templates!$K$3:$K$10,MATCH($U249,Templates!$A$3:$A$10,0)),""))</f>
        <v/>
      </c>
      <c r="W249" s="22">
        <f>IF($U249="","",IFERROR(INDEX(Templates!$L$3:$L$10,MATCH($U249,Templates!$A$3:$A$10,0)),""))</f>
        <v/>
      </c>
      <c r="X249" s="23">
        <f>IF($U249="","",IFERROR(INDEX(Templates!$J$3:$J$10,MATCH($U249,Templates!$A$3:$A$10,0)),""))</f>
        <v/>
      </c>
      <c r="Y249" s="24">
        <f>IF(OR($U249="",$I249="",$J249="",$X249=""),"",$I249+$X249*($J249-$I249))</f>
        <v/>
      </c>
    </row>
    <row r="250">
      <c r="A250" s="15" t="inlineStr">
        <is>
          <t>GPRE_1</t>
        </is>
      </c>
      <c r="B250" s="16" t="inlineStr">
        <is>
          <t>Certa</t>
        </is>
      </c>
      <c r="C250" s="15" t="inlineStr">
        <is>
          <t>Certa</t>
        </is>
      </c>
      <c r="D250" s="15" t="inlineStr"/>
      <c r="E250" s="15" t="inlineStr">
        <is>
          <t>No</t>
        </is>
      </c>
      <c r="F250" s="15" t="inlineStr">
        <is>
          <t>Proposal</t>
        </is>
      </c>
      <c r="G250" s="25" t="n"/>
      <c r="H250" s="28" t="n">
        <v>0.5</v>
      </c>
      <c r="I250" s="26" t="n"/>
      <c r="J250" s="26" t="n"/>
      <c r="K250" s="25" t="n"/>
      <c r="L250" s="25" t="n"/>
      <c r="M250" s="25" t="n"/>
      <c r="N250" s="25" t="n"/>
      <c r="O250" s="25" t="n"/>
      <c r="P250" s="25" t="n"/>
      <c r="Q250" s="19">
        <f>IF($A250="","",COUNTIFS(Assignments!$C$2:$C$769,$A250,Assignments!$G$2:$G$769,"Active"))</f>
        <v/>
      </c>
      <c r="R250" s="20">
        <f>IF($A250="","",SUMIFS(Assignments!$I$2:$I$769,Assignments!$C$2:$C$769,$A250,Assignments!$G$2:$G$769,"Active"))</f>
        <v/>
      </c>
      <c r="S250" s="16" t="inlineStr">
        <is>
          <t>Proposal</t>
        </is>
      </c>
      <c r="T250" s="27" t="n"/>
      <c r="U250" s="25" t="n"/>
      <c r="V250" s="22">
        <f>IF($U250="","",IFERROR(INDEX(Templates!$K$3:$K$10,MATCH($U250,Templates!$A$3:$A$10,0)),""))</f>
        <v/>
      </c>
      <c r="W250" s="22">
        <f>IF($U250="","",IFERROR(INDEX(Templates!$L$3:$L$10,MATCH($U250,Templates!$A$3:$A$10,0)),""))</f>
        <v/>
      </c>
      <c r="X250" s="23">
        <f>IF($U250="","",IFERROR(INDEX(Templates!$J$3:$J$10,MATCH($U250,Templates!$A$3:$A$10,0)),""))</f>
        <v/>
      </c>
      <c r="Y250" s="24">
        <f>IF(OR($U250="",$I250="",$J250="",$X250=""),"",$I250+$X250*($J250-$I250))</f>
        <v/>
      </c>
    </row>
    <row r="251">
      <c r="A251" s="15" t="inlineStr">
        <is>
          <t>Gravel_1</t>
        </is>
      </c>
      <c r="B251" s="16" t="inlineStr">
        <is>
          <t>Certa</t>
        </is>
      </c>
      <c r="C251" s="15" t="inlineStr">
        <is>
          <t>Certa</t>
        </is>
      </c>
      <c r="D251" s="15" t="inlineStr"/>
      <c r="E251" s="15" t="inlineStr">
        <is>
          <t>No</t>
        </is>
      </c>
      <c r="F251" s="15" t="inlineStr">
        <is>
          <t>Proposal</t>
        </is>
      </c>
      <c r="G251" s="25" t="n"/>
      <c r="H251" s="28" t="n">
        <v>0.5</v>
      </c>
      <c r="I251" s="26" t="n"/>
      <c r="J251" s="26" t="n"/>
      <c r="K251" s="25" t="n"/>
      <c r="L251" s="25" t="n"/>
      <c r="M251" s="25" t="n"/>
      <c r="N251" s="25" t="n"/>
      <c r="O251" s="25" t="n"/>
      <c r="P251" s="25" t="n"/>
      <c r="Q251" s="19">
        <f>IF($A251="","",COUNTIFS(Assignments!$C$2:$C$769,$A251,Assignments!$G$2:$G$769,"Active"))</f>
        <v/>
      </c>
      <c r="R251" s="20">
        <f>IF($A251="","",SUMIFS(Assignments!$I$2:$I$769,Assignments!$C$2:$C$769,$A251,Assignments!$G$2:$G$769,"Active"))</f>
        <v/>
      </c>
      <c r="S251" s="16" t="inlineStr">
        <is>
          <t>Proposal</t>
        </is>
      </c>
      <c r="T251" s="27" t="n"/>
      <c r="U251" s="25" t="n"/>
      <c r="V251" s="22">
        <f>IF($U251="","",IFERROR(INDEX(Templates!$K$3:$K$10,MATCH($U251,Templates!$A$3:$A$10,0)),""))</f>
        <v/>
      </c>
      <c r="W251" s="22">
        <f>IF($U251="","",IFERROR(INDEX(Templates!$L$3:$L$10,MATCH($U251,Templates!$A$3:$A$10,0)),""))</f>
        <v/>
      </c>
      <c r="X251" s="23">
        <f>IF($U251="","",IFERROR(INDEX(Templates!$J$3:$J$10,MATCH($U251,Templates!$A$3:$A$10,0)),""))</f>
        <v/>
      </c>
      <c r="Y251" s="24">
        <f>IF(OR($U251="",$I251="",$J251="",$X251=""),"",$I251+$X251*($J251-$I251))</f>
        <v/>
      </c>
    </row>
    <row r="252">
      <c r="A252" s="15" t="inlineStr">
        <is>
          <t>Hereford_1</t>
        </is>
      </c>
      <c r="B252" s="16" t="inlineStr">
        <is>
          <t>Euclid Transactional</t>
        </is>
      </c>
      <c r="C252" s="15" t="inlineStr">
        <is>
          <t>Euclid Transactional</t>
        </is>
      </c>
      <c r="D252" s="15" t="inlineStr"/>
      <c r="E252" s="15" t="inlineStr">
        <is>
          <t>No</t>
        </is>
      </c>
      <c r="F252" s="15" t="inlineStr">
        <is>
          <t>Proposal</t>
        </is>
      </c>
      <c r="G252" s="25" t="n"/>
      <c r="H252" s="28" t="n">
        <v>0.5</v>
      </c>
      <c r="I252" s="26" t="n"/>
      <c r="J252" s="26" t="n"/>
      <c r="K252" s="25" t="n"/>
      <c r="L252" s="25" t="n"/>
      <c r="M252" s="25" t="n"/>
      <c r="N252" s="25" t="n"/>
      <c r="O252" s="25" t="n"/>
      <c r="P252" s="25" t="n"/>
      <c r="Q252" s="19">
        <f>IF($A252="","",COUNTIFS(Assignments!$C$2:$C$769,$A252,Assignments!$G$2:$G$769,"Active"))</f>
        <v/>
      </c>
      <c r="R252" s="20">
        <f>IF($A252="","",SUMIFS(Assignments!$I$2:$I$769,Assignments!$C$2:$C$769,$A252,Assignments!$G$2:$G$769,"Active"))</f>
        <v/>
      </c>
      <c r="S252" s="16" t="inlineStr">
        <is>
          <t>Proposal</t>
        </is>
      </c>
      <c r="T252" s="27" t="n"/>
      <c r="U252" s="25" t="n"/>
      <c r="V252" s="22">
        <f>IF($U252="","",IFERROR(INDEX(Templates!$K$3:$K$10,MATCH($U252,Templates!$A$3:$A$10,0)),""))</f>
        <v/>
      </c>
      <c r="W252" s="22">
        <f>IF($U252="","",IFERROR(INDEX(Templates!$L$3:$L$10,MATCH($U252,Templates!$A$3:$A$10,0)),""))</f>
        <v/>
      </c>
      <c r="X252" s="23">
        <f>IF($U252="","",IFERROR(INDEX(Templates!$J$3:$J$10,MATCH($U252,Templates!$A$3:$A$10,0)),""))</f>
        <v/>
      </c>
      <c r="Y252" s="24">
        <f>IF(OR($U252="",$I252="",$J252="",$X252=""),"",$I252+$X252*($J252-$I252))</f>
        <v/>
      </c>
    </row>
    <row r="253">
      <c r="A253" s="15" t="inlineStr">
        <is>
          <t>Horizon_4</t>
        </is>
      </c>
      <c r="B253" s="16" t="inlineStr">
        <is>
          <t>Slate Asset Management</t>
        </is>
      </c>
      <c r="C253" s="15" t="inlineStr">
        <is>
          <t>Slate Asset Management</t>
        </is>
      </c>
      <c r="D253" s="15" t="inlineStr"/>
      <c r="E253" s="15" t="inlineStr">
        <is>
          <t>No</t>
        </is>
      </c>
      <c r="F253" s="15" t="inlineStr">
        <is>
          <t>Proposal</t>
        </is>
      </c>
      <c r="G253" s="25" t="n"/>
      <c r="H253" s="28" t="n">
        <v>0.5</v>
      </c>
      <c r="I253" s="26" t="n"/>
      <c r="J253" s="26" t="n"/>
      <c r="K253" s="25" t="n"/>
      <c r="L253" s="25" t="n"/>
      <c r="M253" s="25" t="n"/>
      <c r="N253" s="25" t="n"/>
      <c r="O253" s="25" t="n"/>
      <c r="P253" s="25" t="n"/>
      <c r="Q253" s="19">
        <f>IF($A253="","",COUNTIFS(Assignments!$C$2:$C$769,$A253,Assignments!$G$2:$G$769,"Active"))</f>
        <v/>
      </c>
      <c r="R253" s="20">
        <f>IF($A253="","",SUMIFS(Assignments!$I$2:$I$769,Assignments!$C$2:$C$769,$A253,Assignments!$G$2:$G$769,"Active"))</f>
        <v/>
      </c>
      <c r="S253" s="16" t="inlineStr">
        <is>
          <t>Proposal</t>
        </is>
      </c>
      <c r="T253" s="27" t="n"/>
      <c r="U253" s="25" t="n"/>
      <c r="V253" s="22">
        <f>IF($U253="","",IFERROR(INDEX(Templates!$K$3:$K$10,MATCH($U253,Templates!$A$3:$A$10,0)),""))</f>
        <v/>
      </c>
      <c r="W253" s="22">
        <f>IF($U253="","",IFERROR(INDEX(Templates!$L$3:$L$10,MATCH($U253,Templates!$A$3:$A$10,0)),""))</f>
        <v/>
      </c>
      <c r="X253" s="23">
        <f>IF($U253="","",IFERROR(INDEX(Templates!$J$3:$J$10,MATCH($U253,Templates!$A$3:$A$10,0)),""))</f>
        <v/>
      </c>
      <c r="Y253" s="24">
        <f>IF(OR($U253="",$I253="",$J253="",$X253=""),"",$I253+$X253*($J253-$I253))</f>
        <v/>
      </c>
    </row>
    <row r="254">
      <c r="A254" s="15" t="inlineStr">
        <is>
          <t>Human_1</t>
        </is>
      </c>
      <c r="B254" s="16" t="inlineStr">
        <is>
          <t>Beacon Software, Inc.</t>
        </is>
      </c>
      <c r="C254" s="15" t="inlineStr">
        <is>
          <t>Beacon Software, Inc.</t>
        </is>
      </c>
      <c r="D254" s="15" t="inlineStr"/>
      <c r="E254" s="15" t="inlineStr">
        <is>
          <t>No</t>
        </is>
      </c>
      <c r="F254" s="15" t="inlineStr">
        <is>
          <t>Proposal</t>
        </is>
      </c>
      <c r="G254" s="25" t="n"/>
      <c r="H254" s="28" t="n">
        <v>0.5</v>
      </c>
      <c r="I254" s="26" t="n"/>
      <c r="J254" s="26" t="n"/>
      <c r="K254" s="25" t="n"/>
      <c r="L254" s="25" t="n"/>
      <c r="M254" s="25" t="n"/>
      <c r="N254" s="25" t="n"/>
      <c r="O254" s="25" t="n"/>
      <c r="P254" s="25" t="n"/>
      <c r="Q254" s="19">
        <f>IF($A254="","",COUNTIFS(Assignments!$C$2:$C$769,$A254,Assignments!$G$2:$G$769,"Active"))</f>
        <v/>
      </c>
      <c r="R254" s="20">
        <f>IF($A254="","",SUMIFS(Assignments!$I$2:$I$769,Assignments!$C$2:$C$769,$A254,Assignments!$G$2:$G$769,"Active"))</f>
        <v/>
      </c>
      <c r="S254" s="16" t="inlineStr">
        <is>
          <t>Proposal</t>
        </is>
      </c>
      <c r="T254" s="27" t="n"/>
      <c r="U254" s="25" t="n"/>
      <c r="V254" s="22">
        <f>IF($U254="","",IFERROR(INDEX(Templates!$K$3:$K$10,MATCH($U254,Templates!$A$3:$A$10,0)),""))</f>
        <v/>
      </c>
      <c r="W254" s="22">
        <f>IF($U254="","",IFERROR(INDEX(Templates!$L$3:$L$10,MATCH($U254,Templates!$A$3:$A$10,0)),""))</f>
        <v/>
      </c>
      <c r="X254" s="23">
        <f>IF($U254="","",IFERROR(INDEX(Templates!$J$3:$J$10,MATCH($U254,Templates!$A$3:$A$10,0)),""))</f>
        <v/>
      </c>
      <c r="Y254" s="24">
        <f>IF(OR($U254="",$I254="",$J254="",$X254=""),"",$I254+$X254*($J254-$I254))</f>
        <v/>
      </c>
    </row>
    <row r="255">
      <c r="A255" s="15" t="inlineStr">
        <is>
          <t>IPX Power_1</t>
        </is>
      </c>
      <c r="B255" s="16" t="inlineStr">
        <is>
          <t>TPG Rise Climate : IPX Power, LLC</t>
        </is>
      </c>
      <c r="C255" s="15" t="inlineStr">
        <is>
          <t>TPG Rise Climate</t>
        </is>
      </c>
      <c r="D255" s="15" t="inlineStr">
        <is>
          <t>IPX Power, LLC</t>
        </is>
      </c>
      <c r="E255" s="15" t="inlineStr">
        <is>
          <t>No</t>
        </is>
      </c>
      <c r="F255" s="15" t="inlineStr">
        <is>
          <t>Proposal</t>
        </is>
      </c>
      <c r="G255" s="25" t="n"/>
      <c r="H255" s="28" t="n">
        <v>0.5</v>
      </c>
      <c r="I255" s="26" t="n"/>
      <c r="J255" s="26" t="n"/>
      <c r="K255" s="25" t="n"/>
      <c r="L255" s="25" t="n"/>
      <c r="M255" s="25" t="n"/>
      <c r="N255" s="25" t="n"/>
      <c r="O255" s="25" t="n"/>
      <c r="P255" s="25" t="n"/>
      <c r="Q255" s="19">
        <f>IF($A255="","",COUNTIFS(Assignments!$C$2:$C$769,$A255,Assignments!$G$2:$G$769,"Active"))</f>
        <v/>
      </c>
      <c r="R255" s="20">
        <f>IF($A255="","",SUMIFS(Assignments!$I$2:$I$769,Assignments!$C$2:$C$769,$A255,Assignments!$G$2:$G$769,"Active"))</f>
        <v/>
      </c>
      <c r="S255" s="16" t="inlineStr">
        <is>
          <t>Proposal</t>
        </is>
      </c>
      <c r="T255" s="27" t="n"/>
      <c r="U255" s="25" t="n"/>
      <c r="V255" s="22">
        <f>IF($U255="","",IFERROR(INDEX(Templates!$K$3:$K$10,MATCH($U255,Templates!$A$3:$A$10,0)),""))</f>
        <v/>
      </c>
      <c r="W255" s="22">
        <f>IF($U255="","",IFERROR(INDEX(Templates!$L$3:$L$10,MATCH($U255,Templates!$A$3:$A$10,0)),""))</f>
        <v/>
      </c>
      <c r="X255" s="23">
        <f>IF($U255="","",IFERROR(INDEX(Templates!$J$3:$J$10,MATCH($U255,Templates!$A$3:$A$10,0)),""))</f>
        <v/>
      </c>
      <c r="Y255" s="24">
        <f>IF(OR($U255="",$I255="",$J255="",$X255=""),"",$I255+$X255*($J255-$I255))</f>
        <v/>
      </c>
    </row>
    <row r="256">
      <c r="A256" s="15" t="inlineStr">
        <is>
          <t>JHIF 2026 Restructuring_1</t>
        </is>
      </c>
      <c r="B256" s="16" t="inlineStr">
        <is>
          <t>Manulife : John Hancock</t>
        </is>
      </c>
      <c r="C256" s="15" t="inlineStr">
        <is>
          <t>Manulife</t>
        </is>
      </c>
      <c r="D256" s="15" t="inlineStr">
        <is>
          <t>John Hancock</t>
        </is>
      </c>
      <c r="E256" s="15" t="inlineStr">
        <is>
          <t>No</t>
        </is>
      </c>
      <c r="F256" s="15" t="inlineStr">
        <is>
          <t>Proposal</t>
        </is>
      </c>
      <c r="G256" s="25" t="n"/>
      <c r="H256" s="28" t="n">
        <v>0.5</v>
      </c>
      <c r="I256" s="26" t="n"/>
      <c r="J256" s="26" t="n"/>
      <c r="K256" s="25" t="n"/>
      <c r="L256" s="25" t="n"/>
      <c r="M256" s="25" t="n"/>
      <c r="N256" s="25" t="n"/>
      <c r="O256" s="25" t="n"/>
      <c r="P256" s="25" t="n"/>
      <c r="Q256" s="19">
        <f>IF($A256="","",COUNTIFS(Assignments!$C$2:$C$769,$A256,Assignments!$G$2:$G$769,"Active"))</f>
        <v/>
      </c>
      <c r="R256" s="20">
        <f>IF($A256="","",SUMIFS(Assignments!$I$2:$I$769,Assignments!$C$2:$C$769,$A256,Assignments!$G$2:$G$769,"Active"))</f>
        <v/>
      </c>
      <c r="S256" s="16" t="inlineStr">
        <is>
          <t>Proposal</t>
        </is>
      </c>
      <c r="T256" s="27" t="n"/>
      <c r="U256" s="25" t="n"/>
      <c r="V256" s="22">
        <f>IF($U256="","",IFERROR(INDEX(Templates!$K$3:$K$10,MATCH($U256,Templates!$A$3:$A$10,0)),""))</f>
        <v/>
      </c>
      <c r="W256" s="22">
        <f>IF($U256="","",IFERROR(INDEX(Templates!$L$3:$L$10,MATCH($U256,Templates!$A$3:$A$10,0)),""))</f>
        <v/>
      </c>
      <c r="X256" s="23">
        <f>IF($U256="","",IFERROR(INDEX(Templates!$J$3:$J$10,MATCH($U256,Templates!$A$3:$A$10,0)),""))</f>
        <v/>
      </c>
      <c r="Y256" s="24">
        <f>IF(OR($U256="",$I256="",$J256="",$X256=""),"",$I256+$X256*($J256-$I256))</f>
        <v/>
      </c>
    </row>
    <row r="257">
      <c r="A257" s="15" t="inlineStr">
        <is>
          <t>Kering_1</t>
        </is>
      </c>
      <c r="B257" s="16" t="inlineStr">
        <is>
          <t>Kering</t>
        </is>
      </c>
      <c r="C257" s="15" t="inlineStr">
        <is>
          <t>Kering</t>
        </is>
      </c>
      <c r="D257" s="15" t="inlineStr"/>
      <c r="E257" s="15" t="inlineStr">
        <is>
          <t>No</t>
        </is>
      </c>
      <c r="F257" s="15" t="inlineStr">
        <is>
          <t>Proposal</t>
        </is>
      </c>
      <c r="G257" s="25" t="n"/>
      <c r="H257" s="28" t="n">
        <v>0.5</v>
      </c>
      <c r="I257" s="26" t="n"/>
      <c r="J257" s="26" t="n"/>
      <c r="K257" s="25" t="n"/>
      <c r="L257" s="25" t="n"/>
      <c r="M257" s="25" t="n"/>
      <c r="N257" s="25" t="n"/>
      <c r="O257" s="25" t="n"/>
      <c r="P257" s="25" t="n"/>
      <c r="Q257" s="19">
        <f>IF($A257="","",COUNTIFS(Assignments!$C$2:$C$769,$A257,Assignments!$G$2:$G$769,"Active"))</f>
        <v/>
      </c>
      <c r="R257" s="20">
        <f>IF($A257="","",SUMIFS(Assignments!$I$2:$I$769,Assignments!$C$2:$C$769,$A257,Assignments!$G$2:$G$769,"Active"))</f>
        <v/>
      </c>
      <c r="S257" s="16" t="inlineStr">
        <is>
          <t>Proposal</t>
        </is>
      </c>
      <c r="T257" s="27" t="n"/>
      <c r="U257" s="25" t="n"/>
      <c r="V257" s="22">
        <f>IF($U257="","",IFERROR(INDEX(Templates!$K$3:$K$10,MATCH($U257,Templates!$A$3:$A$10,0)),""))</f>
        <v/>
      </c>
      <c r="W257" s="22">
        <f>IF($U257="","",IFERROR(INDEX(Templates!$L$3:$L$10,MATCH($U257,Templates!$A$3:$A$10,0)),""))</f>
        <v/>
      </c>
      <c r="X257" s="23">
        <f>IF($U257="","",IFERROR(INDEX(Templates!$J$3:$J$10,MATCH($U257,Templates!$A$3:$A$10,0)),""))</f>
        <v/>
      </c>
      <c r="Y257" s="24">
        <f>IF(OR($U257="",$I257="",$J257="",$X257=""),"",$I257+$X257*($J257-$I257))</f>
        <v/>
      </c>
    </row>
    <row r="258">
      <c r="A258" s="15" t="inlineStr">
        <is>
          <t>kingfisher FIRPTA</t>
        </is>
      </c>
      <c r="B258" s="16" t="inlineStr">
        <is>
          <t>CVC</t>
        </is>
      </c>
      <c r="C258" s="15" t="inlineStr">
        <is>
          <t>CVC</t>
        </is>
      </c>
      <c r="D258" s="15" t="inlineStr"/>
      <c r="E258" s="15" t="inlineStr">
        <is>
          <t>No</t>
        </is>
      </c>
      <c r="F258" s="15" t="inlineStr">
        <is>
          <t>Proposal</t>
        </is>
      </c>
      <c r="G258" s="25" t="n"/>
      <c r="H258" s="28" t="n">
        <v>0.5</v>
      </c>
      <c r="I258" s="26" t="n"/>
      <c r="J258" s="26" t="n"/>
      <c r="K258" s="25" t="n"/>
      <c r="L258" s="25" t="n"/>
      <c r="M258" s="25" t="n"/>
      <c r="N258" s="25" t="n"/>
      <c r="O258" s="25" t="n"/>
      <c r="P258" s="25" t="n"/>
      <c r="Q258" s="19">
        <f>IF($A258="","",COUNTIFS(Assignments!$C$2:$C$769,$A258,Assignments!$G$2:$G$769,"Active"))</f>
        <v/>
      </c>
      <c r="R258" s="20">
        <f>IF($A258="","",SUMIFS(Assignments!$I$2:$I$769,Assignments!$C$2:$C$769,$A258,Assignments!$G$2:$G$769,"Active"))</f>
        <v/>
      </c>
      <c r="S258" s="16" t="inlineStr">
        <is>
          <t>Summary tab only (Proposal)</t>
        </is>
      </c>
      <c r="T258" s="27" t="n"/>
      <c r="U258" s="25" t="n"/>
      <c r="V258" s="22">
        <f>IF($U258="","",IFERROR(INDEX(Templates!$K$3:$K$10,MATCH($U258,Templates!$A$3:$A$10,0)),""))</f>
        <v/>
      </c>
      <c r="W258" s="22">
        <f>IF($U258="","",IFERROR(INDEX(Templates!$L$3:$L$10,MATCH($U258,Templates!$A$3:$A$10,0)),""))</f>
        <v/>
      </c>
      <c r="X258" s="23">
        <f>IF($U258="","",IFERROR(INDEX(Templates!$J$3:$J$10,MATCH($U258,Templates!$A$3:$A$10,0)),""))</f>
        <v/>
      </c>
      <c r="Y258" s="24">
        <f>IF(OR($U258="",$I258="",$J258="",$X258=""),"",$I258+$X258*($J258-$I258))</f>
        <v/>
      </c>
    </row>
    <row r="259">
      <c r="A259" s="15" t="inlineStr">
        <is>
          <t>Liquidation Henner US_1</t>
        </is>
      </c>
      <c r="B259" s="16" t="inlineStr">
        <is>
          <t>Groupe Henner Holding SAS</t>
        </is>
      </c>
      <c r="C259" s="15" t="inlineStr">
        <is>
          <t>Groupe Henner Holding SAS</t>
        </is>
      </c>
      <c r="D259" s="15" t="inlineStr"/>
      <c r="E259" s="15" t="inlineStr">
        <is>
          <t>No</t>
        </is>
      </c>
      <c r="F259" s="15" t="inlineStr">
        <is>
          <t>Proposal</t>
        </is>
      </c>
      <c r="G259" s="25" t="n"/>
      <c r="H259" s="28" t="n">
        <v>0.5</v>
      </c>
      <c r="I259" s="26" t="n"/>
      <c r="J259" s="26" t="n"/>
      <c r="K259" s="25" t="n"/>
      <c r="L259" s="25" t="n"/>
      <c r="M259" s="25" t="n"/>
      <c r="N259" s="25" t="n"/>
      <c r="O259" s="25" t="n"/>
      <c r="P259" s="25" t="n"/>
      <c r="Q259" s="19">
        <f>IF($A259="","",COUNTIFS(Assignments!$C$2:$C$769,$A259,Assignments!$G$2:$G$769,"Active"))</f>
        <v/>
      </c>
      <c r="R259" s="20">
        <f>IF($A259="","",SUMIFS(Assignments!$I$2:$I$769,Assignments!$C$2:$C$769,$A259,Assignments!$G$2:$G$769,"Active"))</f>
        <v/>
      </c>
      <c r="S259" s="16" t="inlineStr">
        <is>
          <t>Proposal</t>
        </is>
      </c>
      <c r="T259" s="27" t="n"/>
      <c r="U259" s="25" t="n"/>
      <c r="V259" s="22">
        <f>IF($U259="","",IFERROR(INDEX(Templates!$K$3:$K$10,MATCH($U259,Templates!$A$3:$A$10,0)),""))</f>
        <v/>
      </c>
      <c r="W259" s="22">
        <f>IF($U259="","",IFERROR(INDEX(Templates!$L$3:$L$10,MATCH($U259,Templates!$A$3:$A$10,0)),""))</f>
        <v/>
      </c>
      <c r="X259" s="23">
        <f>IF($U259="","",IFERROR(INDEX(Templates!$J$3:$J$10,MATCH($U259,Templates!$A$3:$A$10,0)),""))</f>
        <v/>
      </c>
      <c r="Y259" s="24">
        <f>IF(OR($U259="",$I259="",$J259="",$X259=""),"",$I259+$X259*($J259-$I259))</f>
        <v/>
      </c>
    </row>
    <row r="260">
      <c r="A260" s="15" t="inlineStr">
        <is>
          <t>LMNOP_1</t>
        </is>
      </c>
      <c r="B260" s="16" t="inlineStr">
        <is>
          <t>Eight Advisory (Referral Source)</t>
        </is>
      </c>
      <c r="C260" s="15" t="inlineStr">
        <is>
          <t>Eight Advisory</t>
        </is>
      </c>
      <c r="D260" s="15" t="inlineStr"/>
      <c r="E260" s="15" t="inlineStr">
        <is>
          <t>Yes</t>
        </is>
      </c>
      <c r="F260" s="15" t="inlineStr">
        <is>
          <t>Proposal</t>
        </is>
      </c>
      <c r="G260" s="25" t="n"/>
      <c r="H260" s="28" t="n">
        <v>0.5</v>
      </c>
      <c r="I260" s="26" t="n"/>
      <c r="J260" s="26" t="n"/>
      <c r="K260" s="25" t="n"/>
      <c r="L260" s="25" t="n"/>
      <c r="M260" s="25" t="n"/>
      <c r="N260" s="25" t="n"/>
      <c r="O260" s="25" t="n"/>
      <c r="P260" s="25" t="n"/>
      <c r="Q260" s="19">
        <f>IF($A260="","",COUNTIFS(Assignments!$C$2:$C$769,$A260,Assignments!$G$2:$G$769,"Active"))</f>
        <v/>
      </c>
      <c r="R260" s="20">
        <f>IF($A260="","",SUMIFS(Assignments!$I$2:$I$769,Assignments!$C$2:$C$769,$A260,Assignments!$G$2:$G$769,"Active"))</f>
        <v/>
      </c>
      <c r="S260" s="16" t="inlineStr">
        <is>
          <t>Proposal</t>
        </is>
      </c>
      <c r="T260" s="27" t="n"/>
      <c r="U260" s="25" t="n"/>
      <c r="V260" s="22">
        <f>IF($U260="","",IFERROR(INDEX(Templates!$K$3:$K$10,MATCH($U260,Templates!$A$3:$A$10,0)),""))</f>
        <v/>
      </c>
      <c r="W260" s="22">
        <f>IF($U260="","",IFERROR(INDEX(Templates!$L$3:$L$10,MATCH($U260,Templates!$A$3:$A$10,0)),""))</f>
        <v/>
      </c>
      <c r="X260" s="23">
        <f>IF($U260="","",IFERROR(INDEX(Templates!$J$3:$J$10,MATCH($U260,Templates!$A$3:$A$10,0)),""))</f>
        <v/>
      </c>
      <c r="Y260" s="24">
        <f>IF(OR($U260="",$I260="",$J260="",$X260=""),"",$I260+$X260*($J260-$I260))</f>
        <v/>
      </c>
    </row>
    <row r="261">
      <c r="A261" s="15" t="inlineStr">
        <is>
          <t>LOB Analysis_1</t>
        </is>
      </c>
      <c r="B261" s="16" t="inlineStr">
        <is>
          <t>Taxand Global : Arsene TaxAnd</t>
        </is>
      </c>
      <c r="C261" s="15" t="inlineStr">
        <is>
          <t>Taxand Global</t>
        </is>
      </c>
      <c r="D261" s="15" t="inlineStr">
        <is>
          <t>Arsene TaxAnd</t>
        </is>
      </c>
      <c r="E261" s="15" t="inlineStr">
        <is>
          <t>No</t>
        </is>
      </c>
      <c r="F261" s="15" t="inlineStr">
        <is>
          <t>Proposal</t>
        </is>
      </c>
      <c r="G261" s="25" t="n"/>
      <c r="H261" s="28" t="n">
        <v>0.5</v>
      </c>
      <c r="I261" s="26" t="n"/>
      <c r="J261" s="26" t="n"/>
      <c r="K261" s="25" t="n"/>
      <c r="L261" s="25" t="n"/>
      <c r="M261" s="25" t="n"/>
      <c r="N261" s="25" t="n"/>
      <c r="O261" s="25" t="n"/>
      <c r="P261" s="25" t="n"/>
      <c r="Q261" s="19">
        <f>IF($A261="","",COUNTIFS(Assignments!$C$2:$C$769,$A261,Assignments!$G$2:$G$769,"Active"))</f>
        <v/>
      </c>
      <c r="R261" s="20">
        <f>IF($A261="","",SUMIFS(Assignments!$I$2:$I$769,Assignments!$C$2:$C$769,$A261,Assignments!$G$2:$G$769,"Active"))</f>
        <v/>
      </c>
      <c r="S261" s="16" t="inlineStr">
        <is>
          <t>Proposal</t>
        </is>
      </c>
      <c r="T261" s="27" t="n"/>
      <c r="U261" s="25" t="n"/>
      <c r="V261" s="22">
        <f>IF($U261="","",IFERROR(INDEX(Templates!$K$3:$K$10,MATCH($U261,Templates!$A$3:$A$10,0)),""))</f>
        <v/>
      </c>
      <c r="W261" s="22">
        <f>IF($U261="","",IFERROR(INDEX(Templates!$L$3:$L$10,MATCH($U261,Templates!$A$3:$A$10,0)),""))</f>
        <v/>
      </c>
      <c r="X261" s="23">
        <f>IF($U261="","",IFERROR(INDEX(Templates!$J$3:$J$10,MATCH($U261,Templates!$A$3:$A$10,0)),""))</f>
        <v/>
      </c>
      <c r="Y261" s="24">
        <f>IF(OR($U261="",$I261="",$J261="",$X261=""),"",$I261+$X261*($J261-$I261))</f>
        <v/>
      </c>
    </row>
    <row r="262">
      <c r="A262" s="15" t="inlineStr">
        <is>
          <t>Lockup</t>
        </is>
      </c>
      <c r="B262" s="16" t="inlineStr">
        <is>
          <t>Brighthill Energy</t>
        </is>
      </c>
      <c r="C262" s="15" t="inlineStr">
        <is>
          <t>Brighthill Energy</t>
        </is>
      </c>
      <c r="D262" s="15" t="inlineStr"/>
      <c r="E262" s="15" t="inlineStr">
        <is>
          <t>No</t>
        </is>
      </c>
      <c r="F262" s="15" t="inlineStr">
        <is>
          <t>Proposal</t>
        </is>
      </c>
      <c r="G262" s="25" t="n"/>
      <c r="H262" s="28" t="n">
        <v>0.5</v>
      </c>
      <c r="I262" s="26" t="n"/>
      <c r="J262" s="26" t="n"/>
      <c r="K262" s="25" t="n"/>
      <c r="L262" s="25" t="n"/>
      <c r="M262" s="25" t="n"/>
      <c r="N262" s="25" t="n"/>
      <c r="O262" s="25" t="n"/>
      <c r="P262" s="25" t="n"/>
      <c r="Q262" s="19">
        <f>IF($A262="","",COUNTIFS(Assignments!$C$2:$C$769,$A262,Assignments!$G$2:$G$769,"Active"))</f>
        <v/>
      </c>
      <c r="R262" s="20">
        <f>IF($A262="","",SUMIFS(Assignments!$I$2:$I$769,Assignments!$C$2:$C$769,$A262,Assignments!$G$2:$G$769,"Active"))</f>
        <v/>
      </c>
      <c r="S262" s="16" t="inlineStr">
        <is>
          <t>Summary tab only (Proposal)</t>
        </is>
      </c>
      <c r="T262" s="27" t="n"/>
      <c r="U262" s="25" t="n"/>
      <c r="V262" s="22">
        <f>IF($U262="","",IFERROR(INDEX(Templates!$K$3:$K$10,MATCH($U262,Templates!$A$3:$A$10,0)),""))</f>
        <v/>
      </c>
      <c r="W262" s="22">
        <f>IF($U262="","",IFERROR(INDEX(Templates!$L$3:$L$10,MATCH($U262,Templates!$A$3:$A$10,0)),""))</f>
        <v/>
      </c>
      <c r="X262" s="23">
        <f>IF($U262="","",IFERROR(INDEX(Templates!$J$3:$J$10,MATCH($U262,Templates!$A$3:$A$10,0)),""))</f>
        <v/>
      </c>
      <c r="Y262" s="24">
        <f>IF(OR($U262="",$I262="",$J262="",$X262=""),"",$I262+$X262*($J262-$I262))</f>
        <v/>
      </c>
    </row>
    <row r="263">
      <c r="A263" s="15" t="inlineStr">
        <is>
          <t>Malta_1</t>
        </is>
      </c>
      <c r="B263" s="16" t="inlineStr">
        <is>
          <t>Taxand Global : Tax Partner AG</t>
        </is>
      </c>
      <c r="C263" s="15" t="inlineStr">
        <is>
          <t>Taxand Global</t>
        </is>
      </c>
      <c r="D263" s="15" t="inlineStr">
        <is>
          <t>Tax Partner AG</t>
        </is>
      </c>
      <c r="E263" s="15" t="inlineStr">
        <is>
          <t>No</t>
        </is>
      </c>
      <c r="F263" s="15" t="inlineStr">
        <is>
          <t>Proposal</t>
        </is>
      </c>
      <c r="G263" s="25" t="n"/>
      <c r="H263" s="28" t="n">
        <v>0.5</v>
      </c>
      <c r="I263" s="26" t="n"/>
      <c r="J263" s="26" t="n"/>
      <c r="K263" s="25" t="n"/>
      <c r="L263" s="25" t="n"/>
      <c r="M263" s="25" t="n"/>
      <c r="N263" s="25" t="n"/>
      <c r="O263" s="25" t="n"/>
      <c r="P263" s="25" t="n"/>
      <c r="Q263" s="19">
        <f>IF($A263="","",COUNTIFS(Assignments!$C$2:$C$769,$A263,Assignments!$G$2:$G$769,"Active"))</f>
        <v/>
      </c>
      <c r="R263" s="20">
        <f>IF($A263="","",SUMIFS(Assignments!$I$2:$I$769,Assignments!$C$2:$C$769,$A263,Assignments!$G$2:$G$769,"Active"))</f>
        <v/>
      </c>
      <c r="S263" s="16" t="inlineStr">
        <is>
          <t>Proposal</t>
        </is>
      </c>
      <c r="T263" s="27" t="n"/>
      <c r="U263" s="25" t="n"/>
      <c r="V263" s="22">
        <f>IF($U263="","",IFERROR(INDEX(Templates!$K$3:$K$10,MATCH($U263,Templates!$A$3:$A$10,0)),""))</f>
        <v/>
      </c>
      <c r="W263" s="22">
        <f>IF($U263="","",IFERROR(INDEX(Templates!$L$3:$L$10,MATCH($U263,Templates!$A$3:$A$10,0)),""))</f>
        <v/>
      </c>
      <c r="X263" s="23">
        <f>IF($U263="","",IFERROR(INDEX(Templates!$J$3:$J$10,MATCH($U263,Templates!$A$3:$A$10,0)),""))</f>
        <v/>
      </c>
      <c r="Y263" s="24">
        <f>IF(OR($U263="",$I263="",$J263="",$X263=""),"",$I263+$X263*($J263-$I263))</f>
        <v/>
      </c>
    </row>
    <row r="264">
      <c r="A264" s="15" t="inlineStr">
        <is>
          <t>Marigold_2</t>
        </is>
      </c>
      <c r="B264" s="16" t="inlineStr">
        <is>
          <t>Igneo Infrastructure</t>
        </is>
      </c>
      <c r="C264" s="15" t="inlineStr">
        <is>
          <t>Igneo Infrastructure</t>
        </is>
      </c>
      <c r="D264" s="15" t="inlineStr"/>
      <c r="E264" s="15" t="inlineStr">
        <is>
          <t>No</t>
        </is>
      </c>
      <c r="F264" s="15" t="inlineStr">
        <is>
          <t>Proposal</t>
        </is>
      </c>
      <c r="G264" s="25" t="n"/>
      <c r="H264" s="28" t="n">
        <v>0.5</v>
      </c>
      <c r="I264" s="26" t="n"/>
      <c r="J264" s="26" t="n"/>
      <c r="K264" s="25" t="n"/>
      <c r="L264" s="25" t="n"/>
      <c r="M264" s="25" t="n"/>
      <c r="N264" s="25" t="n"/>
      <c r="O264" s="25" t="n"/>
      <c r="P264" s="25" t="n"/>
      <c r="Q264" s="19">
        <f>IF($A264="","",COUNTIFS(Assignments!$C$2:$C$769,$A264,Assignments!$G$2:$G$769,"Active"))</f>
        <v/>
      </c>
      <c r="R264" s="20">
        <f>IF($A264="","",SUMIFS(Assignments!$I$2:$I$769,Assignments!$C$2:$C$769,$A264,Assignments!$G$2:$G$769,"Active"))</f>
        <v/>
      </c>
      <c r="S264" s="16" t="inlineStr">
        <is>
          <t>Proposal</t>
        </is>
      </c>
      <c r="T264" s="27" t="n"/>
      <c r="U264" s="25" t="n"/>
      <c r="V264" s="22">
        <f>IF($U264="","",IFERROR(INDEX(Templates!$K$3:$K$10,MATCH($U264,Templates!$A$3:$A$10,0)),""))</f>
        <v/>
      </c>
      <c r="W264" s="22">
        <f>IF($U264="","",IFERROR(INDEX(Templates!$L$3:$L$10,MATCH($U264,Templates!$A$3:$A$10,0)),""))</f>
        <v/>
      </c>
      <c r="X264" s="23">
        <f>IF($U264="","",IFERROR(INDEX(Templates!$J$3:$J$10,MATCH($U264,Templates!$A$3:$A$10,0)),""))</f>
        <v/>
      </c>
      <c r="Y264" s="24">
        <f>IF(OR($U264="",$I264="",$J264="",$X264=""),"",$I264+$X264*($J264-$I264))</f>
        <v/>
      </c>
    </row>
    <row r="265">
      <c r="A265" s="15" t="inlineStr">
        <is>
          <t>Marle_1</t>
        </is>
      </c>
      <c r="B265" s="16" t="inlineStr">
        <is>
          <t>Eight Advisory (Referral Source)</t>
        </is>
      </c>
      <c r="C265" s="15" t="inlineStr">
        <is>
          <t>Eight Advisory</t>
        </is>
      </c>
      <c r="D265" s="15" t="inlineStr"/>
      <c r="E265" s="15" t="inlineStr">
        <is>
          <t>Yes</t>
        </is>
      </c>
      <c r="F265" s="15" t="inlineStr">
        <is>
          <t>Proposal</t>
        </is>
      </c>
      <c r="G265" s="25" t="n"/>
      <c r="H265" s="28" t="n">
        <v>0.5</v>
      </c>
      <c r="I265" s="26" t="n"/>
      <c r="J265" s="26" t="n"/>
      <c r="K265" s="25" t="n"/>
      <c r="L265" s="25" t="n"/>
      <c r="M265" s="25" t="n"/>
      <c r="N265" s="25" t="n"/>
      <c r="O265" s="25" t="n"/>
      <c r="P265" s="25" t="n"/>
      <c r="Q265" s="19">
        <f>IF($A265="","",COUNTIFS(Assignments!$C$2:$C$769,$A265,Assignments!$G$2:$G$769,"Active"))</f>
        <v/>
      </c>
      <c r="R265" s="20">
        <f>IF($A265="","",SUMIFS(Assignments!$I$2:$I$769,Assignments!$C$2:$C$769,$A265,Assignments!$G$2:$G$769,"Active"))</f>
        <v/>
      </c>
      <c r="S265" s="16" t="inlineStr">
        <is>
          <t>Proposal</t>
        </is>
      </c>
      <c r="T265" s="27" t="n"/>
      <c r="U265" s="25" t="n"/>
      <c r="V265" s="22">
        <f>IF($U265="","",IFERROR(INDEX(Templates!$K$3:$K$10,MATCH($U265,Templates!$A$3:$A$10,0)),""))</f>
        <v/>
      </c>
      <c r="W265" s="22">
        <f>IF($U265="","",IFERROR(INDEX(Templates!$L$3:$L$10,MATCH($U265,Templates!$A$3:$A$10,0)),""))</f>
        <v/>
      </c>
      <c r="X265" s="23">
        <f>IF($U265="","",IFERROR(INDEX(Templates!$J$3:$J$10,MATCH($U265,Templates!$A$3:$A$10,0)),""))</f>
        <v/>
      </c>
      <c r="Y265" s="24">
        <f>IF(OR($U265="",$I265="",$J265="",$X265=""),"",$I265+$X265*($J265-$I265))</f>
        <v/>
      </c>
    </row>
    <row r="266">
      <c r="A266" s="15" t="inlineStr">
        <is>
          <t>Mash_1</t>
        </is>
      </c>
      <c r="B266" s="16" t="inlineStr">
        <is>
          <t>KKR : John Laing</t>
        </is>
      </c>
      <c r="C266" s="15" t="inlineStr">
        <is>
          <t>KKR</t>
        </is>
      </c>
      <c r="D266" s="15" t="inlineStr">
        <is>
          <t>John Laing</t>
        </is>
      </c>
      <c r="E266" s="15" t="inlineStr">
        <is>
          <t>No</t>
        </is>
      </c>
      <c r="F266" s="15" t="inlineStr">
        <is>
          <t>Proposal</t>
        </is>
      </c>
      <c r="G266" s="25" t="n"/>
      <c r="H266" s="28" t="n">
        <v>0.5</v>
      </c>
      <c r="I266" s="26" t="n"/>
      <c r="J266" s="26" t="n"/>
      <c r="K266" s="25" t="n"/>
      <c r="L266" s="25" t="n"/>
      <c r="M266" s="25" t="n"/>
      <c r="N266" s="25" t="n"/>
      <c r="O266" s="25" t="n"/>
      <c r="P266" s="25" t="n"/>
      <c r="Q266" s="19">
        <f>IF($A266="","",COUNTIFS(Assignments!$C$2:$C$769,$A266,Assignments!$G$2:$G$769,"Active"))</f>
        <v/>
      </c>
      <c r="R266" s="20">
        <f>IF($A266="","",SUMIFS(Assignments!$I$2:$I$769,Assignments!$C$2:$C$769,$A266,Assignments!$G$2:$G$769,"Active"))</f>
        <v/>
      </c>
      <c r="S266" s="16" t="inlineStr">
        <is>
          <t>Proposal</t>
        </is>
      </c>
      <c r="T266" s="27" t="n"/>
      <c r="U266" s="25" t="n"/>
      <c r="V266" s="22">
        <f>IF($U266="","",IFERROR(INDEX(Templates!$K$3:$K$10,MATCH($U266,Templates!$A$3:$A$10,0)),""))</f>
        <v/>
      </c>
      <c r="W266" s="22">
        <f>IF($U266="","",IFERROR(INDEX(Templates!$L$3:$L$10,MATCH($U266,Templates!$A$3:$A$10,0)),""))</f>
        <v/>
      </c>
      <c r="X266" s="23">
        <f>IF($U266="","",IFERROR(INDEX(Templates!$J$3:$J$10,MATCH($U266,Templates!$A$3:$A$10,0)),""))</f>
        <v/>
      </c>
      <c r="Y266" s="24">
        <f>IF(OR($U266="",$I266="",$J266="",$X266=""),"",$I266+$X266*($J266-$I266))</f>
        <v/>
      </c>
    </row>
    <row r="267">
      <c r="A267" s="15" t="inlineStr">
        <is>
          <t>Metro_1</t>
        </is>
      </c>
      <c r="B267" s="16" t="inlineStr">
        <is>
          <t>Scutum Group</t>
        </is>
      </c>
      <c r="C267" s="15" t="inlineStr">
        <is>
          <t>Scutum Group</t>
        </is>
      </c>
      <c r="D267" s="15" t="inlineStr"/>
      <c r="E267" s="15" t="inlineStr">
        <is>
          <t>No</t>
        </is>
      </c>
      <c r="F267" s="15" t="inlineStr">
        <is>
          <t>Proposal</t>
        </is>
      </c>
      <c r="G267" s="25" t="n"/>
      <c r="H267" s="28" t="n">
        <v>0.5</v>
      </c>
      <c r="I267" s="26" t="n"/>
      <c r="J267" s="26" t="n"/>
      <c r="K267" s="25" t="n"/>
      <c r="L267" s="25" t="n"/>
      <c r="M267" s="25" t="n"/>
      <c r="N267" s="25" t="n"/>
      <c r="O267" s="25" t="n"/>
      <c r="P267" s="25" t="n"/>
      <c r="Q267" s="19">
        <f>IF($A267="","",COUNTIFS(Assignments!$C$2:$C$769,$A267,Assignments!$G$2:$G$769,"Active"))</f>
        <v/>
      </c>
      <c r="R267" s="20">
        <f>IF($A267="","",SUMIFS(Assignments!$I$2:$I$769,Assignments!$C$2:$C$769,$A267,Assignments!$G$2:$G$769,"Active"))</f>
        <v/>
      </c>
      <c r="S267" s="16" t="inlineStr">
        <is>
          <t>Proposal</t>
        </is>
      </c>
      <c r="T267" s="27" t="n"/>
      <c r="U267" s="25" t="n"/>
      <c r="V267" s="22">
        <f>IF($U267="","",IFERROR(INDEX(Templates!$K$3:$K$10,MATCH($U267,Templates!$A$3:$A$10,0)),""))</f>
        <v/>
      </c>
      <c r="W267" s="22">
        <f>IF($U267="","",IFERROR(INDEX(Templates!$L$3:$L$10,MATCH($U267,Templates!$A$3:$A$10,0)),""))</f>
        <v/>
      </c>
      <c r="X267" s="23">
        <f>IF($U267="","",IFERROR(INDEX(Templates!$J$3:$J$10,MATCH($U267,Templates!$A$3:$A$10,0)),""))</f>
        <v/>
      </c>
      <c r="Y267" s="24">
        <f>IF(OR($U267="",$I267="",$J267="",$X267=""),"",$I267+$X267*($J267-$I267))</f>
        <v/>
      </c>
    </row>
    <row r="268">
      <c r="A268" s="15" t="inlineStr">
        <is>
          <t>Model_4</t>
        </is>
      </c>
      <c r="B268" s="16" t="inlineStr">
        <is>
          <t>Macquarie Group</t>
        </is>
      </c>
      <c r="C268" s="15" t="inlineStr">
        <is>
          <t>Macquarie Group</t>
        </is>
      </c>
      <c r="D268" s="15" t="inlineStr"/>
      <c r="E268" s="15" t="inlineStr">
        <is>
          <t>No</t>
        </is>
      </c>
      <c r="F268" s="15" t="inlineStr">
        <is>
          <t>Proposal</t>
        </is>
      </c>
      <c r="G268" s="25" t="n"/>
      <c r="H268" s="28" t="n">
        <v>0.5</v>
      </c>
      <c r="I268" s="26" t="n"/>
      <c r="J268" s="26" t="n"/>
      <c r="K268" s="25" t="n"/>
      <c r="L268" s="25" t="n"/>
      <c r="M268" s="25" t="n"/>
      <c r="N268" s="25" t="n"/>
      <c r="O268" s="25" t="n"/>
      <c r="P268" s="25" t="n"/>
      <c r="Q268" s="19">
        <f>IF($A268="","",COUNTIFS(Assignments!$C$2:$C$769,$A268,Assignments!$G$2:$G$769,"Active"))</f>
        <v/>
      </c>
      <c r="R268" s="20">
        <f>IF($A268="","",SUMIFS(Assignments!$I$2:$I$769,Assignments!$C$2:$C$769,$A268,Assignments!$G$2:$G$769,"Active"))</f>
        <v/>
      </c>
      <c r="S268" s="16" t="inlineStr">
        <is>
          <t>Proposal</t>
        </is>
      </c>
      <c r="T268" s="27" t="n"/>
      <c r="U268" s="25" t="n"/>
      <c r="V268" s="22">
        <f>IF($U268="","",IFERROR(INDEX(Templates!$K$3:$K$10,MATCH($U268,Templates!$A$3:$A$10,0)),""))</f>
        <v/>
      </c>
      <c r="W268" s="22">
        <f>IF($U268="","",IFERROR(INDEX(Templates!$L$3:$L$10,MATCH($U268,Templates!$A$3:$A$10,0)),""))</f>
        <v/>
      </c>
      <c r="X268" s="23">
        <f>IF($U268="","",IFERROR(INDEX(Templates!$J$3:$J$10,MATCH($U268,Templates!$A$3:$A$10,0)),""))</f>
        <v/>
      </c>
      <c r="Y268" s="24">
        <f>IF(OR($U268="",$I268="",$J268="",$X268=""),"",$I268+$X268*($J268-$I268))</f>
        <v/>
      </c>
    </row>
    <row r="269">
      <c r="A269" s="15" t="inlineStr">
        <is>
          <t>Nemrut_1</t>
        </is>
      </c>
      <c r="B269" s="16" t="inlineStr">
        <is>
          <t>Davidson Kempner Capital Management</t>
        </is>
      </c>
      <c r="C269" s="15" t="inlineStr">
        <is>
          <t>Davidson Kempner Capital Management</t>
        </is>
      </c>
      <c r="D269" s="15" t="inlineStr"/>
      <c r="E269" s="15" t="inlineStr">
        <is>
          <t>No</t>
        </is>
      </c>
      <c r="F269" s="15" t="inlineStr">
        <is>
          <t>Proposal</t>
        </is>
      </c>
      <c r="G269" s="25" t="n"/>
      <c r="H269" s="28" t="n">
        <v>0.5</v>
      </c>
      <c r="I269" s="26" t="n"/>
      <c r="J269" s="26" t="n"/>
      <c r="K269" s="25" t="n"/>
      <c r="L269" s="25" t="n"/>
      <c r="M269" s="25" t="n"/>
      <c r="N269" s="25" t="n"/>
      <c r="O269" s="25" t="n"/>
      <c r="P269" s="25" t="n"/>
      <c r="Q269" s="19">
        <f>IF($A269="","",COUNTIFS(Assignments!$C$2:$C$769,$A269,Assignments!$G$2:$G$769,"Active"))</f>
        <v/>
      </c>
      <c r="R269" s="20">
        <f>IF($A269="","",SUMIFS(Assignments!$I$2:$I$769,Assignments!$C$2:$C$769,$A269,Assignments!$G$2:$G$769,"Active"))</f>
        <v/>
      </c>
      <c r="S269" s="16" t="inlineStr">
        <is>
          <t>Proposal</t>
        </is>
      </c>
      <c r="T269" s="27" t="n"/>
      <c r="U269" s="25" t="n"/>
      <c r="V269" s="22">
        <f>IF($U269="","",IFERROR(INDEX(Templates!$K$3:$K$10,MATCH($U269,Templates!$A$3:$A$10,0)),""))</f>
        <v/>
      </c>
      <c r="W269" s="22">
        <f>IF($U269="","",IFERROR(INDEX(Templates!$L$3:$L$10,MATCH($U269,Templates!$A$3:$A$10,0)),""))</f>
        <v/>
      </c>
      <c r="X269" s="23">
        <f>IF($U269="","",IFERROR(INDEX(Templates!$J$3:$J$10,MATCH($U269,Templates!$A$3:$A$10,0)),""))</f>
        <v/>
      </c>
      <c r="Y269" s="24">
        <f>IF(OR($U269="",$I269="",$J269="",$X269=""),"",$I269+$X269*($J269-$I269))</f>
        <v/>
      </c>
    </row>
    <row r="270">
      <c r="A270" s="15" t="inlineStr">
        <is>
          <t>Oasis_2</t>
        </is>
      </c>
      <c r="B270" s="16" t="inlineStr">
        <is>
          <t>Manulife : John Hancock</t>
        </is>
      </c>
      <c r="C270" s="15" t="inlineStr">
        <is>
          <t>Manulife</t>
        </is>
      </c>
      <c r="D270" s="15" t="inlineStr">
        <is>
          <t>John Hancock</t>
        </is>
      </c>
      <c r="E270" s="15" t="inlineStr">
        <is>
          <t>No</t>
        </is>
      </c>
      <c r="F270" s="15" t="inlineStr">
        <is>
          <t>Proposal</t>
        </is>
      </c>
      <c r="G270" s="25" t="n"/>
      <c r="H270" s="28" t="n">
        <v>0.5</v>
      </c>
      <c r="I270" s="26" t="n"/>
      <c r="J270" s="26" t="n"/>
      <c r="K270" s="25" t="n"/>
      <c r="L270" s="25" t="n"/>
      <c r="M270" s="25" t="n"/>
      <c r="N270" s="25" t="n"/>
      <c r="O270" s="25" t="n"/>
      <c r="P270" s="25" t="n"/>
      <c r="Q270" s="19">
        <f>IF($A270="","",COUNTIFS(Assignments!$C$2:$C$769,$A270,Assignments!$G$2:$G$769,"Active"))</f>
        <v/>
      </c>
      <c r="R270" s="20">
        <f>IF($A270="","",SUMIFS(Assignments!$I$2:$I$769,Assignments!$C$2:$C$769,$A270,Assignments!$G$2:$G$769,"Active"))</f>
        <v/>
      </c>
      <c r="S270" s="16" t="inlineStr">
        <is>
          <t>Proposal</t>
        </is>
      </c>
      <c r="T270" s="27" t="n"/>
      <c r="U270" s="25" t="n"/>
      <c r="V270" s="22">
        <f>IF($U270="","",IFERROR(INDEX(Templates!$K$3:$K$10,MATCH($U270,Templates!$A$3:$A$10,0)),""))</f>
        <v/>
      </c>
      <c r="W270" s="22">
        <f>IF($U270="","",IFERROR(INDEX(Templates!$L$3:$L$10,MATCH($U270,Templates!$A$3:$A$10,0)),""))</f>
        <v/>
      </c>
      <c r="X270" s="23">
        <f>IF($U270="","",IFERROR(INDEX(Templates!$J$3:$J$10,MATCH($U270,Templates!$A$3:$A$10,0)),""))</f>
        <v/>
      </c>
      <c r="Y270" s="24">
        <f>IF(OR($U270="",$I270="",$J270="",$X270=""),"",$I270+$X270*($J270-$I270))</f>
        <v/>
      </c>
    </row>
    <row r="271">
      <c r="A271" s="15" t="inlineStr">
        <is>
          <t>Offtake_1</t>
        </is>
      </c>
      <c r="B271" s="16" t="inlineStr">
        <is>
          <t>Kalos LLP</t>
        </is>
      </c>
      <c r="C271" s="15" t="inlineStr">
        <is>
          <t>Kalos LLP</t>
        </is>
      </c>
      <c r="D271" s="15" t="inlineStr"/>
      <c r="E271" s="15" t="inlineStr">
        <is>
          <t>No</t>
        </is>
      </c>
      <c r="F271" s="15" t="inlineStr">
        <is>
          <t>Proposal</t>
        </is>
      </c>
      <c r="G271" s="25" t="n"/>
      <c r="H271" s="28" t="n">
        <v>0.5</v>
      </c>
      <c r="I271" s="26" t="n"/>
      <c r="J271" s="26" t="n"/>
      <c r="K271" s="25" t="n"/>
      <c r="L271" s="25" t="n"/>
      <c r="M271" s="25" t="n"/>
      <c r="N271" s="25" t="n"/>
      <c r="O271" s="25" t="n"/>
      <c r="P271" s="25" t="n"/>
      <c r="Q271" s="19">
        <f>IF($A271="","",COUNTIFS(Assignments!$C$2:$C$769,$A271,Assignments!$G$2:$G$769,"Active"))</f>
        <v/>
      </c>
      <c r="R271" s="20">
        <f>IF($A271="","",SUMIFS(Assignments!$I$2:$I$769,Assignments!$C$2:$C$769,$A271,Assignments!$G$2:$G$769,"Active"))</f>
        <v/>
      </c>
      <c r="S271" s="16" t="inlineStr">
        <is>
          <t>Proposal</t>
        </is>
      </c>
      <c r="T271" s="27" t="n"/>
      <c r="U271" s="25" t="n"/>
      <c r="V271" s="22">
        <f>IF($U271="","",IFERROR(INDEX(Templates!$K$3:$K$10,MATCH($U271,Templates!$A$3:$A$10,0)),""))</f>
        <v/>
      </c>
      <c r="W271" s="22">
        <f>IF($U271="","",IFERROR(INDEX(Templates!$L$3:$L$10,MATCH($U271,Templates!$A$3:$A$10,0)),""))</f>
        <v/>
      </c>
      <c r="X271" s="23">
        <f>IF($U271="","",IFERROR(INDEX(Templates!$J$3:$J$10,MATCH($U271,Templates!$A$3:$A$10,0)),""))</f>
        <v/>
      </c>
      <c r="Y271" s="24">
        <f>IF(OR($U271="",$I271="",$J271="",$X271=""),"",$I271+$X271*($J271-$I271))</f>
        <v/>
      </c>
    </row>
    <row r="272">
      <c r="A272" s="15" t="inlineStr">
        <is>
          <t>Orange_4</t>
        </is>
      </c>
      <c r="B272" s="16" t="inlineStr">
        <is>
          <t>Ember Infrastructure</t>
        </is>
      </c>
      <c r="C272" s="15" t="inlineStr">
        <is>
          <t>Ember Infrastructure</t>
        </is>
      </c>
      <c r="D272" s="15" t="inlineStr"/>
      <c r="E272" s="15" t="inlineStr">
        <is>
          <t>No</t>
        </is>
      </c>
      <c r="F272" s="15" t="inlineStr">
        <is>
          <t>Proposal</t>
        </is>
      </c>
      <c r="G272" s="25" t="n"/>
      <c r="H272" s="28" t="n">
        <v>0.5</v>
      </c>
      <c r="I272" s="26" t="n"/>
      <c r="J272" s="26" t="n"/>
      <c r="K272" s="25" t="n"/>
      <c r="L272" s="25" t="n"/>
      <c r="M272" s="25" t="n"/>
      <c r="N272" s="25" t="n"/>
      <c r="O272" s="25" t="n"/>
      <c r="P272" s="25" t="n"/>
      <c r="Q272" s="19">
        <f>IF($A272="","",COUNTIFS(Assignments!$C$2:$C$769,$A272,Assignments!$G$2:$G$769,"Active"))</f>
        <v/>
      </c>
      <c r="R272" s="20">
        <f>IF($A272="","",SUMIFS(Assignments!$I$2:$I$769,Assignments!$C$2:$C$769,$A272,Assignments!$G$2:$G$769,"Active"))</f>
        <v/>
      </c>
      <c r="S272" s="16" t="inlineStr">
        <is>
          <t>Proposal</t>
        </is>
      </c>
      <c r="T272" s="27" t="n"/>
      <c r="U272" s="25" t="n"/>
      <c r="V272" s="22">
        <f>IF($U272="","",IFERROR(INDEX(Templates!$K$3:$K$10,MATCH($U272,Templates!$A$3:$A$10,0)),""))</f>
        <v/>
      </c>
      <c r="W272" s="22">
        <f>IF($U272="","",IFERROR(INDEX(Templates!$L$3:$L$10,MATCH($U272,Templates!$A$3:$A$10,0)),""))</f>
        <v/>
      </c>
      <c r="X272" s="23">
        <f>IF($U272="","",IFERROR(INDEX(Templates!$J$3:$J$10,MATCH($U272,Templates!$A$3:$A$10,0)),""))</f>
        <v/>
      </c>
      <c r="Y272" s="24">
        <f>IF(OR($U272="",$I272="",$J272="",$X272=""),"",$I272+$X272*($J272-$I272))</f>
        <v/>
      </c>
    </row>
    <row r="273">
      <c r="A273" s="15" t="inlineStr">
        <is>
          <t>Palisade_1</t>
        </is>
      </c>
      <c r="B273" s="16" t="inlineStr">
        <is>
          <t>Certa</t>
        </is>
      </c>
      <c r="C273" s="15" t="inlineStr">
        <is>
          <t>Certa</t>
        </is>
      </c>
      <c r="D273" s="15" t="inlineStr"/>
      <c r="E273" s="15" t="inlineStr">
        <is>
          <t>No</t>
        </is>
      </c>
      <c r="F273" s="15" t="inlineStr">
        <is>
          <t>Proposal</t>
        </is>
      </c>
      <c r="G273" s="25" t="n"/>
      <c r="H273" s="28" t="n">
        <v>0.5</v>
      </c>
      <c r="I273" s="26" t="n"/>
      <c r="J273" s="26" t="n"/>
      <c r="K273" s="25" t="n"/>
      <c r="L273" s="25" t="n"/>
      <c r="M273" s="25" t="n"/>
      <c r="N273" s="25" t="n"/>
      <c r="O273" s="25" t="n"/>
      <c r="P273" s="25" t="n"/>
      <c r="Q273" s="19">
        <f>IF($A273="","",COUNTIFS(Assignments!$C$2:$C$769,$A273,Assignments!$G$2:$G$769,"Active"))</f>
        <v/>
      </c>
      <c r="R273" s="20">
        <f>IF($A273="","",SUMIFS(Assignments!$I$2:$I$769,Assignments!$C$2:$C$769,$A273,Assignments!$G$2:$G$769,"Active"))</f>
        <v/>
      </c>
      <c r="S273" s="16" t="inlineStr">
        <is>
          <t>Proposal</t>
        </is>
      </c>
      <c r="T273" s="27" t="n"/>
      <c r="U273" s="25" t="n"/>
      <c r="V273" s="22">
        <f>IF($U273="","",IFERROR(INDEX(Templates!$K$3:$K$10,MATCH($U273,Templates!$A$3:$A$10,0)),""))</f>
        <v/>
      </c>
      <c r="W273" s="22">
        <f>IF($U273="","",IFERROR(INDEX(Templates!$L$3:$L$10,MATCH($U273,Templates!$A$3:$A$10,0)),""))</f>
        <v/>
      </c>
      <c r="X273" s="23">
        <f>IF($U273="","",IFERROR(INDEX(Templates!$J$3:$J$10,MATCH($U273,Templates!$A$3:$A$10,0)),""))</f>
        <v/>
      </c>
      <c r="Y273" s="24">
        <f>IF(OR($U273="",$I273="",$J273="",$X273=""),"",$I273+$X273*($J273-$I273))</f>
        <v/>
      </c>
    </row>
    <row r="274">
      <c r="A274" s="15" t="inlineStr">
        <is>
          <t>Pelican_1</t>
        </is>
      </c>
      <c r="B274" s="16" t="inlineStr">
        <is>
          <t>KKR : John Laing</t>
        </is>
      </c>
      <c r="C274" s="15" t="inlineStr">
        <is>
          <t>KKR</t>
        </is>
      </c>
      <c r="D274" s="15" t="inlineStr">
        <is>
          <t>John Laing</t>
        </is>
      </c>
      <c r="E274" s="15" t="inlineStr">
        <is>
          <t>No</t>
        </is>
      </c>
      <c r="F274" s="15" t="inlineStr">
        <is>
          <t>Proposal</t>
        </is>
      </c>
      <c r="G274" s="25" t="n"/>
      <c r="H274" s="28" t="n">
        <v>0.5</v>
      </c>
      <c r="I274" s="26" t="n"/>
      <c r="J274" s="26" t="n"/>
      <c r="K274" s="25" t="n"/>
      <c r="L274" s="25" t="n"/>
      <c r="M274" s="25" t="n"/>
      <c r="N274" s="25" t="n"/>
      <c r="O274" s="25" t="n"/>
      <c r="P274" s="25" t="n"/>
      <c r="Q274" s="19">
        <f>IF($A274="","",COUNTIFS(Assignments!$C$2:$C$769,$A274,Assignments!$G$2:$G$769,"Active"))</f>
        <v/>
      </c>
      <c r="R274" s="20">
        <f>IF($A274="","",SUMIFS(Assignments!$I$2:$I$769,Assignments!$C$2:$C$769,$A274,Assignments!$G$2:$G$769,"Active"))</f>
        <v/>
      </c>
      <c r="S274" s="16" t="inlineStr">
        <is>
          <t>Proposal</t>
        </is>
      </c>
      <c r="T274" s="27" t="n"/>
      <c r="U274" s="25" t="n"/>
      <c r="V274" s="22">
        <f>IF($U274="","",IFERROR(INDEX(Templates!$K$3:$K$10,MATCH($U274,Templates!$A$3:$A$10,0)),""))</f>
        <v/>
      </c>
      <c r="W274" s="22">
        <f>IF($U274="","",IFERROR(INDEX(Templates!$L$3:$L$10,MATCH($U274,Templates!$A$3:$A$10,0)),""))</f>
        <v/>
      </c>
      <c r="X274" s="23">
        <f>IF($U274="","",IFERROR(INDEX(Templates!$J$3:$J$10,MATCH($U274,Templates!$A$3:$A$10,0)),""))</f>
        <v/>
      </c>
      <c r="Y274" s="24">
        <f>IF(OR($U274="",$I274="",$J274="",$X274=""),"",$I274+$X274*($J274-$I274))</f>
        <v/>
      </c>
    </row>
    <row r="275">
      <c r="A275" s="15" t="inlineStr">
        <is>
          <t>Pennsylvania_1</t>
        </is>
      </c>
      <c r="B275" s="16" t="inlineStr">
        <is>
          <t>Plenary Americas USA Ltd</t>
        </is>
      </c>
      <c r="C275" s="15" t="inlineStr">
        <is>
          <t>Plenary Americas USA Ltd</t>
        </is>
      </c>
      <c r="D275" s="15" t="inlineStr"/>
      <c r="E275" s="15" t="inlineStr">
        <is>
          <t>No</t>
        </is>
      </c>
      <c r="F275" s="15" t="inlineStr">
        <is>
          <t>Proposal</t>
        </is>
      </c>
      <c r="G275" s="25" t="n"/>
      <c r="H275" s="28" t="n">
        <v>0.5</v>
      </c>
      <c r="I275" s="26" t="n"/>
      <c r="J275" s="26" t="n"/>
      <c r="K275" s="25" t="n"/>
      <c r="L275" s="25" t="n"/>
      <c r="M275" s="25" t="n"/>
      <c r="N275" s="25" t="n"/>
      <c r="O275" s="25" t="n"/>
      <c r="P275" s="25" t="n"/>
      <c r="Q275" s="19">
        <f>IF($A275="","",COUNTIFS(Assignments!$C$2:$C$769,$A275,Assignments!$G$2:$G$769,"Active"))</f>
        <v/>
      </c>
      <c r="R275" s="20">
        <f>IF($A275="","",SUMIFS(Assignments!$I$2:$I$769,Assignments!$C$2:$C$769,$A275,Assignments!$G$2:$G$769,"Active"))</f>
        <v/>
      </c>
      <c r="S275" s="16" t="inlineStr">
        <is>
          <t>Proposal</t>
        </is>
      </c>
      <c r="T275" s="27" t="n"/>
      <c r="U275" s="25" t="n"/>
      <c r="V275" s="22">
        <f>IF($U275="","",IFERROR(INDEX(Templates!$K$3:$K$10,MATCH($U275,Templates!$A$3:$A$10,0)),""))</f>
        <v/>
      </c>
      <c r="W275" s="22">
        <f>IF($U275="","",IFERROR(INDEX(Templates!$L$3:$L$10,MATCH($U275,Templates!$A$3:$A$10,0)),""))</f>
        <v/>
      </c>
      <c r="X275" s="23">
        <f>IF($U275="","",IFERROR(INDEX(Templates!$J$3:$J$10,MATCH($U275,Templates!$A$3:$A$10,0)),""))</f>
        <v/>
      </c>
      <c r="Y275" s="24">
        <f>IF(OR($U275="",$I275="",$J275="",$X275=""),"",$I275+$X275*($J275-$I275))</f>
        <v/>
      </c>
    </row>
    <row r="276">
      <c r="A276" s="15" t="inlineStr">
        <is>
          <t>Pinnacel</t>
        </is>
      </c>
      <c r="B276" s="16" t="inlineStr">
        <is>
          <t>Gauge</t>
        </is>
      </c>
      <c r="C276" s="15" t="inlineStr">
        <is>
          <t>Gauge</t>
        </is>
      </c>
      <c r="D276" s="15" t="inlineStr"/>
      <c r="E276" s="15" t="inlineStr">
        <is>
          <t>No</t>
        </is>
      </c>
      <c r="F276" s="15" t="inlineStr">
        <is>
          <t>Proposal</t>
        </is>
      </c>
      <c r="G276" s="25" t="n"/>
      <c r="H276" s="28" t="n">
        <v>0.5</v>
      </c>
      <c r="I276" s="26" t="n"/>
      <c r="J276" s="26" t="n"/>
      <c r="K276" s="25" t="n"/>
      <c r="L276" s="25" t="n"/>
      <c r="M276" s="25" t="n"/>
      <c r="N276" s="25" t="n"/>
      <c r="O276" s="25" t="n"/>
      <c r="P276" s="25" t="n"/>
      <c r="Q276" s="19">
        <f>IF($A276="","",COUNTIFS(Assignments!$C$2:$C$769,$A276,Assignments!$G$2:$G$769,"Active"))</f>
        <v/>
      </c>
      <c r="R276" s="20">
        <f>IF($A276="","",SUMIFS(Assignments!$I$2:$I$769,Assignments!$C$2:$C$769,$A276,Assignments!$G$2:$G$769,"Active"))</f>
        <v/>
      </c>
      <c r="S276" s="16" t="inlineStr">
        <is>
          <t>Summary tab only (Proposal)</t>
        </is>
      </c>
      <c r="T276" s="27" t="n"/>
      <c r="U276" s="25" t="n"/>
      <c r="V276" s="22">
        <f>IF($U276="","",IFERROR(INDEX(Templates!$K$3:$K$10,MATCH($U276,Templates!$A$3:$A$10,0)),""))</f>
        <v/>
      </c>
      <c r="W276" s="22">
        <f>IF($U276="","",IFERROR(INDEX(Templates!$L$3:$L$10,MATCH($U276,Templates!$A$3:$A$10,0)),""))</f>
        <v/>
      </c>
      <c r="X276" s="23">
        <f>IF($U276="","",IFERROR(INDEX(Templates!$J$3:$J$10,MATCH($U276,Templates!$A$3:$A$10,0)),""))</f>
        <v/>
      </c>
      <c r="Y276" s="24">
        <f>IF(OR($U276="",$I276="",$J276="",$X276=""),"",$I276+$X276*($J276-$I276))</f>
        <v/>
      </c>
    </row>
    <row r="277">
      <c r="A277" s="15" t="inlineStr">
        <is>
          <t>Pisces 2_1</t>
        </is>
      </c>
      <c r="B277" s="16" t="inlineStr">
        <is>
          <t>KKR : John Laing</t>
        </is>
      </c>
      <c r="C277" s="15" t="inlineStr">
        <is>
          <t>KKR</t>
        </is>
      </c>
      <c r="D277" s="15" t="inlineStr">
        <is>
          <t>John Laing</t>
        </is>
      </c>
      <c r="E277" s="15" t="inlineStr">
        <is>
          <t>No</t>
        </is>
      </c>
      <c r="F277" s="15" t="inlineStr">
        <is>
          <t>Proposal</t>
        </is>
      </c>
      <c r="G277" s="25" t="n"/>
      <c r="H277" s="28" t="n">
        <v>0.5</v>
      </c>
      <c r="I277" s="26" t="n"/>
      <c r="J277" s="26" t="n"/>
      <c r="K277" s="25" t="n"/>
      <c r="L277" s="25" t="n"/>
      <c r="M277" s="25" t="n"/>
      <c r="N277" s="25" t="n"/>
      <c r="O277" s="25" t="n"/>
      <c r="P277" s="25" t="n"/>
      <c r="Q277" s="19">
        <f>IF($A277="","",COUNTIFS(Assignments!$C$2:$C$769,$A277,Assignments!$G$2:$G$769,"Active"))</f>
        <v/>
      </c>
      <c r="R277" s="20">
        <f>IF($A277="","",SUMIFS(Assignments!$I$2:$I$769,Assignments!$C$2:$C$769,$A277,Assignments!$G$2:$G$769,"Active"))</f>
        <v/>
      </c>
      <c r="S277" s="16" t="inlineStr">
        <is>
          <t>Proposal</t>
        </is>
      </c>
      <c r="T277" s="27" t="n"/>
      <c r="U277" s="25" t="n"/>
      <c r="V277" s="22">
        <f>IF($U277="","",IFERROR(INDEX(Templates!$K$3:$K$10,MATCH($U277,Templates!$A$3:$A$10,0)),""))</f>
        <v/>
      </c>
      <c r="W277" s="22">
        <f>IF($U277="","",IFERROR(INDEX(Templates!$L$3:$L$10,MATCH($U277,Templates!$A$3:$A$10,0)),""))</f>
        <v/>
      </c>
      <c r="X277" s="23">
        <f>IF($U277="","",IFERROR(INDEX(Templates!$J$3:$J$10,MATCH($U277,Templates!$A$3:$A$10,0)),""))</f>
        <v/>
      </c>
      <c r="Y277" s="24">
        <f>IF(OR($U277="",$I277="",$J277="",$X277=""),"",$I277+$X277*($J277-$I277))</f>
        <v/>
      </c>
    </row>
    <row r="278">
      <c r="A278" s="15" t="inlineStr">
        <is>
          <t>Principal Asset Management BD_1</t>
        </is>
      </c>
      <c r="B278" s="16" t="inlineStr">
        <is>
          <t>Principal Asset Management (Europe)</t>
        </is>
      </c>
      <c r="C278" s="15" t="inlineStr">
        <is>
          <t>Principal Asset Management (Europe)</t>
        </is>
      </c>
      <c r="D278" s="15" t="inlineStr"/>
      <c r="E278" s="15" t="inlineStr">
        <is>
          <t>No</t>
        </is>
      </c>
      <c r="F278" s="15" t="inlineStr">
        <is>
          <t>Proposal</t>
        </is>
      </c>
      <c r="G278" s="25" t="n"/>
      <c r="H278" s="28" t="n">
        <v>0.5</v>
      </c>
      <c r="I278" s="26" t="n"/>
      <c r="J278" s="26" t="n"/>
      <c r="K278" s="25" t="n"/>
      <c r="L278" s="25" t="n"/>
      <c r="M278" s="25" t="n"/>
      <c r="N278" s="25" t="n"/>
      <c r="O278" s="25" t="n"/>
      <c r="P278" s="25" t="n"/>
      <c r="Q278" s="19">
        <f>IF($A278="","",COUNTIFS(Assignments!$C$2:$C$769,$A278,Assignments!$G$2:$G$769,"Active"))</f>
        <v/>
      </c>
      <c r="R278" s="20">
        <f>IF($A278="","",SUMIFS(Assignments!$I$2:$I$769,Assignments!$C$2:$C$769,$A278,Assignments!$G$2:$G$769,"Active"))</f>
        <v/>
      </c>
      <c r="S278" s="16" t="inlineStr">
        <is>
          <t>Proposal</t>
        </is>
      </c>
      <c r="T278" s="27" t="n"/>
      <c r="U278" s="25" t="n"/>
      <c r="V278" s="22">
        <f>IF($U278="","",IFERROR(INDEX(Templates!$K$3:$K$10,MATCH($U278,Templates!$A$3:$A$10,0)),""))</f>
        <v/>
      </c>
      <c r="W278" s="22">
        <f>IF($U278="","",IFERROR(INDEX(Templates!$L$3:$L$10,MATCH($U278,Templates!$A$3:$A$10,0)),""))</f>
        <v/>
      </c>
      <c r="X278" s="23">
        <f>IF($U278="","",IFERROR(INDEX(Templates!$J$3:$J$10,MATCH($U278,Templates!$A$3:$A$10,0)),""))</f>
        <v/>
      </c>
      <c r="Y278" s="24">
        <f>IF(OR($U278="",$I278="",$J278="",$X278=""),"",$I278+$X278*($J278-$I278))</f>
        <v/>
      </c>
    </row>
    <row r="279">
      <c r="A279" s="15" t="inlineStr">
        <is>
          <t>Railcar_1</t>
        </is>
      </c>
      <c r="B279" s="16" t="inlineStr">
        <is>
          <t>Macquarie Group</t>
        </is>
      </c>
      <c r="C279" s="15" t="inlineStr">
        <is>
          <t>Macquarie Group</t>
        </is>
      </c>
      <c r="D279" s="15" t="inlineStr"/>
      <c r="E279" s="15" t="inlineStr">
        <is>
          <t>No</t>
        </is>
      </c>
      <c r="F279" s="15" t="inlineStr">
        <is>
          <t>Proposal</t>
        </is>
      </c>
      <c r="G279" s="25" t="n"/>
      <c r="H279" s="28" t="n">
        <v>0.5</v>
      </c>
      <c r="I279" s="26" t="n"/>
      <c r="J279" s="26" t="n"/>
      <c r="K279" s="25" t="n"/>
      <c r="L279" s="25" t="n"/>
      <c r="M279" s="25" t="n"/>
      <c r="N279" s="25" t="n"/>
      <c r="O279" s="25" t="n"/>
      <c r="P279" s="25" t="n"/>
      <c r="Q279" s="19">
        <f>IF($A279="","",COUNTIFS(Assignments!$C$2:$C$769,$A279,Assignments!$G$2:$G$769,"Active"))</f>
        <v/>
      </c>
      <c r="R279" s="20">
        <f>IF($A279="","",SUMIFS(Assignments!$I$2:$I$769,Assignments!$C$2:$C$769,$A279,Assignments!$G$2:$G$769,"Active"))</f>
        <v/>
      </c>
      <c r="S279" s="16" t="inlineStr">
        <is>
          <t>Proposal</t>
        </is>
      </c>
      <c r="T279" s="27" t="n"/>
      <c r="U279" s="25" t="n"/>
      <c r="V279" s="22">
        <f>IF($U279="","",IFERROR(INDEX(Templates!$K$3:$K$10,MATCH($U279,Templates!$A$3:$A$10,0)),""))</f>
        <v/>
      </c>
      <c r="W279" s="22">
        <f>IF($U279="","",IFERROR(INDEX(Templates!$L$3:$L$10,MATCH($U279,Templates!$A$3:$A$10,0)),""))</f>
        <v/>
      </c>
      <c r="X279" s="23">
        <f>IF($U279="","",IFERROR(INDEX(Templates!$J$3:$J$10,MATCH($U279,Templates!$A$3:$A$10,0)),""))</f>
        <v/>
      </c>
      <c r="Y279" s="24">
        <f>IF(OR($U279="",$I279="",$J279="",$X279=""),"",$I279+$X279*($J279-$I279))</f>
        <v/>
      </c>
    </row>
    <row r="280">
      <c r="A280" s="15" t="inlineStr">
        <is>
          <t>Remus_1</t>
        </is>
      </c>
      <c r="B280" s="16" t="inlineStr">
        <is>
          <t>Archimed</t>
        </is>
      </c>
      <c r="C280" s="15" t="inlineStr">
        <is>
          <t>Archimed</t>
        </is>
      </c>
      <c r="D280" s="15" t="inlineStr"/>
      <c r="E280" s="15" t="inlineStr">
        <is>
          <t>No</t>
        </is>
      </c>
      <c r="F280" s="15" t="inlineStr">
        <is>
          <t>Proposal</t>
        </is>
      </c>
      <c r="G280" s="25" t="n"/>
      <c r="H280" s="28" t="n">
        <v>0.5</v>
      </c>
      <c r="I280" s="26" t="n"/>
      <c r="J280" s="26" t="n"/>
      <c r="K280" s="25" t="n"/>
      <c r="L280" s="25" t="n"/>
      <c r="M280" s="25" t="n"/>
      <c r="N280" s="25" t="n"/>
      <c r="O280" s="25" t="n"/>
      <c r="P280" s="25" t="n"/>
      <c r="Q280" s="19">
        <f>IF($A280="","",COUNTIFS(Assignments!$C$2:$C$769,$A280,Assignments!$G$2:$G$769,"Active"))</f>
        <v/>
      </c>
      <c r="R280" s="20">
        <f>IF($A280="","",SUMIFS(Assignments!$I$2:$I$769,Assignments!$C$2:$C$769,$A280,Assignments!$G$2:$G$769,"Active"))</f>
        <v/>
      </c>
      <c r="S280" s="16" t="inlineStr">
        <is>
          <t>Proposal</t>
        </is>
      </c>
      <c r="T280" s="27" t="n"/>
      <c r="U280" s="25" t="n"/>
      <c r="V280" s="22">
        <f>IF($U280="","",IFERROR(INDEX(Templates!$K$3:$K$10,MATCH($U280,Templates!$A$3:$A$10,0)),""))</f>
        <v/>
      </c>
      <c r="W280" s="22">
        <f>IF($U280="","",IFERROR(INDEX(Templates!$L$3:$L$10,MATCH($U280,Templates!$A$3:$A$10,0)),""))</f>
        <v/>
      </c>
      <c r="X280" s="23">
        <f>IF($U280="","",IFERROR(INDEX(Templates!$J$3:$J$10,MATCH($U280,Templates!$A$3:$A$10,0)),""))</f>
        <v/>
      </c>
      <c r="Y280" s="24">
        <f>IF(OR($U280="",$I280="",$J280="",$X280=""),"",$I280+$X280*($J280-$I280))</f>
        <v/>
      </c>
    </row>
    <row r="281">
      <c r="A281" s="15" t="inlineStr">
        <is>
          <t>Ridgeline_2</t>
        </is>
      </c>
      <c r="B281" s="16" t="inlineStr">
        <is>
          <t>Fengate</t>
        </is>
      </c>
      <c r="C281" s="15" t="inlineStr">
        <is>
          <t>Fengate</t>
        </is>
      </c>
      <c r="D281" s="15" t="inlineStr"/>
      <c r="E281" s="15" t="inlineStr">
        <is>
          <t>No</t>
        </is>
      </c>
      <c r="F281" s="15" t="inlineStr">
        <is>
          <t>Proposal</t>
        </is>
      </c>
      <c r="G281" s="25" t="n"/>
      <c r="H281" s="28" t="n">
        <v>0.5</v>
      </c>
      <c r="I281" s="26" t="n"/>
      <c r="J281" s="26" t="n"/>
      <c r="K281" s="25" t="n"/>
      <c r="L281" s="25" t="n"/>
      <c r="M281" s="25" t="n"/>
      <c r="N281" s="25" t="n"/>
      <c r="O281" s="25" t="n"/>
      <c r="P281" s="25" t="n"/>
      <c r="Q281" s="19">
        <f>IF($A281="","",COUNTIFS(Assignments!$C$2:$C$769,$A281,Assignments!$G$2:$G$769,"Active"))</f>
        <v/>
      </c>
      <c r="R281" s="20">
        <f>IF($A281="","",SUMIFS(Assignments!$I$2:$I$769,Assignments!$C$2:$C$769,$A281,Assignments!$G$2:$G$769,"Active"))</f>
        <v/>
      </c>
      <c r="S281" s="16" t="inlineStr">
        <is>
          <t>Proposal</t>
        </is>
      </c>
      <c r="T281" s="27" t="n"/>
      <c r="U281" s="25" t="n"/>
      <c r="V281" s="22">
        <f>IF($U281="","",IFERROR(INDEX(Templates!$K$3:$K$10,MATCH($U281,Templates!$A$3:$A$10,0)),""))</f>
        <v/>
      </c>
      <c r="W281" s="22">
        <f>IF($U281="","",IFERROR(INDEX(Templates!$L$3:$L$10,MATCH($U281,Templates!$A$3:$A$10,0)),""))</f>
        <v/>
      </c>
      <c r="X281" s="23">
        <f>IF($U281="","",IFERROR(INDEX(Templates!$J$3:$J$10,MATCH($U281,Templates!$A$3:$A$10,0)),""))</f>
        <v/>
      </c>
      <c r="Y281" s="24">
        <f>IF(OR($U281="",$I281="",$J281="",$X281=""),"",$I281+$X281*($J281-$I281))</f>
        <v/>
      </c>
    </row>
    <row r="282">
      <c r="A282" s="15" t="inlineStr">
        <is>
          <t>Roadrunner_1</t>
        </is>
      </c>
      <c r="B282" s="16" t="inlineStr">
        <is>
          <t>BlackRock : Global Infrastructure Partners : Clearway Energy</t>
        </is>
      </c>
      <c r="C282" s="15" t="inlineStr">
        <is>
          <t>BlackRock</t>
        </is>
      </c>
      <c r="D282" s="15" t="inlineStr">
        <is>
          <t>Clearway Energy</t>
        </is>
      </c>
      <c r="E282" s="15" t="inlineStr">
        <is>
          <t>No</t>
        </is>
      </c>
      <c r="F282" s="15" t="inlineStr">
        <is>
          <t>Proposal</t>
        </is>
      </c>
      <c r="G282" s="25" t="n"/>
      <c r="H282" s="28" t="n">
        <v>0.5</v>
      </c>
      <c r="I282" s="26" t="n"/>
      <c r="J282" s="26" t="n"/>
      <c r="K282" s="25" t="n"/>
      <c r="L282" s="25" t="n"/>
      <c r="M282" s="25" t="n"/>
      <c r="N282" s="25" t="n"/>
      <c r="O282" s="25" t="n"/>
      <c r="P282" s="25" t="n"/>
      <c r="Q282" s="19">
        <f>IF($A282="","",COUNTIFS(Assignments!$C$2:$C$769,$A282,Assignments!$G$2:$G$769,"Active"))</f>
        <v/>
      </c>
      <c r="R282" s="20">
        <f>IF($A282="","",SUMIFS(Assignments!$I$2:$I$769,Assignments!$C$2:$C$769,$A282,Assignments!$G$2:$G$769,"Active"))</f>
        <v/>
      </c>
      <c r="S282" s="16" t="inlineStr">
        <is>
          <t>Proposal</t>
        </is>
      </c>
      <c r="T282" s="27" t="n"/>
      <c r="U282" s="25" t="n"/>
      <c r="V282" s="22">
        <f>IF($U282="","",IFERROR(INDEX(Templates!$K$3:$K$10,MATCH($U282,Templates!$A$3:$A$10,0)),""))</f>
        <v/>
      </c>
      <c r="W282" s="22">
        <f>IF($U282="","",IFERROR(INDEX(Templates!$L$3:$L$10,MATCH($U282,Templates!$A$3:$A$10,0)),""))</f>
        <v/>
      </c>
      <c r="X282" s="23">
        <f>IF($U282="","",IFERROR(INDEX(Templates!$J$3:$J$10,MATCH($U282,Templates!$A$3:$A$10,0)),""))</f>
        <v/>
      </c>
      <c r="Y282" s="24">
        <f>IF(OR($U282="",$I282="",$J282="",$X282=""),"",$I282+$X282*($J282-$I282))</f>
        <v/>
      </c>
    </row>
    <row r="283">
      <c r="A283" s="15" t="inlineStr">
        <is>
          <t>Rocky_1</t>
        </is>
      </c>
      <c r="B283" s="16" t="inlineStr">
        <is>
          <t>Ryan Transactional Risk</t>
        </is>
      </c>
      <c r="C283" s="15" t="inlineStr">
        <is>
          <t>Ryan Transactional Risk</t>
        </is>
      </c>
      <c r="D283" s="15" t="inlineStr"/>
      <c r="E283" s="15" t="inlineStr">
        <is>
          <t>No</t>
        </is>
      </c>
      <c r="F283" s="15" t="inlineStr">
        <is>
          <t>Proposal</t>
        </is>
      </c>
      <c r="G283" s="25" t="n"/>
      <c r="H283" s="28" t="n">
        <v>0.5</v>
      </c>
      <c r="I283" s="26" t="n"/>
      <c r="J283" s="26" t="n"/>
      <c r="K283" s="25" t="n"/>
      <c r="L283" s="25" t="n"/>
      <c r="M283" s="25" t="n"/>
      <c r="N283" s="25" t="n"/>
      <c r="O283" s="25" t="n"/>
      <c r="P283" s="25" t="n"/>
      <c r="Q283" s="19">
        <f>IF($A283="","",COUNTIFS(Assignments!$C$2:$C$769,$A283,Assignments!$G$2:$G$769,"Active"))</f>
        <v/>
      </c>
      <c r="R283" s="20">
        <f>IF($A283="","",SUMIFS(Assignments!$I$2:$I$769,Assignments!$C$2:$C$769,$A283,Assignments!$G$2:$G$769,"Active"))</f>
        <v/>
      </c>
      <c r="S283" s="16" t="inlineStr">
        <is>
          <t>Proposal</t>
        </is>
      </c>
      <c r="T283" s="27" t="n"/>
      <c r="U283" s="25" t="n"/>
      <c r="V283" s="22">
        <f>IF($U283="","",IFERROR(INDEX(Templates!$K$3:$K$10,MATCH($U283,Templates!$A$3:$A$10,0)),""))</f>
        <v/>
      </c>
      <c r="W283" s="22">
        <f>IF($U283="","",IFERROR(INDEX(Templates!$L$3:$L$10,MATCH($U283,Templates!$A$3:$A$10,0)),""))</f>
        <v/>
      </c>
      <c r="X283" s="23">
        <f>IF($U283="","",IFERROR(INDEX(Templates!$J$3:$J$10,MATCH($U283,Templates!$A$3:$A$10,0)),""))</f>
        <v/>
      </c>
      <c r="Y283" s="24">
        <f>IF(OR($U283="",$I283="",$J283="",$X283=""),"",$I283+$X283*($J283-$I283))</f>
        <v/>
      </c>
    </row>
    <row r="284">
      <c r="A284" s="15" t="inlineStr">
        <is>
          <t>Rosa_1</t>
        </is>
      </c>
      <c r="B284" s="16" t="inlineStr">
        <is>
          <t>Ares Management Corporation</t>
        </is>
      </c>
      <c r="C284" s="15" t="inlineStr">
        <is>
          <t>Ares Management Corporation</t>
        </is>
      </c>
      <c r="D284" s="15" t="inlineStr"/>
      <c r="E284" s="15" t="inlineStr">
        <is>
          <t>No</t>
        </is>
      </c>
      <c r="F284" s="15" t="inlineStr">
        <is>
          <t>Proposal</t>
        </is>
      </c>
      <c r="G284" s="25" t="n"/>
      <c r="H284" s="28" t="n">
        <v>0.5</v>
      </c>
      <c r="I284" s="26" t="n"/>
      <c r="J284" s="26" t="n"/>
      <c r="K284" s="25" t="n"/>
      <c r="L284" s="25" t="n"/>
      <c r="M284" s="25" t="n"/>
      <c r="N284" s="25" t="n"/>
      <c r="O284" s="25" t="n"/>
      <c r="P284" s="25" t="n"/>
      <c r="Q284" s="19">
        <f>IF($A284="","",COUNTIFS(Assignments!$C$2:$C$769,$A284,Assignments!$G$2:$G$769,"Active"))</f>
        <v/>
      </c>
      <c r="R284" s="20">
        <f>IF($A284="","",SUMIFS(Assignments!$I$2:$I$769,Assignments!$C$2:$C$769,$A284,Assignments!$G$2:$G$769,"Active"))</f>
        <v/>
      </c>
      <c r="S284" s="16" t="inlineStr">
        <is>
          <t>Proposal</t>
        </is>
      </c>
      <c r="T284" s="27" t="n"/>
      <c r="U284" s="25" t="n"/>
      <c r="V284" s="22">
        <f>IF($U284="","",IFERROR(INDEX(Templates!$K$3:$K$10,MATCH($U284,Templates!$A$3:$A$10,0)),""))</f>
        <v/>
      </c>
      <c r="W284" s="22">
        <f>IF($U284="","",IFERROR(INDEX(Templates!$L$3:$L$10,MATCH($U284,Templates!$A$3:$A$10,0)),""))</f>
        <v/>
      </c>
      <c r="X284" s="23">
        <f>IF($U284="","",IFERROR(INDEX(Templates!$J$3:$J$10,MATCH($U284,Templates!$A$3:$A$10,0)),""))</f>
        <v/>
      </c>
      <c r="Y284" s="24">
        <f>IF(OR($U284="",$I284="",$J284="",$X284=""),"",$I284+$X284*($J284-$I284))</f>
        <v/>
      </c>
    </row>
    <row r="285">
      <c r="A285" s="15" t="inlineStr">
        <is>
          <t>Scale Add On</t>
        </is>
      </c>
      <c r="B285" s="16" t="inlineStr">
        <is>
          <t>EQT Group</t>
        </is>
      </c>
      <c r="C285" s="15" t="inlineStr">
        <is>
          <t>EQT Group</t>
        </is>
      </c>
      <c r="D285" s="15" t="inlineStr"/>
      <c r="E285" s="15" t="inlineStr">
        <is>
          <t>No</t>
        </is>
      </c>
      <c r="F285" s="15" t="inlineStr">
        <is>
          <t>Proposal</t>
        </is>
      </c>
      <c r="G285" s="25" t="n"/>
      <c r="H285" s="28" t="n">
        <v>0.5</v>
      </c>
      <c r="I285" s="26" t="n"/>
      <c r="J285" s="26" t="n"/>
      <c r="K285" s="25" t="n"/>
      <c r="L285" s="25" t="n"/>
      <c r="M285" s="25" t="n"/>
      <c r="N285" s="25" t="n"/>
      <c r="O285" s="25" t="n"/>
      <c r="P285" s="25" t="n"/>
      <c r="Q285" s="19">
        <f>IF($A285="","",COUNTIFS(Assignments!$C$2:$C$769,$A285,Assignments!$G$2:$G$769,"Active"))</f>
        <v/>
      </c>
      <c r="R285" s="20">
        <f>IF($A285="","",SUMIFS(Assignments!$I$2:$I$769,Assignments!$C$2:$C$769,$A285,Assignments!$G$2:$G$769,"Active"))</f>
        <v/>
      </c>
      <c r="S285" s="16" t="inlineStr">
        <is>
          <t>Summary tab only (Proposal)</t>
        </is>
      </c>
      <c r="T285" s="27" t="n"/>
      <c r="U285" s="25" t="n"/>
      <c r="V285" s="22">
        <f>IF($U285="","",IFERROR(INDEX(Templates!$K$3:$K$10,MATCH($U285,Templates!$A$3:$A$10,0)),""))</f>
        <v/>
      </c>
      <c r="W285" s="22">
        <f>IF($U285="","",IFERROR(INDEX(Templates!$L$3:$L$10,MATCH($U285,Templates!$A$3:$A$10,0)),""))</f>
        <v/>
      </c>
      <c r="X285" s="23">
        <f>IF($U285="","",IFERROR(INDEX(Templates!$J$3:$J$10,MATCH($U285,Templates!$A$3:$A$10,0)),""))</f>
        <v/>
      </c>
      <c r="Y285" s="24">
        <f>IF(OR($U285="",$I285="",$J285="",$X285=""),"",$I285+$X285*($J285-$I285))</f>
        <v/>
      </c>
    </row>
    <row r="286">
      <c r="A286" s="15" t="inlineStr">
        <is>
          <t>Sentinel_2</t>
        </is>
      </c>
      <c r="B286" s="16" t="inlineStr">
        <is>
          <t>Ethos Specialty Insurance Services</t>
        </is>
      </c>
      <c r="C286" s="15" t="inlineStr">
        <is>
          <t>Ethos Specialty Insurance Services</t>
        </is>
      </c>
      <c r="D286" s="15" t="inlineStr"/>
      <c r="E286" s="15" t="inlineStr">
        <is>
          <t>No</t>
        </is>
      </c>
      <c r="F286" s="15" t="inlineStr">
        <is>
          <t>Proposal</t>
        </is>
      </c>
      <c r="G286" s="25" t="n"/>
      <c r="H286" s="28" t="n">
        <v>0.5</v>
      </c>
      <c r="I286" s="26" t="n"/>
      <c r="J286" s="26" t="n"/>
      <c r="K286" s="25" t="n"/>
      <c r="L286" s="25" t="n"/>
      <c r="M286" s="25" t="n"/>
      <c r="N286" s="25" t="n"/>
      <c r="O286" s="25" t="n"/>
      <c r="P286" s="25" t="n"/>
      <c r="Q286" s="19">
        <f>IF($A286="","",COUNTIFS(Assignments!$C$2:$C$769,$A286,Assignments!$G$2:$G$769,"Active"))</f>
        <v/>
      </c>
      <c r="R286" s="20">
        <f>IF($A286="","",SUMIFS(Assignments!$I$2:$I$769,Assignments!$C$2:$C$769,$A286,Assignments!$G$2:$G$769,"Active"))</f>
        <v/>
      </c>
      <c r="S286" s="16" t="inlineStr">
        <is>
          <t>Proposal</t>
        </is>
      </c>
      <c r="T286" s="27" t="n"/>
      <c r="U286" s="25" t="n"/>
      <c r="V286" s="22">
        <f>IF($U286="","",IFERROR(INDEX(Templates!$K$3:$K$10,MATCH($U286,Templates!$A$3:$A$10,0)),""))</f>
        <v/>
      </c>
      <c r="W286" s="22">
        <f>IF($U286="","",IFERROR(INDEX(Templates!$L$3:$L$10,MATCH($U286,Templates!$A$3:$A$10,0)),""))</f>
        <v/>
      </c>
      <c r="X286" s="23">
        <f>IF($U286="","",IFERROR(INDEX(Templates!$J$3:$J$10,MATCH($U286,Templates!$A$3:$A$10,0)),""))</f>
        <v/>
      </c>
      <c r="Y286" s="24">
        <f>IF(OR($U286="",$I286="",$J286="",$X286=""),"",$I286+$X286*($J286-$I286))</f>
        <v/>
      </c>
    </row>
    <row r="287">
      <c r="A287" s="15" t="inlineStr">
        <is>
          <t>shareplan</t>
        </is>
      </c>
      <c r="B287" s="16" t="inlineStr">
        <is>
          <t>Garrigues</t>
        </is>
      </c>
      <c r="C287" s="15" t="inlineStr">
        <is>
          <t>Garrigues</t>
        </is>
      </c>
      <c r="D287" s="15" t="inlineStr"/>
      <c r="E287" s="15" t="inlineStr">
        <is>
          <t>No</t>
        </is>
      </c>
      <c r="F287" s="15" t="inlineStr">
        <is>
          <t>Proposal</t>
        </is>
      </c>
      <c r="G287" s="25" t="n"/>
      <c r="H287" s="28" t="n">
        <v>0.5</v>
      </c>
      <c r="I287" s="26" t="n"/>
      <c r="J287" s="26" t="n"/>
      <c r="K287" s="25" t="n"/>
      <c r="L287" s="25" t="n"/>
      <c r="M287" s="25" t="n"/>
      <c r="N287" s="25" t="n"/>
      <c r="O287" s="25" t="n"/>
      <c r="P287" s="25" t="n"/>
      <c r="Q287" s="19">
        <f>IF($A287="","",COUNTIFS(Assignments!$C$2:$C$769,$A287,Assignments!$G$2:$G$769,"Active"))</f>
        <v/>
      </c>
      <c r="R287" s="20">
        <f>IF($A287="","",SUMIFS(Assignments!$I$2:$I$769,Assignments!$C$2:$C$769,$A287,Assignments!$G$2:$G$769,"Active"))</f>
        <v/>
      </c>
      <c r="S287" s="16" t="inlineStr">
        <is>
          <t>Summary tab only (Proposal)</t>
        </is>
      </c>
      <c r="T287" s="27" t="n"/>
      <c r="U287" s="25" t="n"/>
      <c r="V287" s="22">
        <f>IF($U287="","",IFERROR(INDEX(Templates!$K$3:$K$10,MATCH($U287,Templates!$A$3:$A$10,0)),""))</f>
        <v/>
      </c>
      <c r="W287" s="22">
        <f>IF($U287="","",IFERROR(INDEX(Templates!$L$3:$L$10,MATCH($U287,Templates!$A$3:$A$10,0)),""))</f>
        <v/>
      </c>
      <c r="X287" s="23">
        <f>IF($U287="","",IFERROR(INDEX(Templates!$J$3:$J$10,MATCH($U287,Templates!$A$3:$A$10,0)),""))</f>
        <v/>
      </c>
      <c r="Y287" s="24">
        <f>IF(OR($U287="",$I287="",$J287="",$X287=""),"",$I287+$X287*($J287-$I287))</f>
        <v/>
      </c>
    </row>
    <row r="288">
      <c r="A288" s="15" t="inlineStr">
        <is>
          <t>Staffing_1</t>
        </is>
      </c>
      <c r="B288" s="16" t="inlineStr">
        <is>
          <t>Carmine Capital</t>
        </is>
      </c>
      <c r="C288" s="15" t="inlineStr">
        <is>
          <t>Carmine Capital</t>
        </is>
      </c>
      <c r="D288" s="15" t="inlineStr"/>
      <c r="E288" s="15" t="inlineStr">
        <is>
          <t>No</t>
        </is>
      </c>
      <c r="F288" s="15" t="inlineStr">
        <is>
          <t>Proposal</t>
        </is>
      </c>
      <c r="G288" s="25" t="n"/>
      <c r="H288" s="28" t="n">
        <v>0.5</v>
      </c>
      <c r="I288" s="26" t="n"/>
      <c r="J288" s="26" t="n"/>
      <c r="K288" s="25" t="n"/>
      <c r="L288" s="25" t="n"/>
      <c r="M288" s="25" t="n"/>
      <c r="N288" s="25" t="n"/>
      <c r="O288" s="25" t="n"/>
      <c r="P288" s="25" t="n"/>
      <c r="Q288" s="19">
        <f>IF($A288="","",COUNTIFS(Assignments!$C$2:$C$769,$A288,Assignments!$G$2:$G$769,"Active"))</f>
        <v/>
      </c>
      <c r="R288" s="20">
        <f>IF($A288="","",SUMIFS(Assignments!$I$2:$I$769,Assignments!$C$2:$C$769,$A288,Assignments!$G$2:$G$769,"Active"))</f>
        <v/>
      </c>
      <c r="S288" s="16" t="inlineStr">
        <is>
          <t>Proposal</t>
        </is>
      </c>
      <c r="T288" s="27" t="n"/>
      <c r="U288" s="25" t="n"/>
      <c r="V288" s="22">
        <f>IF($U288="","",IFERROR(INDEX(Templates!$K$3:$K$10,MATCH($U288,Templates!$A$3:$A$10,0)),""))</f>
        <v/>
      </c>
      <c r="W288" s="22">
        <f>IF($U288="","",IFERROR(INDEX(Templates!$L$3:$L$10,MATCH($U288,Templates!$A$3:$A$10,0)),""))</f>
        <v/>
      </c>
      <c r="X288" s="23">
        <f>IF($U288="","",IFERROR(INDEX(Templates!$J$3:$J$10,MATCH($U288,Templates!$A$3:$A$10,0)),""))</f>
        <v/>
      </c>
      <c r="Y288" s="24">
        <f>IF(OR($U288="",$I288="",$J288="",$X288=""),"",$I288+$X288*($J288-$I288))</f>
        <v/>
      </c>
    </row>
    <row r="289">
      <c r="A289" s="15" t="inlineStr">
        <is>
          <t>Story_1</t>
        </is>
      </c>
      <c r="B289" s="16" t="inlineStr">
        <is>
          <t>Ryan, LLC : Svalner Atlas : Svalner</t>
        </is>
      </c>
      <c r="C289" s="15" t="inlineStr">
        <is>
          <t>Ryan, LLC</t>
        </is>
      </c>
      <c r="D289" s="15" t="inlineStr">
        <is>
          <t>Svalner</t>
        </is>
      </c>
      <c r="E289" s="15" t="inlineStr">
        <is>
          <t>No</t>
        </is>
      </c>
      <c r="F289" s="15" t="inlineStr">
        <is>
          <t>Proposal</t>
        </is>
      </c>
      <c r="G289" s="25" t="n"/>
      <c r="H289" s="28" t="n">
        <v>0.5</v>
      </c>
      <c r="I289" s="26" t="n"/>
      <c r="J289" s="26" t="n"/>
      <c r="K289" s="25" t="n"/>
      <c r="L289" s="25" t="n"/>
      <c r="M289" s="25" t="n"/>
      <c r="N289" s="25" t="n"/>
      <c r="O289" s="25" t="n"/>
      <c r="P289" s="25" t="n"/>
      <c r="Q289" s="19">
        <f>IF($A289="","",COUNTIFS(Assignments!$C$2:$C$769,$A289,Assignments!$G$2:$G$769,"Active"))</f>
        <v/>
      </c>
      <c r="R289" s="20">
        <f>IF($A289="","",SUMIFS(Assignments!$I$2:$I$769,Assignments!$C$2:$C$769,$A289,Assignments!$G$2:$G$769,"Active"))</f>
        <v/>
      </c>
      <c r="S289" s="16" t="inlineStr">
        <is>
          <t>Proposal</t>
        </is>
      </c>
      <c r="T289" s="27" t="n"/>
      <c r="U289" s="25" t="n"/>
      <c r="V289" s="22">
        <f>IF($U289="","",IFERROR(INDEX(Templates!$K$3:$K$10,MATCH($U289,Templates!$A$3:$A$10,0)),""))</f>
        <v/>
      </c>
      <c r="W289" s="22">
        <f>IF($U289="","",IFERROR(INDEX(Templates!$L$3:$L$10,MATCH($U289,Templates!$A$3:$A$10,0)),""))</f>
        <v/>
      </c>
      <c r="X289" s="23">
        <f>IF($U289="","",IFERROR(INDEX(Templates!$J$3:$J$10,MATCH($U289,Templates!$A$3:$A$10,0)),""))</f>
        <v/>
      </c>
      <c r="Y289" s="24">
        <f>IF(OR($U289="",$I289="",$J289="",$X289=""),"",$I289+$X289*($J289-$I289))</f>
        <v/>
      </c>
    </row>
    <row r="290">
      <c r="A290" s="15" t="inlineStr">
        <is>
          <t>Sunset_1</t>
        </is>
      </c>
      <c r="B290" s="16" t="inlineStr">
        <is>
          <t>Certa</t>
        </is>
      </c>
      <c r="C290" s="15" t="inlineStr">
        <is>
          <t>Certa</t>
        </is>
      </c>
      <c r="D290" s="15" t="inlineStr"/>
      <c r="E290" s="15" t="inlineStr">
        <is>
          <t>No</t>
        </is>
      </c>
      <c r="F290" s="15" t="inlineStr">
        <is>
          <t>Proposal</t>
        </is>
      </c>
      <c r="G290" s="25" t="n"/>
      <c r="H290" s="28" t="n">
        <v>0.5</v>
      </c>
      <c r="I290" s="26" t="n"/>
      <c r="J290" s="26" t="n"/>
      <c r="K290" s="25" t="n"/>
      <c r="L290" s="25" t="n"/>
      <c r="M290" s="25" t="n"/>
      <c r="N290" s="25" t="n"/>
      <c r="O290" s="25" t="n"/>
      <c r="P290" s="25" t="n"/>
      <c r="Q290" s="19">
        <f>IF($A290="","",COUNTIFS(Assignments!$C$2:$C$769,$A290,Assignments!$G$2:$G$769,"Active"))</f>
        <v/>
      </c>
      <c r="R290" s="20">
        <f>IF($A290="","",SUMIFS(Assignments!$I$2:$I$769,Assignments!$C$2:$C$769,$A290,Assignments!$G$2:$G$769,"Active"))</f>
        <v/>
      </c>
      <c r="S290" s="16" t="inlineStr">
        <is>
          <t>Proposal</t>
        </is>
      </c>
      <c r="T290" s="27" t="n"/>
      <c r="U290" s="25" t="n"/>
      <c r="V290" s="22">
        <f>IF($U290="","",IFERROR(INDEX(Templates!$K$3:$K$10,MATCH($U290,Templates!$A$3:$A$10,0)),""))</f>
        <v/>
      </c>
      <c r="W290" s="22">
        <f>IF($U290="","",IFERROR(INDEX(Templates!$L$3:$L$10,MATCH($U290,Templates!$A$3:$A$10,0)),""))</f>
        <v/>
      </c>
      <c r="X290" s="23">
        <f>IF($U290="","",IFERROR(INDEX(Templates!$J$3:$J$10,MATCH($U290,Templates!$A$3:$A$10,0)),""))</f>
        <v/>
      </c>
      <c r="Y290" s="24">
        <f>IF(OR($U290="",$I290="",$J290="",$X290=""),"",$I290+$X290*($J290-$I290))</f>
        <v/>
      </c>
    </row>
    <row r="291">
      <c r="A291" s="15" t="inlineStr">
        <is>
          <t>Takeover_1</t>
        </is>
      </c>
      <c r="B291" s="16" t="inlineStr">
        <is>
          <t>Maven Advisory LLC</t>
        </is>
      </c>
      <c r="C291" s="15" t="inlineStr">
        <is>
          <t>Maven Advisory LLC</t>
        </is>
      </c>
      <c r="D291" s="15" t="inlineStr"/>
      <c r="E291" s="15" t="inlineStr">
        <is>
          <t>No</t>
        </is>
      </c>
      <c r="F291" s="15" t="inlineStr">
        <is>
          <t>Proposal</t>
        </is>
      </c>
      <c r="G291" s="25" t="n"/>
      <c r="H291" s="28" t="n">
        <v>0.5</v>
      </c>
      <c r="I291" s="26" t="n"/>
      <c r="J291" s="26" t="n"/>
      <c r="K291" s="25" t="n"/>
      <c r="L291" s="25" t="n"/>
      <c r="M291" s="25" t="n"/>
      <c r="N291" s="25" t="n"/>
      <c r="O291" s="25" t="n"/>
      <c r="P291" s="25" t="n"/>
      <c r="Q291" s="19">
        <f>IF($A291="","",COUNTIFS(Assignments!$C$2:$C$769,$A291,Assignments!$G$2:$G$769,"Active"))</f>
        <v/>
      </c>
      <c r="R291" s="20">
        <f>IF($A291="","",SUMIFS(Assignments!$I$2:$I$769,Assignments!$C$2:$C$769,$A291,Assignments!$G$2:$G$769,"Active"))</f>
        <v/>
      </c>
      <c r="S291" s="16" t="inlineStr">
        <is>
          <t>Proposal</t>
        </is>
      </c>
      <c r="T291" s="27" t="n"/>
      <c r="U291" s="25" t="n"/>
      <c r="V291" s="22">
        <f>IF($U291="","",IFERROR(INDEX(Templates!$K$3:$K$10,MATCH($U291,Templates!$A$3:$A$10,0)),""))</f>
        <v/>
      </c>
      <c r="W291" s="22">
        <f>IF($U291="","",IFERROR(INDEX(Templates!$L$3:$L$10,MATCH($U291,Templates!$A$3:$A$10,0)),""))</f>
        <v/>
      </c>
      <c r="X291" s="23">
        <f>IF($U291="","",IFERROR(INDEX(Templates!$J$3:$J$10,MATCH($U291,Templates!$A$3:$A$10,0)),""))</f>
        <v/>
      </c>
      <c r="Y291" s="24">
        <f>IF(OR($U291="",$I291="",$J291="",$X291=""),"",$I291+$X291*($J291-$I291))</f>
        <v/>
      </c>
    </row>
    <row r="292">
      <c r="A292" s="15" t="inlineStr">
        <is>
          <t>Theta_1</t>
        </is>
      </c>
      <c r="B292" s="16" t="inlineStr">
        <is>
          <t>Thetha FIRPTA</t>
        </is>
      </c>
      <c r="C292" s="15" t="inlineStr">
        <is>
          <t>Thetha FIRPTA</t>
        </is>
      </c>
      <c r="D292" s="15" t="inlineStr"/>
      <c r="E292" s="15" t="inlineStr">
        <is>
          <t>No</t>
        </is>
      </c>
      <c r="F292" s="15" t="inlineStr">
        <is>
          <t>Proposal</t>
        </is>
      </c>
      <c r="G292" s="25" t="n"/>
      <c r="H292" s="28" t="n">
        <v>0.5</v>
      </c>
      <c r="I292" s="26" t="n"/>
      <c r="J292" s="26" t="n"/>
      <c r="K292" s="25" t="n"/>
      <c r="L292" s="25" t="n"/>
      <c r="M292" s="25" t="n"/>
      <c r="N292" s="25" t="n"/>
      <c r="O292" s="25" t="n"/>
      <c r="P292" s="25" t="n"/>
      <c r="Q292" s="19">
        <f>IF($A292="","",COUNTIFS(Assignments!$C$2:$C$769,$A292,Assignments!$G$2:$G$769,"Active"))</f>
        <v/>
      </c>
      <c r="R292" s="20">
        <f>IF($A292="","",SUMIFS(Assignments!$I$2:$I$769,Assignments!$C$2:$C$769,$A292,Assignments!$G$2:$G$769,"Active"))</f>
        <v/>
      </c>
      <c r="S292" s="16" t="inlineStr">
        <is>
          <t>Summary tab only (Proposal)</t>
        </is>
      </c>
      <c r="T292" s="27" t="n"/>
      <c r="U292" s="25" t="n"/>
      <c r="V292" s="22">
        <f>IF($U292="","",IFERROR(INDEX(Templates!$K$3:$K$10,MATCH($U292,Templates!$A$3:$A$10,0)),""))</f>
        <v/>
      </c>
      <c r="W292" s="22">
        <f>IF($U292="","",IFERROR(INDEX(Templates!$L$3:$L$10,MATCH($U292,Templates!$A$3:$A$10,0)),""))</f>
        <v/>
      </c>
      <c r="X292" s="23">
        <f>IF($U292="","",IFERROR(INDEX(Templates!$J$3:$J$10,MATCH($U292,Templates!$A$3:$A$10,0)),""))</f>
        <v/>
      </c>
      <c r="Y292" s="24">
        <f>IF(OR($U292="",$I292="",$J292="",$X292=""),"",$I292+$X292*($J292-$I292))</f>
        <v/>
      </c>
    </row>
    <row r="293">
      <c r="A293" s="15" t="inlineStr">
        <is>
          <t>TP Assistance_1</t>
        </is>
      </c>
      <c r="B293" s="16" t="inlineStr">
        <is>
          <t>Taxand Global : Arsene TaxAnd</t>
        </is>
      </c>
      <c r="C293" s="15" t="inlineStr">
        <is>
          <t>Taxand Global</t>
        </is>
      </c>
      <c r="D293" s="15" t="inlineStr">
        <is>
          <t>Arsene TaxAnd</t>
        </is>
      </c>
      <c r="E293" s="15" t="inlineStr">
        <is>
          <t>No</t>
        </is>
      </c>
      <c r="F293" s="15" t="inlineStr">
        <is>
          <t>Proposal</t>
        </is>
      </c>
      <c r="G293" s="25" t="n"/>
      <c r="H293" s="28" t="n">
        <v>0.5</v>
      </c>
      <c r="I293" s="26" t="n"/>
      <c r="J293" s="26" t="n"/>
      <c r="K293" s="25" t="n"/>
      <c r="L293" s="25" t="n"/>
      <c r="M293" s="25" t="n"/>
      <c r="N293" s="25" t="n"/>
      <c r="O293" s="25" t="n"/>
      <c r="P293" s="25" t="n"/>
      <c r="Q293" s="19">
        <f>IF($A293="","",COUNTIFS(Assignments!$C$2:$C$769,$A293,Assignments!$G$2:$G$769,"Active"))</f>
        <v/>
      </c>
      <c r="R293" s="20">
        <f>IF($A293="","",SUMIFS(Assignments!$I$2:$I$769,Assignments!$C$2:$C$769,$A293,Assignments!$G$2:$G$769,"Active"))</f>
        <v/>
      </c>
      <c r="S293" s="16" t="inlineStr">
        <is>
          <t>Proposal</t>
        </is>
      </c>
      <c r="T293" s="27" t="n"/>
      <c r="U293" s="25" t="n"/>
      <c r="V293" s="22">
        <f>IF($U293="","",IFERROR(INDEX(Templates!$K$3:$K$10,MATCH($U293,Templates!$A$3:$A$10,0)),""))</f>
        <v/>
      </c>
      <c r="W293" s="22">
        <f>IF($U293="","",IFERROR(INDEX(Templates!$L$3:$L$10,MATCH($U293,Templates!$A$3:$A$10,0)),""))</f>
        <v/>
      </c>
      <c r="X293" s="23">
        <f>IF($U293="","",IFERROR(INDEX(Templates!$J$3:$J$10,MATCH($U293,Templates!$A$3:$A$10,0)),""))</f>
        <v/>
      </c>
      <c r="Y293" s="24">
        <f>IF(OR($U293="",$I293="",$J293="",$X293=""),"",$I293+$X293*($J293-$I293))</f>
        <v/>
      </c>
    </row>
    <row r="294">
      <c r="A294" s="15" t="inlineStr">
        <is>
          <t>Tracer II_2</t>
        </is>
      </c>
      <c r="B294" s="16" t="inlineStr">
        <is>
          <t>K1 Investment Management</t>
        </is>
      </c>
      <c r="C294" s="15" t="inlineStr">
        <is>
          <t>K1 Investment Management</t>
        </is>
      </c>
      <c r="D294" s="15" t="inlineStr"/>
      <c r="E294" s="15" t="inlineStr">
        <is>
          <t>No</t>
        </is>
      </c>
      <c r="F294" s="15" t="inlineStr">
        <is>
          <t>Proposal</t>
        </is>
      </c>
      <c r="G294" s="25" t="n"/>
      <c r="H294" s="28" t="n">
        <v>0.5</v>
      </c>
      <c r="I294" s="26" t="n"/>
      <c r="J294" s="26" t="n"/>
      <c r="K294" s="25" t="n"/>
      <c r="L294" s="25" t="n"/>
      <c r="M294" s="25" t="n"/>
      <c r="N294" s="25" t="n"/>
      <c r="O294" s="25" t="n"/>
      <c r="P294" s="25" t="n"/>
      <c r="Q294" s="19">
        <f>IF($A294="","",COUNTIFS(Assignments!$C$2:$C$769,$A294,Assignments!$G$2:$G$769,"Active"))</f>
        <v/>
      </c>
      <c r="R294" s="20">
        <f>IF($A294="","",SUMIFS(Assignments!$I$2:$I$769,Assignments!$C$2:$C$769,$A294,Assignments!$G$2:$G$769,"Active"))</f>
        <v/>
      </c>
      <c r="S294" s="16" t="inlineStr">
        <is>
          <t>Proposal</t>
        </is>
      </c>
      <c r="T294" s="27" t="n"/>
      <c r="U294" s="25" t="n"/>
      <c r="V294" s="22">
        <f>IF($U294="","",IFERROR(INDEX(Templates!$K$3:$K$10,MATCH($U294,Templates!$A$3:$A$10,0)),""))</f>
        <v/>
      </c>
      <c r="W294" s="22">
        <f>IF($U294="","",IFERROR(INDEX(Templates!$L$3:$L$10,MATCH($U294,Templates!$A$3:$A$10,0)),""))</f>
        <v/>
      </c>
      <c r="X294" s="23">
        <f>IF($U294="","",IFERROR(INDEX(Templates!$J$3:$J$10,MATCH($U294,Templates!$A$3:$A$10,0)),""))</f>
        <v/>
      </c>
      <c r="Y294" s="24">
        <f>IF(OR($U294="",$I294="",$J294="",$X294=""),"",$I294+$X294*($J294-$I294))</f>
        <v/>
      </c>
    </row>
    <row r="295">
      <c r="A295" s="15" t="inlineStr">
        <is>
          <t>Turtle_1</t>
        </is>
      </c>
      <c r="B295" s="16" t="inlineStr">
        <is>
          <t>Certa</t>
        </is>
      </c>
      <c r="C295" s="15" t="inlineStr">
        <is>
          <t>Certa</t>
        </is>
      </c>
      <c r="D295" s="15" t="inlineStr"/>
      <c r="E295" s="15" t="inlineStr">
        <is>
          <t>No</t>
        </is>
      </c>
      <c r="F295" s="15" t="inlineStr">
        <is>
          <t>Proposal</t>
        </is>
      </c>
      <c r="G295" s="25" t="n"/>
      <c r="H295" s="28" t="n">
        <v>0.5</v>
      </c>
      <c r="I295" s="26" t="n"/>
      <c r="J295" s="26" t="n"/>
      <c r="K295" s="25" t="n"/>
      <c r="L295" s="25" t="n"/>
      <c r="M295" s="25" t="n"/>
      <c r="N295" s="25" t="n"/>
      <c r="O295" s="25" t="n"/>
      <c r="P295" s="25" t="n"/>
      <c r="Q295" s="19">
        <f>IF($A295="","",COUNTIFS(Assignments!$C$2:$C$769,$A295,Assignments!$G$2:$G$769,"Active"))</f>
        <v/>
      </c>
      <c r="R295" s="20">
        <f>IF($A295="","",SUMIFS(Assignments!$I$2:$I$769,Assignments!$C$2:$C$769,$A295,Assignments!$G$2:$G$769,"Active"))</f>
        <v/>
      </c>
      <c r="S295" s="16" t="inlineStr">
        <is>
          <t>Proposal</t>
        </is>
      </c>
      <c r="T295" s="27" t="n"/>
      <c r="U295" s="25" t="n"/>
      <c r="V295" s="22">
        <f>IF($U295="","",IFERROR(INDEX(Templates!$K$3:$K$10,MATCH($U295,Templates!$A$3:$A$10,0)),""))</f>
        <v/>
      </c>
      <c r="W295" s="22">
        <f>IF($U295="","",IFERROR(INDEX(Templates!$L$3:$L$10,MATCH($U295,Templates!$A$3:$A$10,0)),""))</f>
        <v/>
      </c>
      <c r="X295" s="23">
        <f>IF($U295="","",IFERROR(INDEX(Templates!$J$3:$J$10,MATCH($U295,Templates!$A$3:$A$10,0)),""))</f>
        <v/>
      </c>
      <c r="Y295" s="24">
        <f>IF(OR($U295="",$I295="",$J295="",$X295=""),"",$I295+$X295*($J295-$I295))</f>
        <v/>
      </c>
    </row>
    <row r="296">
      <c r="A296" s="15" t="inlineStr">
        <is>
          <t>Twister_1</t>
        </is>
      </c>
      <c r="B296" s="16" t="inlineStr">
        <is>
          <t>LS Power</t>
        </is>
      </c>
      <c r="C296" s="15" t="inlineStr">
        <is>
          <t>LS Power</t>
        </is>
      </c>
      <c r="D296" s="15" t="inlineStr"/>
      <c r="E296" s="15" t="inlineStr">
        <is>
          <t>No</t>
        </is>
      </c>
      <c r="F296" s="15" t="inlineStr">
        <is>
          <t>Proposal</t>
        </is>
      </c>
      <c r="G296" s="25" t="n"/>
      <c r="H296" s="28" t="n">
        <v>0.5</v>
      </c>
      <c r="I296" s="26" t="n"/>
      <c r="J296" s="26" t="n"/>
      <c r="K296" s="25" t="n"/>
      <c r="L296" s="25" t="n"/>
      <c r="M296" s="25" t="n"/>
      <c r="N296" s="25" t="n"/>
      <c r="O296" s="25" t="n"/>
      <c r="P296" s="25" t="n"/>
      <c r="Q296" s="19">
        <f>IF($A296="","",COUNTIFS(Assignments!$C$2:$C$769,$A296,Assignments!$G$2:$G$769,"Active"))</f>
        <v/>
      </c>
      <c r="R296" s="20">
        <f>IF($A296="","",SUMIFS(Assignments!$I$2:$I$769,Assignments!$C$2:$C$769,$A296,Assignments!$G$2:$G$769,"Active"))</f>
        <v/>
      </c>
      <c r="S296" s="16" t="inlineStr">
        <is>
          <t>Proposal</t>
        </is>
      </c>
      <c r="T296" s="27" t="n"/>
      <c r="U296" s="25" t="n"/>
      <c r="V296" s="22">
        <f>IF($U296="","",IFERROR(INDEX(Templates!$K$3:$K$10,MATCH($U296,Templates!$A$3:$A$10,0)),""))</f>
        <v/>
      </c>
      <c r="W296" s="22">
        <f>IF($U296="","",IFERROR(INDEX(Templates!$L$3:$L$10,MATCH($U296,Templates!$A$3:$A$10,0)),""))</f>
        <v/>
      </c>
      <c r="X296" s="23">
        <f>IF($U296="","",IFERROR(INDEX(Templates!$J$3:$J$10,MATCH($U296,Templates!$A$3:$A$10,0)),""))</f>
        <v/>
      </c>
      <c r="Y296" s="24">
        <f>IF(OR($U296="",$I296="",$J296="",$X296=""),"",$I296+$X296*($J296-$I296))</f>
        <v/>
      </c>
    </row>
    <row r="297">
      <c r="A297" s="15" t="inlineStr">
        <is>
          <t>UPS_1</t>
        </is>
      </c>
      <c r="B297" s="16" t="inlineStr">
        <is>
          <t>Brookfield Asset Management</t>
        </is>
      </c>
      <c r="C297" s="15" t="inlineStr">
        <is>
          <t>Brookfield Asset Management</t>
        </is>
      </c>
      <c r="D297" s="15" t="inlineStr"/>
      <c r="E297" s="15" t="inlineStr">
        <is>
          <t>No</t>
        </is>
      </c>
      <c r="F297" s="15" t="inlineStr">
        <is>
          <t>Proposal</t>
        </is>
      </c>
      <c r="G297" s="25" t="n"/>
      <c r="H297" s="28" t="n">
        <v>0.5</v>
      </c>
      <c r="I297" s="26" t="n"/>
      <c r="J297" s="26" t="n"/>
      <c r="K297" s="25" t="n"/>
      <c r="L297" s="25" t="n"/>
      <c r="M297" s="25" t="n"/>
      <c r="N297" s="25" t="n"/>
      <c r="O297" s="25" t="n"/>
      <c r="P297" s="25" t="n"/>
      <c r="Q297" s="19">
        <f>IF($A297="","",COUNTIFS(Assignments!$C$2:$C$769,$A297,Assignments!$G$2:$G$769,"Active"))</f>
        <v/>
      </c>
      <c r="R297" s="20">
        <f>IF($A297="","",SUMIFS(Assignments!$I$2:$I$769,Assignments!$C$2:$C$769,$A297,Assignments!$G$2:$G$769,"Active"))</f>
        <v/>
      </c>
      <c r="S297" s="16" t="inlineStr">
        <is>
          <t>Proposal</t>
        </is>
      </c>
      <c r="T297" s="27" t="n"/>
      <c r="U297" s="25" t="n"/>
      <c r="V297" s="22">
        <f>IF($U297="","",IFERROR(INDEX(Templates!$K$3:$K$10,MATCH($U297,Templates!$A$3:$A$10,0)),""))</f>
        <v/>
      </c>
      <c r="W297" s="22">
        <f>IF($U297="","",IFERROR(INDEX(Templates!$L$3:$L$10,MATCH($U297,Templates!$A$3:$A$10,0)),""))</f>
        <v/>
      </c>
      <c r="X297" s="23">
        <f>IF($U297="","",IFERROR(INDEX(Templates!$J$3:$J$10,MATCH($U297,Templates!$A$3:$A$10,0)),""))</f>
        <v/>
      </c>
      <c r="Y297" s="24">
        <f>IF(OR($U297="",$I297="",$J297="",$X297=""),"",$I297+$X297*($J297-$I297))</f>
        <v/>
      </c>
    </row>
    <row r="298">
      <c r="A298" s="15" t="inlineStr">
        <is>
          <t>US Investment_1</t>
        </is>
      </c>
      <c r="B298" s="16" t="inlineStr">
        <is>
          <t>Taxand Global : ATOZ Tax Advisers Luxembourg</t>
        </is>
      </c>
      <c r="C298" s="15" t="inlineStr">
        <is>
          <t>Taxand Global</t>
        </is>
      </c>
      <c r="D298" s="15" t="inlineStr">
        <is>
          <t>ATOZ Tax Advisers Luxembourg</t>
        </is>
      </c>
      <c r="E298" s="15" t="inlineStr">
        <is>
          <t>No</t>
        </is>
      </c>
      <c r="F298" s="15" t="inlineStr">
        <is>
          <t>Proposal</t>
        </is>
      </c>
      <c r="G298" s="25" t="n"/>
      <c r="H298" s="28" t="n">
        <v>0.5</v>
      </c>
      <c r="I298" s="26" t="n"/>
      <c r="J298" s="26" t="n"/>
      <c r="K298" s="25" t="n"/>
      <c r="L298" s="25" t="n"/>
      <c r="M298" s="25" t="n"/>
      <c r="N298" s="25" t="n"/>
      <c r="O298" s="25" t="n"/>
      <c r="P298" s="25" t="n"/>
      <c r="Q298" s="19">
        <f>IF($A298="","",COUNTIFS(Assignments!$C$2:$C$769,$A298,Assignments!$G$2:$G$769,"Active"))</f>
        <v/>
      </c>
      <c r="R298" s="20">
        <f>IF($A298="","",SUMIFS(Assignments!$I$2:$I$769,Assignments!$C$2:$C$769,$A298,Assignments!$G$2:$G$769,"Active"))</f>
        <v/>
      </c>
      <c r="S298" s="16" t="inlineStr">
        <is>
          <t>Proposal</t>
        </is>
      </c>
      <c r="T298" s="27" t="n"/>
      <c r="U298" s="25" t="n"/>
      <c r="V298" s="22">
        <f>IF($U298="","",IFERROR(INDEX(Templates!$K$3:$K$10,MATCH($U298,Templates!$A$3:$A$10,0)),""))</f>
        <v/>
      </c>
      <c r="W298" s="22">
        <f>IF($U298="","",IFERROR(INDEX(Templates!$L$3:$L$10,MATCH($U298,Templates!$A$3:$A$10,0)),""))</f>
        <v/>
      </c>
      <c r="X298" s="23">
        <f>IF($U298="","",IFERROR(INDEX(Templates!$J$3:$J$10,MATCH($U298,Templates!$A$3:$A$10,0)),""))</f>
        <v/>
      </c>
      <c r="Y298" s="24">
        <f>IF(OR($U298="",$I298="",$J298="",$X298=""),"",$I298+$X298*($J298-$I298))</f>
        <v/>
      </c>
    </row>
    <row r="299">
      <c r="A299" s="15" t="inlineStr">
        <is>
          <t>US Restructuring_1</t>
        </is>
      </c>
      <c r="B299" s="16" t="inlineStr">
        <is>
          <t>Taxand Global : ATOZ Tax Advisers Luxembourg</t>
        </is>
      </c>
      <c r="C299" s="15" t="inlineStr">
        <is>
          <t>Taxand Global</t>
        </is>
      </c>
      <c r="D299" s="15" t="inlineStr">
        <is>
          <t>ATOZ Tax Advisers Luxembourg</t>
        </is>
      </c>
      <c r="E299" s="15" t="inlineStr">
        <is>
          <t>No</t>
        </is>
      </c>
      <c r="F299" s="15" t="inlineStr">
        <is>
          <t>Proposal</t>
        </is>
      </c>
      <c r="G299" s="25" t="n"/>
      <c r="H299" s="28" t="n">
        <v>0.5</v>
      </c>
      <c r="I299" s="26" t="n"/>
      <c r="J299" s="26" t="n"/>
      <c r="K299" s="25" t="n"/>
      <c r="L299" s="25" t="n"/>
      <c r="M299" s="25" t="n"/>
      <c r="N299" s="25" t="n"/>
      <c r="O299" s="25" t="n"/>
      <c r="P299" s="25" t="n"/>
      <c r="Q299" s="19">
        <f>IF($A299="","",COUNTIFS(Assignments!$C$2:$C$769,$A299,Assignments!$G$2:$G$769,"Active"))</f>
        <v/>
      </c>
      <c r="R299" s="20">
        <f>IF($A299="","",SUMIFS(Assignments!$I$2:$I$769,Assignments!$C$2:$C$769,$A299,Assignments!$G$2:$G$769,"Active"))</f>
        <v/>
      </c>
      <c r="S299" s="16" t="inlineStr">
        <is>
          <t>Proposal</t>
        </is>
      </c>
      <c r="T299" s="27" t="n"/>
      <c r="U299" s="25" t="n"/>
      <c r="V299" s="22">
        <f>IF($U299="","",IFERROR(INDEX(Templates!$K$3:$K$10,MATCH($U299,Templates!$A$3:$A$10,0)),""))</f>
        <v/>
      </c>
      <c r="W299" s="22">
        <f>IF($U299="","",IFERROR(INDEX(Templates!$L$3:$L$10,MATCH($U299,Templates!$A$3:$A$10,0)),""))</f>
        <v/>
      </c>
      <c r="X299" s="23">
        <f>IF($U299="","",IFERROR(INDEX(Templates!$J$3:$J$10,MATCH($U299,Templates!$A$3:$A$10,0)),""))</f>
        <v/>
      </c>
      <c r="Y299" s="24">
        <f>IF(OR($U299="",$I299="",$J299="",$X299=""),"",$I299+$X299*($J299-$I299))</f>
        <v/>
      </c>
    </row>
    <row r="300">
      <c r="A300" s="15" t="inlineStr">
        <is>
          <t>Victoria_2</t>
        </is>
      </c>
      <c r="B300" s="16" t="inlineStr">
        <is>
          <t>Euclid Transactional</t>
        </is>
      </c>
      <c r="C300" s="15" t="inlineStr">
        <is>
          <t>Euclid Transactional</t>
        </is>
      </c>
      <c r="D300" s="15" t="inlineStr"/>
      <c r="E300" s="15" t="inlineStr">
        <is>
          <t>No</t>
        </is>
      </c>
      <c r="F300" s="15" t="inlineStr">
        <is>
          <t>Proposal</t>
        </is>
      </c>
      <c r="G300" s="25" t="n"/>
      <c r="H300" s="28" t="n">
        <v>0.5</v>
      </c>
      <c r="I300" s="26" t="n"/>
      <c r="J300" s="26" t="n"/>
      <c r="K300" s="25" t="n"/>
      <c r="L300" s="25" t="n"/>
      <c r="M300" s="25" t="n"/>
      <c r="N300" s="25" t="n"/>
      <c r="O300" s="25" t="n"/>
      <c r="P300" s="25" t="n"/>
      <c r="Q300" s="19">
        <f>IF($A300="","",COUNTIFS(Assignments!$C$2:$C$769,$A300,Assignments!$G$2:$G$769,"Active"))</f>
        <v/>
      </c>
      <c r="R300" s="20">
        <f>IF($A300="","",SUMIFS(Assignments!$I$2:$I$769,Assignments!$C$2:$C$769,$A300,Assignments!$G$2:$G$769,"Active"))</f>
        <v/>
      </c>
      <c r="S300" s="16" t="inlineStr">
        <is>
          <t>Proposal</t>
        </is>
      </c>
      <c r="T300" s="27" t="n"/>
      <c r="U300" s="25" t="n"/>
      <c r="V300" s="22">
        <f>IF($U300="","",IFERROR(INDEX(Templates!$K$3:$K$10,MATCH($U300,Templates!$A$3:$A$10,0)),""))</f>
        <v/>
      </c>
      <c r="W300" s="22">
        <f>IF($U300="","",IFERROR(INDEX(Templates!$L$3:$L$10,MATCH($U300,Templates!$A$3:$A$10,0)),""))</f>
        <v/>
      </c>
      <c r="X300" s="23">
        <f>IF($U300="","",IFERROR(INDEX(Templates!$J$3:$J$10,MATCH($U300,Templates!$A$3:$A$10,0)),""))</f>
        <v/>
      </c>
      <c r="Y300" s="24">
        <f>IF(OR($U300="",$I300="",$J300="",$X300=""),"",$I300+$X300*($J300-$I300))</f>
        <v/>
      </c>
    </row>
    <row r="301">
      <c r="A301" s="15" t="inlineStr">
        <is>
          <t>Voltaire_1</t>
        </is>
      </c>
      <c r="B301" s="16" t="inlineStr">
        <is>
          <t>Macquarie Group : DESRI</t>
        </is>
      </c>
      <c r="C301" s="15" t="inlineStr">
        <is>
          <t>Macquarie Group</t>
        </is>
      </c>
      <c r="D301" s="15" t="inlineStr">
        <is>
          <t>DESRI</t>
        </is>
      </c>
      <c r="E301" s="15" t="inlineStr">
        <is>
          <t>No</t>
        </is>
      </c>
      <c r="F301" s="15" t="inlineStr">
        <is>
          <t>Proposal</t>
        </is>
      </c>
      <c r="G301" s="25" t="n"/>
      <c r="H301" s="28" t="n">
        <v>0.5</v>
      </c>
      <c r="I301" s="26" t="n"/>
      <c r="J301" s="26" t="n"/>
      <c r="K301" s="25" t="n"/>
      <c r="L301" s="25" t="n"/>
      <c r="M301" s="25" t="n"/>
      <c r="N301" s="25" t="n"/>
      <c r="O301" s="25" t="n"/>
      <c r="P301" s="25" t="n"/>
      <c r="Q301" s="19">
        <f>IF($A301="","",COUNTIFS(Assignments!$C$2:$C$769,$A301,Assignments!$G$2:$G$769,"Active"))</f>
        <v/>
      </c>
      <c r="R301" s="20">
        <f>IF($A301="","",SUMIFS(Assignments!$I$2:$I$769,Assignments!$C$2:$C$769,$A301,Assignments!$G$2:$G$769,"Active"))</f>
        <v/>
      </c>
      <c r="S301" s="16" t="inlineStr">
        <is>
          <t>Proposal</t>
        </is>
      </c>
      <c r="T301" s="27" t="n"/>
      <c r="U301" s="25" t="n"/>
      <c r="V301" s="22">
        <f>IF($U301="","",IFERROR(INDEX(Templates!$K$3:$K$10,MATCH($U301,Templates!$A$3:$A$10,0)),""))</f>
        <v/>
      </c>
      <c r="W301" s="22">
        <f>IF($U301="","",IFERROR(INDEX(Templates!$L$3:$L$10,MATCH($U301,Templates!$A$3:$A$10,0)),""))</f>
        <v/>
      </c>
      <c r="X301" s="23">
        <f>IF($U301="","",IFERROR(INDEX(Templates!$J$3:$J$10,MATCH($U301,Templates!$A$3:$A$10,0)),""))</f>
        <v/>
      </c>
      <c r="Y301" s="24">
        <f>IF(OR($U301="",$I301="",$J301="",$X301=""),"",$I301+$X301*($J301-$I301))</f>
        <v/>
      </c>
    </row>
    <row r="302">
      <c r="A302" s="15" t="inlineStr">
        <is>
          <t>Walnut_1</t>
        </is>
      </c>
      <c r="B302" s="16" t="inlineStr">
        <is>
          <t>Ryan Transactional Risk</t>
        </is>
      </c>
      <c r="C302" s="15" t="inlineStr">
        <is>
          <t>Ryan Transactional Risk</t>
        </is>
      </c>
      <c r="D302" s="15" t="inlineStr"/>
      <c r="E302" s="15" t="inlineStr">
        <is>
          <t>No</t>
        </is>
      </c>
      <c r="F302" s="15" t="inlineStr">
        <is>
          <t>Proposal</t>
        </is>
      </c>
      <c r="G302" s="25" t="n"/>
      <c r="H302" s="28" t="n">
        <v>0.5</v>
      </c>
      <c r="I302" s="26" t="n"/>
      <c r="J302" s="26" t="n"/>
      <c r="K302" s="25" t="n"/>
      <c r="L302" s="25" t="n"/>
      <c r="M302" s="25" t="n"/>
      <c r="N302" s="25" t="n"/>
      <c r="O302" s="25" t="n"/>
      <c r="P302" s="25" t="n"/>
      <c r="Q302" s="19">
        <f>IF($A302="","",COUNTIFS(Assignments!$C$2:$C$769,$A302,Assignments!$G$2:$G$769,"Active"))</f>
        <v/>
      </c>
      <c r="R302" s="20">
        <f>IF($A302="","",SUMIFS(Assignments!$I$2:$I$769,Assignments!$C$2:$C$769,$A302,Assignments!$G$2:$G$769,"Active"))</f>
        <v/>
      </c>
      <c r="S302" s="16" t="inlineStr">
        <is>
          <t>Proposal</t>
        </is>
      </c>
      <c r="T302" s="27" t="n"/>
      <c r="U302" s="25" t="n"/>
      <c r="V302" s="22">
        <f>IF($U302="","",IFERROR(INDEX(Templates!$K$3:$K$10,MATCH($U302,Templates!$A$3:$A$10,0)),""))</f>
        <v/>
      </c>
      <c r="W302" s="22">
        <f>IF($U302="","",IFERROR(INDEX(Templates!$L$3:$L$10,MATCH($U302,Templates!$A$3:$A$10,0)),""))</f>
        <v/>
      </c>
      <c r="X302" s="23">
        <f>IF($U302="","",IFERROR(INDEX(Templates!$J$3:$J$10,MATCH($U302,Templates!$A$3:$A$10,0)),""))</f>
        <v/>
      </c>
      <c r="Y302" s="24">
        <f>IF(OR($U302="",$I302="",$J302="",$X302=""),"",$I302+$X302*($J302-$I302))</f>
        <v/>
      </c>
    </row>
    <row r="303">
      <c r="A303" s="15" t="inlineStr">
        <is>
          <t>West_2</t>
        </is>
      </c>
      <c r="B303" s="16" t="inlineStr">
        <is>
          <t>Fengate</t>
        </is>
      </c>
      <c r="C303" s="15" t="inlineStr">
        <is>
          <t>Fengate</t>
        </is>
      </c>
      <c r="D303" s="15" t="inlineStr"/>
      <c r="E303" s="15" t="inlineStr">
        <is>
          <t>No</t>
        </is>
      </c>
      <c r="F303" s="15" t="inlineStr">
        <is>
          <t>Proposal</t>
        </is>
      </c>
      <c r="G303" s="25" t="n"/>
      <c r="H303" s="28" t="n">
        <v>0.5</v>
      </c>
      <c r="I303" s="26" t="n"/>
      <c r="J303" s="26" t="n"/>
      <c r="K303" s="25" t="n"/>
      <c r="L303" s="25" t="n"/>
      <c r="M303" s="25" t="n"/>
      <c r="N303" s="25" t="n"/>
      <c r="O303" s="25" t="n"/>
      <c r="P303" s="25" t="n"/>
      <c r="Q303" s="19">
        <f>IF($A303="","",COUNTIFS(Assignments!$C$2:$C$769,$A303,Assignments!$G$2:$G$769,"Active"))</f>
        <v/>
      </c>
      <c r="R303" s="20">
        <f>IF($A303="","",SUMIFS(Assignments!$I$2:$I$769,Assignments!$C$2:$C$769,$A303,Assignments!$G$2:$G$769,"Active"))</f>
        <v/>
      </c>
      <c r="S303" s="16" t="inlineStr">
        <is>
          <t>Proposal</t>
        </is>
      </c>
      <c r="T303" s="27" t="n"/>
      <c r="U303" s="25" t="n"/>
      <c r="V303" s="22">
        <f>IF($U303="","",IFERROR(INDEX(Templates!$K$3:$K$10,MATCH($U303,Templates!$A$3:$A$10,0)),""))</f>
        <v/>
      </c>
      <c r="W303" s="22">
        <f>IF($U303="","",IFERROR(INDEX(Templates!$L$3:$L$10,MATCH($U303,Templates!$A$3:$A$10,0)),""))</f>
        <v/>
      </c>
      <c r="X303" s="23">
        <f>IF($U303="","",IFERROR(INDEX(Templates!$J$3:$J$10,MATCH($U303,Templates!$A$3:$A$10,0)),""))</f>
        <v/>
      </c>
      <c r="Y303" s="24">
        <f>IF(OR($U303="",$I303="",$J303="",$X303=""),"",$I303+$X303*($J303-$I303))</f>
        <v/>
      </c>
    </row>
    <row r="304">
      <c r="A304" s="15" t="inlineStr">
        <is>
          <t>WIE_1</t>
        </is>
      </c>
      <c r="B304" s="16" t="inlineStr">
        <is>
          <t>Certa</t>
        </is>
      </c>
      <c r="C304" s="15" t="inlineStr">
        <is>
          <t>Certa</t>
        </is>
      </c>
      <c r="D304" s="15" t="inlineStr"/>
      <c r="E304" s="15" t="inlineStr">
        <is>
          <t>No</t>
        </is>
      </c>
      <c r="F304" s="15" t="inlineStr">
        <is>
          <t>Proposal</t>
        </is>
      </c>
      <c r="G304" s="25" t="n"/>
      <c r="H304" s="28" t="n">
        <v>0.5</v>
      </c>
      <c r="I304" s="26" t="n"/>
      <c r="J304" s="26" t="n"/>
      <c r="K304" s="25" t="n"/>
      <c r="L304" s="25" t="n"/>
      <c r="M304" s="25" t="n"/>
      <c r="N304" s="25" t="n"/>
      <c r="O304" s="25" t="n"/>
      <c r="P304" s="25" t="n"/>
      <c r="Q304" s="19">
        <f>IF($A304="","",COUNTIFS(Assignments!$C$2:$C$769,$A304,Assignments!$G$2:$G$769,"Active"))</f>
        <v/>
      </c>
      <c r="R304" s="20">
        <f>IF($A304="","",SUMIFS(Assignments!$I$2:$I$769,Assignments!$C$2:$C$769,$A304,Assignments!$G$2:$G$769,"Active"))</f>
        <v/>
      </c>
      <c r="S304" s="16" t="inlineStr">
        <is>
          <t>Proposal</t>
        </is>
      </c>
      <c r="T304" s="27" t="n"/>
      <c r="U304" s="25" t="n"/>
      <c r="V304" s="22">
        <f>IF($U304="","",IFERROR(INDEX(Templates!$K$3:$K$10,MATCH($U304,Templates!$A$3:$A$10,0)),""))</f>
        <v/>
      </c>
      <c r="W304" s="22">
        <f>IF($U304="","",IFERROR(INDEX(Templates!$L$3:$L$10,MATCH($U304,Templates!$A$3:$A$10,0)),""))</f>
        <v/>
      </c>
      <c r="X304" s="23">
        <f>IF($U304="","",IFERROR(INDEX(Templates!$J$3:$J$10,MATCH($U304,Templates!$A$3:$A$10,0)),""))</f>
        <v/>
      </c>
      <c r="Y304" s="24">
        <f>IF(OR($U304="",$I304="",$J304="",$X304=""),"",$I304+$X304*($J304-$I304))</f>
        <v/>
      </c>
    </row>
    <row r="305">
      <c r="A305" s="15" t="inlineStr">
        <is>
          <t>Wind_3</t>
        </is>
      </c>
      <c r="B305" s="16" t="inlineStr">
        <is>
          <t>Transatlantic Power Holdings</t>
        </is>
      </c>
      <c r="C305" s="15" t="inlineStr">
        <is>
          <t>Transatlantic Power Holdings</t>
        </is>
      </c>
      <c r="D305" s="15" t="inlineStr"/>
      <c r="E305" s="15" t="inlineStr">
        <is>
          <t>No</t>
        </is>
      </c>
      <c r="F305" s="15" t="inlineStr">
        <is>
          <t>Proposal</t>
        </is>
      </c>
      <c r="G305" s="25" t="n"/>
      <c r="H305" s="28" t="n">
        <v>0.5</v>
      </c>
      <c r="I305" s="26" t="n"/>
      <c r="J305" s="26" t="n"/>
      <c r="K305" s="25" t="n"/>
      <c r="L305" s="25" t="n"/>
      <c r="M305" s="25" t="n"/>
      <c r="N305" s="25" t="n"/>
      <c r="O305" s="25" t="n"/>
      <c r="P305" s="25" t="n"/>
      <c r="Q305" s="19">
        <f>IF($A305="","",COUNTIFS(Assignments!$C$2:$C$769,$A305,Assignments!$G$2:$G$769,"Active"))</f>
        <v/>
      </c>
      <c r="R305" s="20">
        <f>IF($A305="","",SUMIFS(Assignments!$I$2:$I$769,Assignments!$C$2:$C$769,$A305,Assignments!$G$2:$G$769,"Active"))</f>
        <v/>
      </c>
      <c r="S305" s="16" t="inlineStr">
        <is>
          <t>Proposal</t>
        </is>
      </c>
      <c r="T305" s="27" t="n"/>
      <c r="U305" s="25" t="n"/>
      <c r="V305" s="22">
        <f>IF($U305="","",IFERROR(INDEX(Templates!$K$3:$K$10,MATCH($U305,Templates!$A$3:$A$10,0)),""))</f>
        <v/>
      </c>
      <c r="W305" s="22">
        <f>IF($U305="","",IFERROR(INDEX(Templates!$L$3:$L$10,MATCH($U305,Templates!$A$3:$A$10,0)),""))</f>
        <v/>
      </c>
      <c r="X305" s="23">
        <f>IF($U305="","",IFERROR(INDEX(Templates!$J$3:$J$10,MATCH($U305,Templates!$A$3:$A$10,0)),""))</f>
        <v/>
      </c>
      <c r="Y305" s="24">
        <f>IF(OR($U305="",$I305="",$J305="",$X305=""),"",$I305+$X305*($J305-$I305))</f>
        <v/>
      </c>
    </row>
    <row r="306">
      <c r="A306" s="15" t="inlineStr">
        <is>
          <t>Wolverine_4</t>
        </is>
      </c>
      <c r="B306" s="16" t="inlineStr">
        <is>
          <t>Eight Advisory (Referral Source)</t>
        </is>
      </c>
      <c r="C306" s="15" t="inlineStr">
        <is>
          <t>Eight Advisory</t>
        </is>
      </c>
      <c r="D306" s="15" t="inlineStr"/>
      <c r="E306" s="15" t="inlineStr">
        <is>
          <t>Yes</t>
        </is>
      </c>
      <c r="F306" s="15" t="inlineStr">
        <is>
          <t>Proposal</t>
        </is>
      </c>
      <c r="G306" s="25" t="n"/>
      <c r="H306" s="28" t="n">
        <v>0.5</v>
      </c>
      <c r="I306" s="26" t="n"/>
      <c r="J306" s="26" t="n"/>
      <c r="K306" s="25" t="n"/>
      <c r="L306" s="25" t="n"/>
      <c r="M306" s="25" t="n"/>
      <c r="N306" s="25" t="n"/>
      <c r="O306" s="25" t="n"/>
      <c r="P306" s="25" t="n"/>
      <c r="Q306" s="19">
        <f>IF($A306="","",COUNTIFS(Assignments!$C$2:$C$769,$A306,Assignments!$G$2:$G$769,"Active"))</f>
        <v/>
      </c>
      <c r="R306" s="20">
        <f>IF($A306="","",SUMIFS(Assignments!$I$2:$I$769,Assignments!$C$2:$C$769,$A306,Assignments!$G$2:$G$769,"Active"))</f>
        <v/>
      </c>
      <c r="S306" s="16" t="inlineStr">
        <is>
          <t>Proposal</t>
        </is>
      </c>
      <c r="T306" s="27" t="n"/>
      <c r="U306" s="25" t="n"/>
      <c r="V306" s="22">
        <f>IF($U306="","",IFERROR(INDEX(Templates!$K$3:$K$10,MATCH($U306,Templates!$A$3:$A$10,0)),""))</f>
        <v/>
      </c>
      <c r="W306" s="22">
        <f>IF($U306="","",IFERROR(INDEX(Templates!$L$3:$L$10,MATCH($U306,Templates!$A$3:$A$10,0)),""))</f>
        <v/>
      </c>
      <c r="X306" s="23">
        <f>IF($U306="","",IFERROR(INDEX(Templates!$J$3:$J$10,MATCH($U306,Templates!$A$3:$A$10,0)),""))</f>
        <v/>
      </c>
      <c r="Y306" s="24">
        <f>IF(OR($U306="",$I306="",$J306="",$X306=""),"",$I306+$X306*($J306-$I306))</f>
        <v/>
      </c>
    </row>
    <row r="307">
      <c r="A307" s="15" t="inlineStr">
        <is>
          <t>Yellowstone_2</t>
        </is>
      </c>
      <c r="B307" s="16" t="inlineStr">
        <is>
          <t>Solertia MGA Ltd.</t>
        </is>
      </c>
      <c r="C307" s="15" t="inlineStr">
        <is>
          <t>Solertia MGA Ltd.</t>
        </is>
      </c>
      <c r="D307" s="15" t="inlineStr"/>
      <c r="E307" s="15" t="inlineStr">
        <is>
          <t>No</t>
        </is>
      </c>
      <c r="F307" s="15" t="inlineStr">
        <is>
          <t>Proposal</t>
        </is>
      </c>
      <c r="G307" s="25" t="n"/>
      <c r="H307" s="28" t="n">
        <v>0.5</v>
      </c>
      <c r="I307" s="26" t="n"/>
      <c r="J307" s="26" t="n"/>
      <c r="K307" s="25" t="n"/>
      <c r="L307" s="25" t="n"/>
      <c r="M307" s="25" t="n"/>
      <c r="N307" s="25" t="n"/>
      <c r="O307" s="25" t="n"/>
      <c r="P307" s="25" t="n"/>
      <c r="Q307" s="19">
        <f>IF($A307="","",COUNTIFS(Assignments!$C$2:$C$769,$A307,Assignments!$G$2:$G$769,"Active"))</f>
        <v/>
      </c>
      <c r="R307" s="20">
        <f>IF($A307="","",SUMIFS(Assignments!$I$2:$I$769,Assignments!$C$2:$C$769,$A307,Assignments!$G$2:$G$769,"Active"))</f>
        <v/>
      </c>
      <c r="S307" s="16" t="inlineStr">
        <is>
          <t>Proposal</t>
        </is>
      </c>
      <c r="T307" s="27" t="n"/>
      <c r="U307" s="25" t="n"/>
      <c r="V307" s="22">
        <f>IF($U307="","",IFERROR(INDEX(Templates!$K$3:$K$10,MATCH($U307,Templates!$A$3:$A$10,0)),""))</f>
        <v/>
      </c>
      <c r="W307" s="22">
        <f>IF($U307="","",IFERROR(INDEX(Templates!$L$3:$L$10,MATCH($U307,Templates!$A$3:$A$10,0)),""))</f>
        <v/>
      </c>
      <c r="X307" s="23">
        <f>IF($U307="","",IFERROR(INDEX(Templates!$J$3:$J$10,MATCH($U307,Templates!$A$3:$A$10,0)),""))</f>
        <v/>
      </c>
      <c r="Y307" s="24">
        <f>IF(OR($U307="",$I307="",$J307="",$X307=""),"",$I307+$X307*($J307-$I307))</f>
        <v/>
      </c>
    </row>
    <row r="308">
      <c r="A308" s="15" t="inlineStr">
        <is>
          <t>Aypa Power General PW&amp;A Advisory_1</t>
        </is>
      </c>
      <c r="B308" s="16" t="inlineStr">
        <is>
          <t>The Blackstone Group : Aypa Power</t>
        </is>
      </c>
      <c r="C308" s="15" t="inlineStr">
        <is>
          <t>The Blackstone Group</t>
        </is>
      </c>
      <c r="D308" s="15" t="inlineStr">
        <is>
          <t>Aypa Power</t>
        </is>
      </c>
      <c r="E308" s="15" t="inlineStr">
        <is>
          <t>No</t>
        </is>
      </c>
      <c r="F308" s="15" t="inlineStr">
        <is>
          <t>On hold</t>
        </is>
      </c>
      <c r="G308" s="15" t="n"/>
      <c r="H308" s="17" t="n">
        <v>0</v>
      </c>
      <c r="I308" s="18" t="n"/>
      <c r="J308" s="18" t="n"/>
      <c r="K308" s="15" t="n"/>
      <c r="L308" s="15" t="n"/>
      <c r="M308" s="15" t="n"/>
      <c r="N308" s="15" t="n"/>
      <c r="O308" s="15" t="n"/>
      <c r="P308" s="15" t="n"/>
      <c r="Q308" s="19">
        <f>IF($A308="","",COUNTIFS(Assignments!$C$2:$C$769,$A308,Assignments!$G$2:$G$769,"Active"))</f>
        <v/>
      </c>
      <c r="R308" s="20">
        <f>IF($A308="","",SUMIFS(Assignments!$I$2:$I$769,Assignments!$C$2:$C$769,$A308,Assignments!$G$2:$G$769,"Active"))</f>
        <v/>
      </c>
      <c r="S308" s="16" t="inlineStr">
        <is>
          <t>Not active</t>
        </is>
      </c>
      <c r="T308" s="27" t="n"/>
      <c r="U308" s="15" t="n"/>
      <c r="V308" s="22">
        <f>IF($U308="","",IFERROR(INDEX(Templates!$K$3:$K$10,MATCH($U308,Templates!$A$3:$A$10,0)),""))</f>
        <v/>
      </c>
      <c r="W308" s="22">
        <f>IF($U308="","",IFERROR(INDEX(Templates!$L$3:$L$10,MATCH($U308,Templates!$A$3:$A$10,0)),""))</f>
        <v/>
      </c>
      <c r="X308" s="23">
        <f>IF($U308="","",IFERROR(INDEX(Templates!$J$3:$J$10,MATCH($U308,Templates!$A$3:$A$10,0)),""))</f>
        <v/>
      </c>
      <c r="Y308" s="24">
        <f>IF(OR($U308="",$I308="",$J308="",$X308=""),"",$I308+$X308*($J308-$I308))</f>
        <v/>
      </c>
    </row>
    <row r="309">
      <c r="A309" s="15" t="inlineStr">
        <is>
          <t>Edward_1</t>
        </is>
      </c>
      <c r="B309" s="16" t="inlineStr">
        <is>
          <t>Royal Bank of Canada</t>
        </is>
      </c>
      <c r="C309" s="15" t="inlineStr">
        <is>
          <t>Royal Bank of Canada</t>
        </is>
      </c>
      <c r="D309" s="15" t="inlineStr"/>
      <c r="E309" s="15" t="inlineStr">
        <is>
          <t>No</t>
        </is>
      </c>
      <c r="F309" s="15" t="inlineStr">
        <is>
          <t>Closed</t>
        </is>
      </c>
      <c r="G309" s="15" t="n"/>
      <c r="H309" s="17" t="n">
        <v>0</v>
      </c>
      <c r="I309" s="18" t="n"/>
      <c r="J309" s="18" t="n"/>
      <c r="K309" s="15" t="n"/>
      <c r="L309" s="15" t="n"/>
      <c r="M309" s="15" t="n"/>
      <c r="N309" s="15" t="n"/>
      <c r="O309" s="15" t="n"/>
      <c r="P309" s="15" t="n"/>
      <c r="Q309" s="19">
        <f>IF($A309="","",COUNTIFS(Assignments!$C$2:$C$769,$A309,Assignments!$G$2:$G$769,"Active"))</f>
        <v/>
      </c>
      <c r="R309" s="20">
        <f>IF($A309="","",SUMIFS(Assignments!$I$2:$I$769,Assignments!$C$2:$C$769,$A309,Assignments!$G$2:$G$769,"Active"))</f>
        <v/>
      </c>
      <c r="S309" s="16" t="inlineStr">
        <is>
          <t>Closed</t>
        </is>
      </c>
      <c r="T309" s="27" t="n"/>
      <c r="U309" s="15" t="n"/>
      <c r="V309" s="22">
        <f>IF($U309="","",IFERROR(INDEX(Templates!$K$3:$K$10,MATCH($U309,Templates!$A$3:$A$10,0)),""))</f>
        <v/>
      </c>
      <c r="W309" s="22">
        <f>IF($U309="","",IFERROR(INDEX(Templates!$L$3:$L$10,MATCH($U309,Templates!$A$3:$A$10,0)),""))</f>
        <v/>
      </c>
      <c r="X309" s="23">
        <f>IF($U309="","",IFERROR(INDEX(Templates!$J$3:$J$10,MATCH($U309,Templates!$A$3:$A$10,0)),""))</f>
        <v/>
      </c>
      <c r="Y309" s="24">
        <f>IF(OR($U309="",$I309="",$J309="",$X309=""),"",$I309+$X309*($J309-$I309))</f>
        <v/>
      </c>
    </row>
    <row r="310">
      <c r="A310" s="15" t="inlineStr">
        <is>
          <t>Legolas_1</t>
        </is>
      </c>
      <c r="B310" s="16" t="inlineStr">
        <is>
          <t>SkyKnight Capital</t>
        </is>
      </c>
      <c r="C310" s="15" t="inlineStr">
        <is>
          <t>SkyKnight Capital</t>
        </is>
      </c>
      <c r="D310" s="15" t="inlineStr"/>
      <c r="E310" s="15" t="inlineStr">
        <is>
          <t>No</t>
        </is>
      </c>
      <c r="F310" s="15" t="inlineStr">
        <is>
          <t>Closed</t>
        </is>
      </c>
      <c r="G310" s="15" t="n"/>
      <c r="H310" s="17" t="n">
        <v>0</v>
      </c>
      <c r="I310" s="18" t="n"/>
      <c r="J310" s="18" t="n"/>
      <c r="K310" s="15" t="n"/>
      <c r="L310" s="15" t="n"/>
      <c r="M310" s="15" t="n"/>
      <c r="N310" s="15" t="n"/>
      <c r="O310" s="15" t="n"/>
      <c r="P310" s="15" t="n"/>
      <c r="Q310" s="19">
        <f>IF($A310="","",COUNTIFS(Assignments!$C$2:$C$769,$A310,Assignments!$G$2:$G$769,"Active"))</f>
        <v/>
      </c>
      <c r="R310" s="20">
        <f>IF($A310="","",SUMIFS(Assignments!$I$2:$I$769,Assignments!$C$2:$C$769,$A310,Assignments!$G$2:$G$769,"Active"))</f>
        <v/>
      </c>
      <c r="S310" s="16" t="inlineStr">
        <is>
          <t>Summary tab only (WIP)</t>
        </is>
      </c>
      <c r="T310" s="27" t="n"/>
      <c r="U310" s="15" t="n"/>
      <c r="V310" s="22">
        <f>IF($U310="","",IFERROR(INDEX(Templates!$K$3:$K$10,MATCH($U310,Templates!$A$3:$A$10,0)),""))</f>
        <v/>
      </c>
      <c r="W310" s="22">
        <f>IF($U310="","",IFERROR(INDEX(Templates!$L$3:$L$10,MATCH($U310,Templates!$A$3:$A$10,0)),""))</f>
        <v/>
      </c>
      <c r="X310" s="23">
        <f>IF($U310="","",IFERROR(INDEX(Templates!$J$3:$J$10,MATCH($U310,Templates!$A$3:$A$10,0)),""))</f>
        <v/>
      </c>
      <c r="Y310" s="24">
        <f>IF(OR($U310="",$I310="",$J310="",$X310=""),"",$I310+$X310*($J310-$I310))</f>
        <v/>
      </c>
    </row>
    <row r="311">
      <c r="A311" s="15" t="inlineStr">
        <is>
          <t>Wheelhouse_2</t>
        </is>
      </c>
      <c r="B311" s="16" t="inlineStr">
        <is>
          <t>Royal Bank of Canada</t>
        </is>
      </c>
      <c r="C311" s="15" t="inlineStr">
        <is>
          <t>Royal Bank of Canada</t>
        </is>
      </c>
      <c r="D311" s="15" t="inlineStr"/>
      <c r="E311" s="15" t="inlineStr">
        <is>
          <t>No</t>
        </is>
      </c>
      <c r="F311" s="15" t="inlineStr">
        <is>
          <t>Closed</t>
        </is>
      </c>
      <c r="G311" s="15" t="n"/>
      <c r="H311" s="17" t="n">
        <v>0</v>
      </c>
      <c r="I311" s="18" t="n"/>
      <c r="J311" s="18" t="n"/>
      <c r="K311" s="15" t="n"/>
      <c r="L311" s="15" t="n"/>
      <c r="M311" s="15" t="n"/>
      <c r="N311" s="15" t="n"/>
      <c r="O311" s="15" t="n"/>
      <c r="P311" s="15" t="n"/>
      <c r="Q311" s="19">
        <f>IF($A311="","",COUNTIFS(Assignments!$C$2:$C$769,$A311,Assignments!$G$2:$G$769,"Active"))</f>
        <v/>
      </c>
      <c r="R311" s="20">
        <f>IF($A311="","",SUMIFS(Assignments!$I$2:$I$769,Assignments!$C$2:$C$769,$A311,Assignments!$G$2:$G$769,"Active"))</f>
        <v/>
      </c>
      <c r="S311" s="16" t="inlineStr">
        <is>
          <t>Closed</t>
        </is>
      </c>
      <c r="T311" s="27" t="n"/>
      <c r="U311" s="15" t="n"/>
      <c r="V311" s="22">
        <f>IF($U311="","",IFERROR(INDEX(Templates!$K$3:$K$10,MATCH($U311,Templates!$A$3:$A$10,0)),""))</f>
        <v/>
      </c>
      <c r="W311" s="22">
        <f>IF($U311="","",IFERROR(INDEX(Templates!$L$3:$L$10,MATCH($U311,Templates!$A$3:$A$10,0)),""))</f>
        <v/>
      </c>
      <c r="X311" s="23">
        <f>IF($U311="","",IFERROR(INDEX(Templates!$J$3:$J$10,MATCH($U311,Templates!$A$3:$A$10,0)),""))</f>
        <v/>
      </c>
      <c r="Y311" s="24">
        <f>IF(OR($U311="",$I311="",$J311="",$X311=""),"",$I311+$X311*($J311-$I311))</f>
        <v/>
      </c>
    </row>
    <row r="312">
      <c r="A312" s="15" t="inlineStr">
        <is>
          <t>Beacon_3</t>
        </is>
      </c>
      <c r="B312" s="16" t="inlineStr">
        <is>
          <t>Tidewater Holdings, Inc</t>
        </is>
      </c>
      <c r="C312" s="15" t="inlineStr">
        <is>
          <t>Tidewater Holdings, Inc</t>
        </is>
      </c>
      <c r="D312" s="15" t="inlineStr"/>
      <c r="E312" s="15" t="inlineStr">
        <is>
          <t>No</t>
        </is>
      </c>
      <c r="F312" s="15" t="inlineStr">
        <is>
          <t>Dead</t>
        </is>
      </c>
      <c r="G312" s="15" t="n"/>
      <c r="H312" s="17" t="n">
        <v>0</v>
      </c>
      <c r="I312" s="18" t="n"/>
      <c r="J312" s="18" t="n"/>
      <c r="K312" s="15" t="n"/>
      <c r="L312" s="15" t="n"/>
      <c r="M312" s="15" t="n"/>
      <c r="N312" s="15" t="n"/>
      <c r="O312" s="15" t="n"/>
      <c r="P312" s="15" t="n"/>
      <c r="Q312" s="19">
        <f>IF($A312="","",COUNTIFS(Assignments!$C$2:$C$769,$A312,Assignments!$G$2:$G$769,"Active"))</f>
        <v/>
      </c>
      <c r="R312" s="20">
        <f>IF($A312="","",SUMIFS(Assignments!$I$2:$I$769,Assignments!$C$2:$C$769,$A312,Assignments!$G$2:$G$769,"Active"))</f>
        <v/>
      </c>
      <c r="S312" s="16" t="inlineStr">
        <is>
          <t>Dead</t>
        </is>
      </c>
      <c r="T312" s="27" t="n"/>
      <c r="U312" s="15" t="n"/>
      <c r="V312" s="22">
        <f>IF($U312="","",IFERROR(INDEX(Templates!$K$3:$K$10,MATCH($U312,Templates!$A$3:$A$10,0)),""))</f>
        <v/>
      </c>
      <c r="W312" s="22">
        <f>IF($U312="","",IFERROR(INDEX(Templates!$L$3:$L$10,MATCH($U312,Templates!$A$3:$A$10,0)),""))</f>
        <v/>
      </c>
      <c r="X312" s="23">
        <f>IF($U312="","",IFERROR(INDEX(Templates!$J$3:$J$10,MATCH($U312,Templates!$A$3:$A$10,0)),""))</f>
        <v/>
      </c>
      <c r="Y312" s="24">
        <f>IF(OR($U312="",$I312="",$J312="",$X312=""),"",$I312+$X312*($J312-$I312))</f>
        <v/>
      </c>
    </row>
    <row r="313">
      <c r="A313" s="15" t="inlineStr">
        <is>
          <t>Canyon_1</t>
        </is>
      </c>
      <c r="B313" s="16" t="inlineStr">
        <is>
          <t>ECP</t>
        </is>
      </c>
      <c r="C313" s="15" t="inlineStr">
        <is>
          <t>ECP</t>
        </is>
      </c>
      <c r="D313" s="15" t="inlineStr"/>
      <c r="E313" s="15" t="inlineStr">
        <is>
          <t>No</t>
        </is>
      </c>
      <c r="F313" s="15" t="inlineStr">
        <is>
          <t>Dead</t>
        </is>
      </c>
      <c r="G313" s="15" t="n"/>
      <c r="H313" s="17" t="n">
        <v>0</v>
      </c>
      <c r="I313" s="18" t="n"/>
      <c r="J313" s="18" t="n"/>
      <c r="K313" s="15" t="n"/>
      <c r="L313" s="15" t="n"/>
      <c r="M313" s="15" t="n"/>
      <c r="N313" s="15" t="n"/>
      <c r="O313" s="15" t="n"/>
      <c r="P313" s="15" t="n"/>
      <c r="Q313" s="19">
        <f>IF($A313="","",COUNTIFS(Assignments!$C$2:$C$769,$A313,Assignments!$G$2:$G$769,"Active"))</f>
        <v/>
      </c>
      <c r="R313" s="20">
        <f>IF($A313="","",SUMIFS(Assignments!$I$2:$I$769,Assignments!$C$2:$C$769,$A313,Assignments!$G$2:$G$769,"Active"))</f>
        <v/>
      </c>
      <c r="S313" s="16" t="inlineStr">
        <is>
          <t>Dead</t>
        </is>
      </c>
      <c r="T313" s="27" t="n"/>
      <c r="U313" s="15" t="n"/>
      <c r="V313" s="22">
        <f>IF($U313="","",IFERROR(INDEX(Templates!$K$3:$K$10,MATCH($U313,Templates!$A$3:$A$10,0)),""))</f>
        <v/>
      </c>
      <c r="W313" s="22">
        <f>IF($U313="","",IFERROR(INDEX(Templates!$L$3:$L$10,MATCH($U313,Templates!$A$3:$A$10,0)),""))</f>
        <v/>
      </c>
      <c r="X313" s="23">
        <f>IF($U313="","",IFERROR(INDEX(Templates!$J$3:$J$10,MATCH($U313,Templates!$A$3:$A$10,0)),""))</f>
        <v/>
      </c>
      <c r="Y313" s="24">
        <f>IF(OR($U313="",$I313="",$J313="",$X313=""),"",$I313+$X313*($J313-$I313))</f>
        <v/>
      </c>
    </row>
    <row r="314">
      <c r="A314" s="15" t="inlineStr">
        <is>
          <t>Steam_3</t>
        </is>
      </c>
      <c r="B314" s="16" t="inlineStr">
        <is>
          <t>John Hancock</t>
        </is>
      </c>
      <c r="C314" s="15" t="inlineStr">
        <is>
          <t>John Hancock</t>
        </is>
      </c>
      <c r="D314" s="15" t="inlineStr"/>
      <c r="E314" s="15" t="inlineStr">
        <is>
          <t>No</t>
        </is>
      </c>
      <c r="F314" s="15" t="inlineStr">
        <is>
          <t>Dead</t>
        </is>
      </c>
      <c r="G314" s="15" t="n"/>
      <c r="H314" s="17" t="n">
        <v>0</v>
      </c>
      <c r="I314" s="18" t="n"/>
      <c r="J314" s="18" t="n"/>
      <c r="K314" s="15" t="n"/>
      <c r="L314" s="15" t="n"/>
      <c r="M314" s="15" t="n"/>
      <c r="N314" s="15" t="n"/>
      <c r="O314" s="15" t="n"/>
      <c r="P314" s="15" t="n"/>
      <c r="Q314" s="19">
        <f>IF($A314="","",COUNTIFS(Assignments!$C$2:$C$769,$A314,Assignments!$G$2:$G$769,"Active"))</f>
        <v/>
      </c>
      <c r="R314" s="20">
        <f>IF($A314="","",SUMIFS(Assignments!$I$2:$I$769,Assignments!$C$2:$C$769,$A314,Assignments!$G$2:$G$769,"Active"))</f>
        <v/>
      </c>
      <c r="S314" s="16" t="inlineStr">
        <is>
          <t>Dead</t>
        </is>
      </c>
      <c r="T314" s="27" t="n"/>
      <c r="U314" s="15" t="n"/>
      <c r="V314" s="22">
        <f>IF($U314="","",IFERROR(INDEX(Templates!$K$3:$K$10,MATCH($U314,Templates!$A$3:$A$10,0)),""))</f>
        <v/>
      </c>
      <c r="W314" s="22">
        <f>IF($U314="","",IFERROR(INDEX(Templates!$L$3:$L$10,MATCH($U314,Templates!$A$3:$A$10,0)),""))</f>
        <v/>
      </c>
      <c r="X314" s="23">
        <f>IF($U314="","",IFERROR(INDEX(Templates!$J$3:$J$10,MATCH($U314,Templates!$A$3:$A$10,0)),""))</f>
        <v/>
      </c>
      <c r="Y314" s="24">
        <f>IF(OR($U314="",$I314="",$J314="",$X314=""),"",$I314+$X314*($J314-$I314))</f>
        <v/>
      </c>
    </row>
    <row r="315">
      <c r="A315" s="15" t="inlineStr">
        <is>
          <t>ProEnergy_3</t>
        </is>
      </c>
      <c r="B315" s="16" t="inlineStr">
        <is>
          <t>ECP : ProEnergy</t>
        </is>
      </c>
      <c r="C315" s="15" t="inlineStr">
        <is>
          <t>ECP</t>
        </is>
      </c>
      <c r="D315" s="15" t="inlineStr">
        <is>
          <t>ProEnergy</t>
        </is>
      </c>
      <c r="E315" s="15" t="inlineStr">
        <is>
          <t>No</t>
        </is>
      </c>
      <c r="F315" s="15" t="inlineStr">
        <is>
          <t>Internal</t>
        </is>
      </c>
      <c r="G315" s="15" t="n"/>
      <c r="H315" s="17" t="n">
        <v>0</v>
      </c>
      <c r="I315" s="18" t="n"/>
      <c r="J315" s="18" t="n"/>
      <c r="K315" s="15" t="n"/>
      <c r="L315" s="15" t="n"/>
      <c r="M315" s="15" t="n"/>
      <c r="N315" s="15" t="n"/>
      <c r="O315" s="15" t="n"/>
      <c r="P315" s="15" t="n"/>
      <c r="Q315" s="19">
        <f>IF($A315="","",COUNTIFS(Assignments!$C$2:$C$769,$A315,Assignments!$G$2:$G$769,"Active"))</f>
        <v/>
      </c>
      <c r="R315" s="20">
        <f>IF($A315="","",SUMIFS(Assignments!$I$2:$I$769,Assignments!$C$2:$C$769,$A315,Assignments!$G$2:$G$769,"Active"))</f>
        <v/>
      </c>
      <c r="S315" s="16" t="inlineStr">
        <is>
          <t>General Code</t>
        </is>
      </c>
      <c r="T315" s="27" t="n"/>
      <c r="U315" s="15" t="n"/>
      <c r="V315" s="22">
        <f>IF($U315="","",IFERROR(INDEX(Templates!$K$3:$K$10,MATCH($U315,Templates!$A$3:$A$10,0)),""))</f>
        <v/>
      </c>
      <c r="W315" s="22">
        <f>IF($U315="","",IFERROR(INDEX(Templates!$L$3:$L$10,MATCH($U315,Templates!$A$3:$A$10,0)),""))</f>
        <v/>
      </c>
      <c r="X315" s="23">
        <f>IF($U315="","",IFERROR(INDEX(Templates!$J$3:$J$10,MATCH($U315,Templates!$A$3:$A$10,0)),""))</f>
        <v/>
      </c>
      <c r="Y315" s="24">
        <f>IF(OR($U315="",$I315="",$J315="",$X315=""),"",$I315+$X315*($J315-$I315))</f>
        <v/>
      </c>
    </row>
    <row r="316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19">
        <f>IF($A316="","",COUNTIFS(Assignments!$C$2:$C$769,$A316,Assignments!$G$2:$G$769,"Active"))</f>
        <v/>
      </c>
      <c r="R316" s="20">
        <f>IF($A316="","",SUMIFS(Assignments!$I$2:$I$769,Assignments!$C$2:$C$769,$A316,Assignments!$G$2:$G$769,"Active"))</f>
        <v/>
      </c>
      <c r="S316" s="27" t="n"/>
      <c r="T316" s="27" t="n"/>
      <c r="U316" s="27" t="n"/>
      <c r="V316" s="22">
        <f>IF($U316="","",IFERROR(INDEX(Templates!$K$3:$K$10,MATCH($U316,Templates!$A$3:$A$10,0)),""))</f>
        <v/>
      </c>
      <c r="W316" s="22">
        <f>IF($U316="","",IFERROR(INDEX(Templates!$L$3:$L$10,MATCH($U316,Templates!$A$3:$A$10,0)),""))</f>
        <v/>
      </c>
      <c r="X316" s="23">
        <f>IF($U316="","",IFERROR(INDEX(Templates!$J$3:$J$10,MATCH($U316,Templates!$A$3:$A$10,0)),""))</f>
        <v/>
      </c>
      <c r="Y316" s="24">
        <f>IF(OR($U316="",$I316="",$J316="",$X316=""),"",$I316+$X316*($J316-$I316))</f>
        <v/>
      </c>
    </row>
    <row r="317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19">
        <f>IF($A317="","",COUNTIFS(Assignments!$C$2:$C$769,$A317,Assignments!$G$2:$G$769,"Active"))</f>
        <v/>
      </c>
      <c r="R317" s="20">
        <f>IF($A317="","",SUMIFS(Assignments!$I$2:$I$769,Assignments!$C$2:$C$769,$A317,Assignments!$G$2:$G$769,"Active"))</f>
        <v/>
      </c>
      <c r="S317" s="27" t="n"/>
      <c r="T317" s="27" t="n"/>
      <c r="U317" s="27" t="n"/>
      <c r="V317" s="22">
        <f>IF($U317="","",IFERROR(INDEX(Templates!$K$3:$K$10,MATCH($U317,Templates!$A$3:$A$10,0)),""))</f>
        <v/>
      </c>
      <c r="W317" s="22">
        <f>IF($U317="","",IFERROR(INDEX(Templates!$L$3:$L$10,MATCH($U317,Templates!$A$3:$A$10,0)),""))</f>
        <v/>
      </c>
      <c r="X317" s="23">
        <f>IF($U317="","",IFERROR(INDEX(Templates!$J$3:$J$10,MATCH($U317,Templates!$A$3:$A$10,0)),""))</f>
        <v/>
      </c>
      <c r="Y317" s="24">
        <f>IF(OR($U317="",$I317="",$J317="",$X317=""),"",$I317+$X317*($J317-$I317))</f>
        <v/>
      </c>
    </row>
    <row r="318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19">
        <f>IF($A318="","",COUNTIFS(Assignments!$C$2:$C$769,$A318,Assignments!$G$2:$G$769,"Active"))</f>
        <v/>
      </c>
      <c r="R318" s="20">
        <f>IF($A318="","",SUMIFS(Assignments!$I$2:$I$769,Assignments!$C$2:$C$769,$A318,Assignments!$G$2:$G$769,"Active"))</f>
        <v/>
      </c>
      <c r="S318" s="27" t="n"/>
      <c r="T318" s="27" t="n"/>
      <c r="U318" s="27" t="n"/>
      <c r="V318" s="22">
        <f>IF($U318="","",IFERROR(INDEX(Templates!$K$3:$K$10,MATCH($U318,Templates!$A$3:$A$10,0)),""))</f>
        <v/>
      </c>
      <c r="W318" s="22">
        <f>IF($U318="","",IFERROR(INDEX(Templates!$L$3:$L$10,MATCH($U318,Templates!$A$3:$A$10,0)),""))</f>
        <v/>
      </c>
      <c r="X318" s="23">
        <f>IF($U318="","",IFERROR(INDEX(Templates!$J$3:$J$10,MATCH($U318,Templates!$A$3:$A$10,0)),""))</f>
        <v/>
      </c>
      <c r="Y318" s="24">
        <f>IF(OR($U318="",$I318="",$J318="",$X318=""),"",$I318+$X318*($J318-$I318))</f>
        <v/>
      </c>
    </row>
    <row r="319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19">
        <f>IF($A319="","",COUNTIFS(Assignments!$C$2:$C$769,$A319,Assignments!$G$2:$G$769,"Active"))</f>
        <v/>
      </c>
      <c r="R319" s="20">
        <f>IF($A319="","",SUMIFS(Assignments!$I$2:$I$769,Assignments!$C$2:$C$769,$A319,Assignments!$G$2:$G$769,"Active"))</f>
        <v/>
      </c>
      <c r="S319" s="27" t="n"/>
      <c r="T319" s="27" t="n"/>
      <c r="U319" s="27" t="n"/>
      <c r="V319" s="22">
        <f>IF($U319="","",IFERROR(INDEX(Templates!$K$3:$K$10,MATCH($U319,Templates!$A$3:$A$10,0)),""))</f>
        <v/>
      </c>
      <c r="W319" s="22">
        <f>IF($U319="","",IFERROR(INDEX(Templates!$L$3:$L$10,MATCH($U319,Templates!$A$3:$A$10,0)),""))</f>
        <v/>
      </c>
      <c r="X319" s="23">
        <f>IF($U319="","",IFERROR(INDEX(Templates!$J$3:$J$10,MATCH($U319,Templates!$A$3:$A$10,0)),""))</f>
        <v/>
      </c>
      <c r="Y319" s="24">
        <f>IF(OR($U319="",$I319="",$J319="",$X319=""),"",$I319+$X319*($J319-$I319))</f>
        <v/>
      </c>
    </row>
    <row r="320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19">
        <f>IF($A320="","",COUNTIFS(Assignments!$C$2:$C$769,$A320,Assignments!$G$2:$G$769,"Active"))</f>
        <v/>
      </c>
      <c r="R320" s="20">
        <f>IF($A320="","",SUMIFS(Assignments!$I$2:$I$769,Assignments!$C$2:$C$769,$A320,Assignments!$G$2:$G$769,"Active"))</f>
        <v/>
      </c>
      <c r="S320" s="27" t="n"/>
      <c r="T320" s="27" t="n"/>
      <c r="U320" s="27" t="n"/>
      <c r="V320" s="22">
        <f>IF($U320="","",IFERROR(INDEX(Templates!$K$3:$K$10,MATCH($U320,Templates!$A$3:$A$10,0)),""))</f>
        <v/>
      </c>
      <c r="W320" s="22">
        <f>IF($U320="","",IFERROR(INDEX(Templates!$L$3:$L$10,MATCH($U320,Templates!$A$3:$A$10,0)),""))</f>
        <v/>
      </c>
      <c r="X320" s="23">
        <f>IF($U320="","",IFERROR(INDEX(Templates!$J$3:$J$10,MATCH($U320,Templates!$A$3:$A$10,0)),""))</f>
        <v/>
      </c>
      <c r="Y320" s="24">
        <f>IF(OR($U320="",$I320="",$J320="",$X320=""),"",$I320+$X320*($J320-$I320))</f>
        <v/>
      </c>
    </row>
    <row r="321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19">
        <f>IF($A321="","",COUNTIFS(Assignments!$C$2:$C$769,$A321,Assignments!$G$2:$G$769,"Active"))</f>
        <v/>
      </c>
      <c r="R321" s="20">
        <f>IF($A321="","",SUMIFS(Assignments!$I$2:$I$769,Assignments!$C$2:$C$769,$A321,Assignments!$G$2:$G$769,"Active"))</f>
        <v/>
      </c>
      <c r="S321" s="27" t="n"/>
      <c r="T321" s="27" t="n"/>
      <c r="U321" s="27" t="n"/>
      <c r="V321" s="22">
        <f>IF($U321="","",IFERROR(INDEX(Templates!$K$3:$K$10,MATCH($U321,Templates!$A$3:$A$10,0)),""))</f>
        <v/>
      </c>
      <c r="W321" s="22">
        <f>IF($U321="","",IFERROR(INDEX(Templates!$L$3:$L$10,MATCH($U321,Templates!$A$3:$A$10,0)),""))</f>
        <v/>
      </c>
      <c r="X321" s="23">
        <f>IF($U321="","",IFERROR(INDEX(Templates!$J$3:$J$10,MATCH($U321,Templates!$A$3:$A$10,0)),""))</f>
        <v/>
      </c>
      <c r="Y321" s="24">
        <f>IF(OR($U321="",$I321="",$J321="",$X321=""),"",$I321+$X321*($J321-$I321))</f>
        <v/>
      </c>
    </row>
    <row r="322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19">
        <f>IF($A322="","",COUNTIFS(Assignments!$C$2:$C$769,$A322,Assignments!$G$2:$G$769,"Active"))</f>
        <v/>
      </c>
      <c r="R322" s="20">
        <f>IF($A322="","",SUMIFS(Assignments!$I$2:$I$769,Assignments!$C$2:$C$769,$A322,Assignments!$G$2:$G$769,"Active"))</f>
        <v/>
      </c>
      <c r="S322" s="27" t="n"/>
      <c r="T322" s="27" t="n"/>
      <c r="U322" s="27" t="n"/>
      <c r="V322" s="22">
        <f>IF($U322="","",IFERROR(INDEX(Templates!$K$3:$K$10,MATCH($U322,Templates!$A$3:$A$10,0)),""))</f>
        <v/>
      </c>
      <c r="W322" s="22">
        <f>IF($U322="","",IFERROR(INDEX(Templates!$L$3:$L$10,MATCH($U322,Templates!$A$3:$A$10,0)),""))</f>
        <v/>
      </c>
      <c r="X322" s="23">
        <f>IF($U322="","",IFERROR(INDEX(Templates!$J$3:$J$10,MATCH($U322,Templates!$A$3:$A$10,0)),""))</f>
        <v/>
      </c>
      <c r="Y322" s="24">
        <f>IF(OR($U322="",$I322="",$J322="",$X322=""),"",$I322+$X322*($J322-$I322))</f>
        <v/>
      </c>
    </row>
    <row r="32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19">
        <f>IF($A323="","",COUNTIFS(Assignments!$C$2:$C$769,$A323,Assignments!$G$2:$G$769,"Active"))</f>
        <v/>
      </c>
      <c r="R323" s="20">
        <f>IF($A323="","",SUMIFS(Assignments!$I$2:$I$769,Assignments!$C$2:$C$769,$A323,Assignments!$G$2:$G$769,"Active"))</f>
        <v/>
      </c>
      <c r="S323" s="27" t="n"/>
      <c r="T323" s="27" t="n"/>
      <c r="U323" s="27" t="n"/>
      <c r="V323" s="22">
        <f>IF($U323="","",IFERROR(INDEX(Templates!$K$3:$K$10,MATCH($U323,Templates!$A$3:$A$10,0)),""))</f>
        <v/>
      </c>
      <c r="W323" s="22">
        <f>IF($U323="","",IFERROR(INDEX(Templates!$L$3:$L$10,MATCH($U323,Templates!$A$3:$A$10,0)),""))</f>
        <v/>
      </c>
      <c r="X323" s="23">
        <f>IF($U323="","",IFERROR(INDEX(Templates!$J$3:$J$10,MATCH($U323,Templates!$A$3:$A$10,0)),""))</f>
        <v/>
      </c>
      <c r="Y323" s="24">
        <f>IF(OR($U323="",$I323="",$J323="",$X323=""),"",$I323+$X323*($J323-$I323))</f>
        <v/>
      </c>
    </row>
    <row r="324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19">
        <f>IF($A324="","",COUNTIFS(Assignments!$C$2:$C$769,$A324,Assignments!$G$2:$G$769,"Active"))</f>
        <v/>
      </c>
      <c r="R324" s="20">
        <f>IF($A324="","",SUMIFS(Assignments!$I$2:$I$769,Assignments!$C$2:$C$769,$A324,Assignments!$G$2:$G$769,"Active"))</f>
        <v/>
      </c>
      <c r="S324" s="27" t="n"/>
      <c r="T324" s="27" t="n"/>
      <c r="U324" s="27" t="n"/>
      <c r="V324" s="22">
        <f>IF($U324="","",IFERROR(INDEX(Templates!$K$3:$K$10,MATCH($U324,Templates!$A$3:$A$10,0)),""))</f>
        <v/>
      </c>
      <c r="W324" s="22">
        <f>IF($U324="","",IFERROR(INDEX(Templates!$L$3:$L$10,MATCH($U324,Templates!$A$3:$A$10,0)),""))</f>
        <v/>
      </c>
      <c r="X324" s="23">
        <f>IF($U324="","",IFERROR(INDEX(Templates!$J$3:$J$10,MATCH($U324,Templates!$A$3:$A$10,0)),""))</f>
        <v/>
      </c>
      <c r="Y324" s="24">
        <f>IF(OR($U324="",$I324="",$J324="",$X324=""),"",$I324+$X324*($J324-$I324))</f>
        <v/>
      </c>
    </row>
    <row r="325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19">
        <f>IF($A325="","",COUNTIFS(Assignments!$C$2:$C$769,$A325,Assignments!$G$2:$G$769,"Active"))</f>
        <v/>
      </c>
      <c r="R325" s="20">
        <f>IF($A325="","",SUMIFS(Assignments!$I$2:$I$769,Assignments!$C$2:$C$769,$A325,Assignments!$G$2:$G$769,"Active"))</f>
        <v/>
      </c>
      <c r="S325" s="27" t="n"/>
      <c r="T325" s="27" t="n"/>
      <c r="U325" s="27" t="n"/>
      <c r="V325" s="22">
        <f>IF($U325="","",IFERROR(INDEX(Templates!$K$3:$K$10,MATCH($U325,Templates!$A$3:$A$10,0)),""))</f>
        <v/>
      </c>
      <c r="W325" s="22">
        <f>IF($U325="","",IFERROR(INDEX(Templates!$L$3:$L$10,MATCH($U325,Templates!$A$3:$A$10,0)),""))</f>
        <v/>
      </c>
      <c r="X325" s="23">
        <f>IF($U325="","",IFERROR(INDEX(Templates!$J$3:$J$10,MATCH($U325,Templates!$A$3:$A$10,0)),""))</f>
        <v/>
      </c>
      <c r="Y325" s="24">
        <f>IF(OR($U325="",$I325="",$J325="",$X325=""),"",$I325+$X325*($J325-$I325))</f>
        <v/>
      </c>
    </row>
    <row r="326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19">
        <f>IF($A326="","",COUNTIFS(Assignments!$C$2:$C$769,$A326,Assignments!$G$2:$G$769,"Active"))</f>
        <v/>
      </c>
      <c r="R326" s="20">
        <f>IF($A326="","",SUMIFS(Assignments!$I$2:$I$769,Assignments!$C$2:$C$769,$A326,Assignments!$G$2:$G$769,"Active"))</f>
        <v/>
      </c>
      <c r="S326" s="27" t="n"/>
      <c r="T326" s="27" t="n"/>
      <c r="U326" s="27" t="n"/>
      <c r="V326" s="22">
        <f>IF($U326="","",IFERROR(INDEX(Templates!$K$3:$K$10,MATCH($U326,Templates!$A$3:$A$10,0)),""))</f>
        <v/>
      </c>
      <c r="W326" s="22">
        <f>IF($U326="","",IFERROR(INDEX(Templates!$L$3:$L$10,MATCH($U326,Templates!$A$3:$A$10,0)),""))</f>
        <v/>
      </c>
      <c r="X326" s="23">
        <f>IF($U326="","",IFERROR(INDEX(Templates!$J$3:$J$10,MATCH($U326,Templates!$A$3:$A$10,0)),""))</f>
        <v/>
      </c>
      <c r="Y326" s="24">
        <f>IF(OR($U326="",$I326="",$J326="",$X326=""),"",$I326+$X326*($J326-$I326))</f>
        <v/>
      </c>
    </row>
    <row r="327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19">
        <f>IF($A327="","",COUNTIFS(Assignments!$C$2:$C$769,$A327,Assignments!$G$2:$G$769,"Active"))</f>
        <v/>
      </c>
      <c r="R327" s="20">
        <f>IF($A327="","",SUMIFS(Assignments!$I$2:$I$769,Assignments!$C$2:$C$769,$A327,Assignments!$G$2:$G$769,"Active"))</f>
        <v/>
      </c>
      <c r="S327" s="27" t="n"/>
      <c r="T327" s="27" t="n"/>
      <c r="U327" s="27" t="n"/>
      <c r="V327" s="22">
        <f>IF($U327="","",IFERROR(INDEX(Templates!$K$3:$K$10,MATCH($U327,Templates!$A$3:$A$10,0)),""))</f>
        <v/>
      </c>
      <c r="W327" s="22">
        <f>IF($U327="","",IFERROR(INDEX(Templates!$L$3:$L$10,MATCH($U327,Templates!$A$3:$A$10,0)),""))</f>
        <v/>
      </c>
      <c r="X327" s="23">
        <f>IF($U327="","",IFERROR(INDEX(Templates!$J$3:$J$10,MATCH($U327,Templates!$A$3:$A$10,0)),""))</f>
        <v/>
      </c>
      <c r="Y327" s="24">
        <f>IF(OR($U327="",$I327="",$J327="",$X327=""),"",$I327+$X327*($J327-$I327))</f>
        <v/>
      </c>
    </row>
    <row r="328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19">
        <f>IF($A328="","",COUNTIFS(Assignments!$C$2:$C$769,$A328,Assignments!$G$2:$G$769,"Active"))</f>
        <v/>
      </c>
      <c r="R328" s="20">
        <f>IF($A328="","",SUMIFS(Assignments!$I$2:$I$769,Assignments!$C$2:$C$769,$A328,Assignments!$G$2:$G$769,"Active"))</f>
        <v/>
      </c>
      <c r="S328" s="27" t="n"/>
      <c r="T328" s="27" t="n"/>
      <c r="U328" s="27" t="n"/>
      <c r="V328" s="22">
        <f>IF($U328="","",IFERROR(INDEX(Templates!$K$3:$K$10,MATCH($U328,Templates!$A$3:$A$10,0)),""))</f>
        <v/>
      </c>
      <c r="W328" s="22">
        <f>IF($U328="","",IFERROR(INDEX(Templates!$L$3:$L$10,MATCH($U328,Templates!$A$3:$A$10,0)),""))</f>
        <v/>
      </c>
      <c r="X328" s="23">
        <f>IF($U328="","",IFERROR(INDEX(Templates!$J$3:$J$10,MATCH($U328,Templates!$A$3:$A$10,0)),""))</f>
        <v/>
      </c>
      <c r="Y328" s="24">
        <f>IF(OR($U328="",$I328="",$J328="",$X328=""),"",$I328+$X328*($J328-$I328))</f>
        <v/>
      </c>
    </row>
    <row r="329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19">
        <f>IF($A329="","",COUNTIFS(Assignments!$C$2:$C$769,$A329,Assignments!$G$2:$G$769,"Active"))</f>
        <v/>
      </c>
      <c r="R329" s="20">
        <f>IF($A329="","",SUMIFS(Assignments!$I$2:$I$769,Assignments!$C$2:$C$769,$A329,Assignments!$G$2:$G$769,"Active"))</f>
        <v/>
      </c>
      <c r="S329" s="27" t="n"/>
      <c r="T329" s="27" t="n"/>
      <c r="U329" s="27" t="n"/>
      <c r="V329" s="22">
        <f>IF($U329="","",IFERROR(INDEX(Templates!$K$3:$K$10,MATCH($U329,Templates!$A$3:$A$10,0)),""))</f>
        <v/>
      </c>
      <c r="W329" s="22">
        <f>IF($U329="","",IFERROR(INDEX(Templates!$L$3:$L$10,MATCH($U329,Templates!$A$3:$A$10,0)),""))</f>
        <v/>
      </c>
      <c r="X329" s="23">
        <f>IF($U329="","",IFERROR(INDEX(Templates!$J$3:$J$10,MATCH($U329,Templates!$A$3:$A$10,0)),""))</f>
        <v/>
      </c>
      <c r="Y329" s="24">
        <f>IF(OR($U329="",$I329="",$J329="",$X329=""),"",$I329+$X329*($J329-$I329))</f>
        <v/>
      </c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19">
        <f>IF($A330="","",COUNTIFS(Assignments!$C$2:$C$769,$A330,Assignments!$G$2:$G$769,"Active"))</f>
        <v/>
      </c>
      <c r="R330" s="20">
        <f>IF($A330="","",SUMIFS(Assignments!$I$2:$I$769,Assignments!$C$2:$C$769,$A330,Assignments!$G$2:$G$769,"Active"))</f>
        <v/>
      </c>
      <c r="S330" s="27" t="n"/>
      <c r="T330" s="27" t="n"/>
      <c r="U330" s="27" t="n"/>
      <c r="V330" s="22">
        <f>IF($U330="","",IFERROR(INDEX(Templates!$K$3:$K$10,MATCH($U330,Templates!$A$3:$A$10,0)),""))</f>
        <v/>
      </c>
      <c r="W330" s="22">
        <f>IF($U330="","",IFERROR(INDEX(Templates!$L$3:$L$10,MATCH($U330,Templates!$A$3:$A$10,0)),""))</f>
        <v/>
      </c>
      <c r="X330" s="23">
        <f>IF($U330="","",IFERROR(INDEX(Templates!$J$3:$J$10,MATCH($U330,Templates!$A$3:$A$10,0)),""))</f>
        <v/>
      </c>
      <c r="Y330" s="24">
        <f>IF(OR($U330="",$I330="",$J330="",$X330=""),"",$I330+$X330*($J330-$I330))</f>
        <v/>
      </c>
    </row>
    <row r="331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19">
        <f>IF($A331="","",COUNTIFS(Assignments!$C$2:$C$769,$A331,Assignments!$G$2:$G$769,"Active"))</f>
        <v/>
      </c>
      <c r="R331" s="20">
        <f>IF($A331="","",SUMIFS(Assignments!$I$2:$I$769,Assignments!$C$2:$C$769,$A331,Assignments!$G$2:$G$769,"Active"))</f>
        <v/>
      </c>
      <c r="S331" s="27" t="n"/>
      <c r="T331" s="27" t="n"/>
      <c r="U331" s="27" t="n"/>
      <c r="V331" s="22">
        <f>IF($U331="","",IFERROR(INDEX(Templates!$K$3:$K$10,MATCH($U331,Templates!$A$3:$A$10,0)),""))</f>
        <v/>
      </c>
      <c r="W331" s="22">
        <f>IF($U331="","",IFERROR(INDEX(Templates!$L$3:$L$10,MATCH($U331,Templates!$A$3:$A$10,0)),""))</f>
        <v/>
      </c>
      <c r="X331" s="23">
        <f>IF($U331="","",IFERROR(INDEX(Templates!$J$3:$J$10,MATCH($U331,Templates!$A$3:$A$10,0)),""))</f>
        <v/>
      </c>
      <c r="Y331" s="24">
        <f>IF(OR($U331="",$I331="",$J331="",$X331=""),"",$I331+$X331*($J331-$I331))</f>
        <v/>
      </c>
    </row>
    <row r="332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19">
        <f>IF($A332="","",COUNTIFS(Assignments!$C$2:$C$769,$A332,Assignments!$G$2:$G$769,"Active"))</f>
        <v/>
      </c>
      <c r="R332" s="20">
        <f>IF($A332="","",SUMIFS(Assignments!$I$2:$I$769,Assignments!$C$2:$C$769,$A332,Assignments!$G$2:$G$769,"Active"))</f>
        <v/>
      </c>
      <c r="S332" s="27" t="n"/>
      <c r="T332" s="27" t="n"/>
      <c r="U332" s="27" t="n"/>
      <c r="V332" s="22">
        <f>IF($U332="","",IFERROR(INDEX(Templates!$K$3:$K$10,MATCH($U332,Templates!$A$3:$A$10,0)),""))</f>
        <v/>
      </c>
      <c r="W332" s="22">
        <f>IF($U332="","",IFERROR(INDEX(Templates!$L$3:$L$10,MATCH($U332,Templates!$A$3:$A$10,0)),""))</f>
        <v/>
      </c>
      <c r="X332" s="23">
        <f>IF($U332="","",IFERROR(INDEX(Templates!$J$3:$J$10,MATCH($U332,Templates!$A$3:$A$10,0)),""))</f>
        <v/>
      </c>
      <c r="Y332" s="24">
        <f>IF(OR($U332="",$I332="",$J332="",$X332=""),"",$I332+$X332*($J332-$I332))</f>
        <v/>
      </c>
    </row>
    <row r="3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19">
        <f>IF($A333="","",COUNTIFS(Assignments!$C$2:$C$769,$A333,Assignments!$G$2:$G$769,"Active"))</f>
        <v/>
      </c>
      <c r="R333" s="20">
        <f>IF($A333="","",SUMIFS(Assignments!$I$2:$I$769,Assignments!$C$2:$C$769,$A333,Assignments!$G$2:$G$769,"Active"))</f>
        <v/>
      </c>
      <c r="S333" s="27" t="n"/>
      <c r="T333" s="27" t="n"/>
      <c r="U333" s="27" t="n"/>
      <c r="V333" s="22">
        <f>IF($U333="","",IFERROR(INDEX(Templates!$K$3:$K$10,MATCH($U333,Templates!$A$3:$A$10,0)),""))</f>
        <v/>
      </c>
      <c r="W333" s="22">
        <f>IF($U333="","",IFERROR(INDEX(Templates!$L$3:$L$10,MATCH($U333,Templates!$A$3:$A$10,0)),""))</f>
        <v/>
      </c>
      <c r="X333" s="23">
        <f>IF($U333="","",IFERROR(INDEX(Templates!$J$3:$J$10,MATCH($U333,Templates!$A$3:$A$10,0)),""))</f>
        <v/>
      </c>
      <c r="Y333" s="24">
        <f>IF(OR($U333="",$I333="",$J333="",$X333=""),"",$I333+$X333*($J333-$I333))</f>
        <v/>
      </c>
    </row>
    <row r="334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19">
        <f>IF($A334="","",COUNTIFS(Assignments!$C$2:$C$769,$A334,Assignments!$G$2:$G$769,"Active"))</f>
        <v/>
      </c>
      <c r="R334" s="20">
        <f>IF($A334="","",SUMIFS(Assignments!$I$2:$I$769,Assignments!$C$2:$C$769,$A334,Assignments!$G$2:$G$769,"Active"))</f>
        <v/>
      </c>
      <c r="S334" s="27" t="n"/>
      <c r="T334" s="27" t="n"/>
      <c r="U334" s="27" t="n"/>
      <c r="V334" s="22">
        <f>IF($U334="","",IFERROR(INDEX(Templates!$K$3:$K$10,MATCH($U334,Templates!$A$3:$A$10,0)),""))</f>
        <v/>
      </c>
      <c r="W334" s="22">
        <f>IF($U334="","",IFERROR(INDEX(Templates!$L$3:$L$10,MATCH($U334,Templates!$A$3:$A$10,0)),""))</f>
        <v/>
      </c>
      <c r="X334" s="23">
        <f>IF($U334="","",IFERROR(INDEX(Templates!$J$3:$J$10,MATCH($U334,Templates!$A$3:$A$10,0)),""))</f>
        <v/>
      </c>
      <c r="Y334" s="24">
        <f>IF(OR($U334="",$I334="",$J334="",$X334=""),"",$I334+$X334*($J334-$I334))</f>
        <v/>
      </c>
    </row>
    <row r="335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19">
        <f>IF($A335="","",COUNTIFS(Assignments!$C$2:$C$769,$A335,Assignments!$G$2:$G$769,"Active"))</f>
        <v/>
      </c>
      <c r="R335" s="20">
        <f>IF($A335="","",SUMIFS(Assignments!$I$2:$I$769,Assignments!$C$2:$C$769,$A335,Assignments!$G$2:$G$769,"Active"))</f>
        <v/>
      </c>
      <c r="S335" s="27" t="n"/>
      <c r="T335" s="27" t="n"/>
      <c r="U335" s="27" t="n"/>
      <c r="V335" s="22">
        <f>IF($U335="","",IFERROR(INDEX(Templates!$K$3:$K$10,MATCH($U335,Templates!$A$3:$A$10,0)),""))</f>
        <v/>
      </c>
      <c r="W335" s="22">
        <f>IF($U335="","",IFERROR(INDEX(Templates!$L$3:$L$10,MATCH($U335,Templates!$A$3:$A$10,0)),""))</f>
        <v/>
      </c>
      <c r="X335" s="23">
        <f>IF($U335="","",IFERROR(INDEX(Templates!$J$3:$J$10,MATCH($U335,Templates!$A$3:$A$10,0)),""))</f>
        <v/>
      </c>
      <c r="Y335" s="24">
        <f>IF(OR($U335="",$I335="",$J335="",$X335=""),"",$I335+$X335*($J335-$I335))</f>
        <v/>
      </c>
    </row>
    <row r="336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19">
        <f>IF($A336="","",COUNTIFS(Assignments!$C$2:$C$769,$A336,Assignments!$G$2:$G$769,"Active"))</f>
        <v/>
      </c>
      <c r="R336" s="20">
        <f>IF($A336="","",SUMIFS(Assignments!$I$2:$I$769,Assignments!$C$2:$C$769,$A336,Assignments!$G$2:$G$769,"Active"))</f>
        <v/>
      </c>
      <c r="S336" s="27" t="n"/>
      <c r="T336" s="27" t="n"/>
      <c r="U336" s="27" t="n"/>
      <c r="V336" s="22">
        <f>IF($U336="","",IFERROR(INDEX(Templates!$K$3:$K$10,MATCH($U336,Templates!$A$3:$A$10,0)),""))</f>
        <v/>
      </c>
      <c r="W336" s="22">
        <f>IF($U336="","",IFERROR(INDEX(Templates!$L$3:$L$10,MATCH($U336,Templates!$A$3:$A$10,0)),""))</f>
        <v/>
      </c>
      <c r="X336" s="23">
        <f>IF($U336="","",IFERROR(INDEX(Templates!$J$3:$J$10,MATCH($U336,Templates!$A$3:$A$10,0)),""))</f>
        <v/>
      </c>
      <c r="Y336" s="24">
        <f>IF(OR($U336="",$I336="",$J336="",$X336=""),"",$I336+$X336*($J336-$I336))</f>
        <v/>
      </c>
    </row>
    <row r="337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19">
        <f>IF($A337="","",COUNTIFS(Assignments!$C$2:$C$769,$A337,Assignments!$G$2:$G$769,"Active"))</f>
        <v/>
      </c>
      <c r="R337" s="20">
        <f>IF($A337="","",SUMIFS(Assignments!$I$2:$I$769,Assignments!$C$2:$C$769,$A337,Assignments!$G$2:$G$769,"Active"))</f>
        <v/>
      </c>
      <c r="S337" s="27" t="n"/>
      <c r="T337" s="27" t="n"/>
      <c r="U337" s="27" t="n"/>
      <c r="V337" s="22">
        <f>IF($U337="","",IFERROR(INDEX(Templates!$K$3:$K$10,MATCH($U337,Templates!$A$3:$A$10,0)),""))</f>
        <v/>
      </c>
      <c r="W337" s="22">
        <f>IF($U337="","",IFERROR(INDEX(Templates!$L$3:$L$10,MATCH($U337,Templates!$A$3:$A$10,0)),""))</f>
        <v/>
      </c>
      <c r="X337" s="23">
        <f>IF($U337="","",IFERROR(INDEX(Templates!$J$3:$J$10,MATCH($U337,Templates!$A$3:$A$10,0)),""))</f>
        <v/>
      </c>
      <c r="Y337" s="24">
        <f>IF(OR($U337="",$I337="",$J337="",$X337=""),"",$I337+$X337*($J337-$I337))</f>
        <v/>
      </c>
    </row>
    <row r="338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19">
        <f>IF($A338="","",COUNTIFS(Assignments!$C$2:$C$769,$A338,Assignments!$G$2:$G$769,"Active"))</f>
        <v/>
      </c>
      <c r="R338" s="20">
        <f>IF($A338="","",SUMIFS(Assignments!$I$2:$I$769,Assignments!$C$2:$C$769,$A338,Assignments!$G$2:$G$769,"Active"))</f>
        <v/>
      </c>
      <c r="S338" s="27" t="n"/>
      <c r="T338" s="27" t="n"/>
      <c r="U338" s="27" t="n"/>
      <c r="V338" s="22">
        <f>IF($U338="","",IFERROR(INDEX(Templates!$K$3:$K$10,MATCH($U338,Templates!$A$3:$A$10,0)),""))</f>
        <v/>
      </c>
      <c r="W338" s="22">
        <f>IF($U338="","",IFERROR(INDEX(Templates!$L$3:$L$10,MATCH($U338,Templates!$A$3:$A$10,0)),""))</f>
        <v/>
      </c>
      <c r="X338" s="23">
        <f>IF($U338="","",IFERROR(INDEX(Templates!$J$3:$J$10,MATCH($U338,Templates!$A$3:$A$10,0)),""))</f>
        <v/>
      </c>
      <c r="Y338" s="24">
        <f>IF(OR($U338="",$I338="",$J338="",$X338=""),"",$I338+$X338*($J338-$I338))</f>
        <v/>
      </c>
    </row>
    <row r="339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19">
        <f>IF($A339="","",COUNTIFS(Assignments!$C$2:$C$769,$A339,Assignments!$G$2:$G$769,"Active"))</f>
        <v/>
      </c>
      <c r="R339" s="20">
        <f>IF($A339="","",SUMIFS(Assignments!$I$2:$I$769,Assignments!$C$2:$C$769,$A339,Assignments!$G$2:$G$769,"Active"))</f>
        <v/>
      </c>
      <c r="S339" s="27" t="n"/>
      <c r="T339" s="27" t="n"/>
      <c r="U339" s="27" t="n"/>
      <c r="V339" s="22">
        <f>IF($U339="","",IFERROR(INDEX(Templates!$K$3:$K$10,MATCH($U339,Templates!$A$3:$A$10,0)),""))</f>
        <v/>
      </c>
      <c r="W339" s="22">
        <f>IF($U339="","",IFERROR(INDEX(Templates!$L$3:$L$10,MATCH($U339,Templates!$A$3:$A$10,0)),""))</f>
        <v/>
      </c>
      <c r="X339" s="23">
        <f>IF($U339="","",IFERROR(INDEX(Templates!$J$3:$J$10,MATCH($U339,Templates!$A$3:$A$10,0)),""))</f>
        <v/>
      </c>
      <c r="Y339" s="24">
        <f>IF(OR($U339="",$I339="",$J339="",$X339=""),"",$I339+$X339*($J339-$I339))</f>
        <v/>
      </c>
    </row>
    <row r="340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19">
        <f>IF($A340="","",COUNTIFS(Assignments!$C$2:$C$769,$A340,Assignments!$G$2:$G$769,"Active"))</f>
        <v/>
      </c>
      <c r="R340" s="20">
        <f>IF($A340="","",SUMIFS(Assignments!$I$2:$I$769,Assignments!$C$2:$C$769,$A340,Assignments!$G$2:$G$769,"Active"))</f>
        <v/>
      </c>
      <c r="S340" s="27" t="n"/>
      <c r="T340" s="27" t="n"/>
      <c r="U340" s="27" t="n"/>
      <c r="V340" s="22">
        <f>IF($U340="","",IFERROR(INDEX(Templates!$K$3:$K$10,MATCH($U340,Templates!$A$3:$A$10,0)),""))</f>
        <v/>
      </c>
      <c r="W340" s="22">
        <f>IF($U340="","",IFERROR(INDEX(Templates!$L$3:$L$10,MATCH($U340,Templates!$A$3:$A$10,0)),""))</f>
        <v/>
      </c>
      <c r="X340" s="23">
        <f>IF($U340="","",IFERROR(INDEX(Templates!$J$3:$J$10,MATCH($U340,Templates!$A$3:$A$10,0)),""))</f>
        <v/>
      </c>
      <c r="Y340" s="24">
        <f>IF(OR($U340="",$I340="",$J340="",$X340=""),"",$I340+$X340*($J340-$I340))</f>
        <v/>
      </c>
    </row>
    <row r="341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19">
        <f>IF($A341="","",COUNTIFS(Assignments!$C$2:$C$769,$A341,Assignments!$G$2:$G$769,"Active"))</f>
        <v/>
      </c>
      <c r="R341" s="20">
        <f>IF($A341="","",SUMIFS(Assignments!$I$2:$I$769,Assignments!$C$2:$C$769,$A341,Assignments!$G$2:$G$769,"Active"))</f>
        <v/>
      </c>
      <c r="S341" s="27" t="n"/>
      <c r="T341" s="27" t="n"/>
      <c r="U341" s="27" t="n"/>
      <c r="V341" s="22">
        <f>IF($U341="","",IFERROR(INDEX(Templates!$K$3:$K$10,MATCH($U341,Templates!$A$3:$A$10,0)),""))</f>
        <v/>
      </c>
      <c r="W341" s="22">
        <f>IF($U341="","",IFERROR(INDEX(Templates!$L$3:$L$10,MATCH($U341,Templates!$A$3:$A$10,0)),""))</f>
        <v/>
      </c>
      <c r="X341" s="23">
        <f>IF($U341="","",IFERROR(INDEX(Templates!$J$3:$J$10,MATCH($U341,Templates!$A$3:$A$10,0)),""))</f>
        <v/>
      </c>
      <c r="Y341" s="24">
        <f>IF(OR($U341="",$I341="",$J341="",$X341=""),"",$I341+$X341*($J341-$I341))</f>
        <v/>
      </c>
    </row>
    <row r="342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19">
        <f>IF($A342="","",COUNTIFS(Assignments!$C$2:$C$769,$A342,Assignments!$G$2:$G$769,"Active"))</f>
        <v/>
      </c>
      <c r="R342" s="20">
        <f>IF($A342="","",SUMIFS(Assignments!$I$2:$I$769,Assignments!$C$2:$C$769,$A342,Assignments!$G$2:$G$769,"Active"))</f>
        <v/>
      </c>
      <c r="S342" s="27" t="n"/>
      <c r="T342" s="27" t="n"/>
      <c r="U342" s="27" t="n"/>
      <c r="V342" s="22">
        <f>IF($U342="","",IFERROR(INDEX(Templates!$K$3:$K$10,MATCH($U342,Templates!$A$3:$A$10,0)),""))</f>
        <v/>
      </c>
      <c r="W342" s="22">
        <f>IF($U342="","",IFERROR(INDEX(Templates!$L$3:$L$10,MATCH($U342,Templates!$A$3:$A$10,0)),""))</f>
        <v/>
      </c>
      <c r="X342" s="23">
        <f>IF($U342="","",IFERROR(INDEX(Templates!$J$3:$J$10,MATCH($U342,Templates!$A$3:$A$10,0)),""))</f>
        <v/>
      </c>
      <c r="Y342" s="24">
        <f>IF(OR($U342="",$I342="",$J342="",$X342=""),"",$I342+$X342*($J342-$I342))</f>
        <v/>
      </c>
    </row>
    <row r="34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19">
        <f>IF($A343="","",COUNTIFS(Assignments!$C$2:$C$769,$A343,Assignments!$G$2:$G$769,"Active"))</f>
        <v/>
      </c>
      <c r="R343" s="20">
        <f>IF($A343="","",SUMIFS(Assignments!$I$2:$I$769,Assignments!$C$2:$C$769,$A343,Assignments!$G$2:$G$769,"Active"))</f>
        <v/>
      </c>
      <c r="S343" s="27" t="n"/>
      <c r="T343" s="27" t="n"/>
      <c r="U343" s="27" t="n"/>
      <c r="V343" s="22">
        <f>IF($U343="","",IFERROR(INDEX(Templates!$K$3:$K$10,MATCH($U343,Templates!$A$3:$A$10,0)),""))</f>
        <v/>
      </c>
      <c r="W343" s="22">
        <f>IF($U343="","",IFERROR(INDEX(Templates!$L$3:$L$10,MATCH($U343,Templates!$A$3:$A$10,0)),""))</f>
        <v/>
      </c>
      <c r="X343" s="23">
        <f>IF($U343="","",IFERROR(INDEX(Templates!$J$3:$J$10,MATCH($U343,Templates!$A$3:$A$10,0)),""))</f>
        <v/>
      </c>
      <c r="Y343" s="24">
        <f>IF(OR($U343="",$I343="",$J343="",$X343=""),"",$I343+$X343*($J343-$I343))</f>
        <v/>
      </c>
    </row>
    <row r="344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19">
        <f>IF($A344="","",COUNTIFS(Assignments!$C$2:$C$769,$A344,Assignments!$G$2:$G$769,"Active"))</f>
        <v/>
      </c>
      <c r="R344" s="20">
        <f>IF($A344="","",SUMIFS(Assignments!$I$2:$I$769,Assignments!$C$2:$C$769,$A344,Assignments!$G$2:$G$769,"Active"))</f>
        <v/>
      </c>
      <c r="S344" s="27" t="n"/>
      <c r="T344" s="27" t="n"/>
      <c r="U344" s="27" t="n"/>
      <c r="V344" s="22">
        <f>IF($U344="","",IFERROR(INDEX(Templates!$K$3:$K$10,MATCH($U344,Templates!$A$3:$A$10,0)),""))</f>
        <v/>
      </c>
      <c r="W344" s="22">
        <f>IF($U344="","",IFERROR(INDEX(Templates!$L$3:$L$10,MATCH($U344,Templates!$A$3:$A$10,0)),""))</f>
        <v/>
      </c>
      <c r="X344" s="23">
        <f>IF($U344="","",IFERROR(INDEX(Templates!$J$3:$J$10,MATCH($U344,Templates!$A$3:$A$10,0)),""))</f>
        <v/>
      </c>
      <c r="Y344" s="24">
        <f>IF(OR($U344="",$I344="",$J344="",$X344=""),"",$I344+$X344*($J344-$I344))</f>
        <v/>
      </c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19">
        <f>IF($A345="","",COUNTIFS(Assignments!$C$2:$C$769,$A345,Assignments!$G$2:$G$769,"Active"))</f>
        <v/>
      </c>
      <c r="R345" s="20">
        <f>IF($A345="","",SUMIFS(Assignments!$I$2:$I$769,Assignments!$C$2:$C$769,$A345,Assignments!$G$2:$G$769,"Active"))</f>
        <v/>
      </c>
      <c r="S345" s="27" t="n"/>
      <c r="T345" s="27" t="n"/>
      <c r="U345" s="27" t="n"/>
      <c r="V345" s="22">
        <f>IF($U345="","",IFERROR(INDEX(Templates!$K$3:$K$10,MATCH($U345,Templates!$A$3:$A$10,0)),""))</f>
        <v/>
      </c>
      <c r="W345" s="22">
        <f>IF($U345="","",IFERROR(INDEX(Templates!$L$3:$L$10,MATCH($U345,Templates!$A$3:$A$10,0)),""))</f>
        <v/>
      </c>
      <c r="X345" s="23">
        <f>IF($U345="","",IFERROR(INDEX(Templates!$J$3:$J$10,MATCH($U345,Templates!$A$3:$A$10,0)),""))</f>
        <v/>
      </c>
      <c r="Y345" s="24">
        <f>IF(OR($U345="",$I345="",$J345="",$X345=""),"",$I345+$X345*($J345-$I345))</f>
        <v/>
      </c>
    </row>
    <row r="346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19">
        <f>IF($A346="","",COUNTIFS(Assignments!$C$2:$C$769,$A346,Assignments!$G$2:$G$769,"Active"))</f>
        <v/>
      </c>
      <c r="R346" s="20">
        <f>IF($A346="","",SUMIFS(Assignments!$I$2:$I$769,Assignments!$C$2:$C$769,$A346,Assignments!$G$2:$G$769,"Active"))</f>
        <v/>
      </c>
      <c r="S346" s="27" t="n"/>
      <c r="T346" s="27" t="n"/>
      <c r="U346" s="27" t="n"/>
      <c r="V346" s="22">
        <f>IF($U346="","",IFERROR(INDEX(Templates!$K$3:$K$10,MATCH($U346,Templates!$A$3:$A$10,0)),""))</f>
        <v/>
      </c>
      <c r="W346" s="22">
        <f>IF($U346="","",IFERROR(INDEX(Templates!$L$3:$L$10,MATCH($U346,Templates!$A$3:$A$10,0)),""))</f>
        <v/>
      </c>
      <c r="X346" s="23">
        <f>IF($U346="","",IFERROR(INDEX(Templates!$J$3:$J$10,MATCH($U346,Templates!$A$3:$A$10,0)),""))</f>
        <v/>
      </c>
      <c r="Y346" s="24">
        <f>IF(OR($U346="",$I346="",$J346="",$X346=""),"",$I346+$X346*($J346-$I346))</f>
        <v/>
      </c>
    </row>
    <row r="347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19">
        <f>IF($A347="","",COUNTIFS(Assignments!$C$2:$C$769,$A347,Assignments!$G$2:$G$769,"Active"))</f>
        <v/>
      </c>
      <c r="R347" s="20">
        <f>IF($A347="","",SUMIFS(Assignments!$I$2:$I$769,Assignments!$C$2:$C$769,$A347,Assignments!$G$2:$G$769,"Active"))</f>
        <v/>
      </c>
      <c r="S347" s="27" t="n"/>
      <c r="T347" s="27" t="n"/>
      <c r="U347" s="27" t="n"/>
      <c r="V347" s="22">
        <f>IF($U347="","",IFERROR(INDEX(Templates!$K$3:$K$10,MATCH($U347,Templates!$A$3:$A$10,0)),""))</f>
        <v/>
      </c>
      <c r="W347" s="22">
        <f>IF($U347="","",IFERROR(INDEX(Templates!$L$3:$L$10,MATCH($U347,Templates!$A$3:$A$10,0)),""))</f>
        <v/>
      </c>
      <c r="X347" s="23">
        <f>IF($U347="","",IFERROR(INDEX(Templates!$J$3:$J$10,MATCH($U347,Templates!$A$3:$A$10,0)),""))</f>
        <v/>
      </c>
      <c r="Y347" s="24">
        <f>IF(OR($U347="",$I347="",$J347="",$X347=""),"",$I347+$X347*($J347-$I347))</f>
        <v/>
      </c>
    </row>
    <row r="348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19">
        <f>IF($A348="","",COUNTIFS(Assignments!$C$2:$C$769,$A348,Assignments!$G$2:$G$769,"Active"))</f>
        <v/>
      </c>
      <c r="R348" s="20">
        <f>IF($A348="","",SUMIFS(Assignments!$I$2:$I$769,Assignments!$C$2:$C$769,$A348,Assignments!$G$2:$G$769,"Active"))</f>
        <v/>
      </c>
      <c r="S348" s="27" t="n"/>
      <c r="T348" s="27" t="n"/>
      <c r="U348" s="27" t="n"/>
      <c r="V348" s="22">
        <f>IF($U348="","",IFERROR(INDEX(Templates!$K$3:$K$10,MATCH($U348,Templates!$A$3:$A$10,0)),""))</f>
        <v/>
      </c>
      <c r="W348" s="22">
        <f>IF($U348="","",IFERROR(INDEX(Templates!$L$3:$L$10,MATCH($U348,Templates!$A$3:$A$10,0)),""))</f>
        <v/>
      </c>
      <c r="X348" s="23">
        <f>IF($U348="","",IFERROR(INDEX(Templates!$J$3:$J$10,MATCH($U348,Templates!$A$3:$A$10,0)),""))</f>
        <v/>
      </c>
      <c r="Y348" s="24">
        <f>IF(OR($U348="",$I348="",$J348="",$X348=""),"",$I348+$X348*($J348-$I348))</f>
        <v/>
      </c>
    </row>
    <row r="349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19">
        <f>IF($A349="","",COUNTIFS(Assignments!$C$2:$C$769,$A349,Assignments!$G$2:$G$769,"Active"))</f>
        <v/>
      </c>
      <c r="R349" s="20">
        <f>IF($A349="","",SUMIFS(Assignments!$I$2:$I$769,Assignments!$C$2:$C$769,$A349,Assignments!$G$2:$G$769,"Active"))</f>
        <v/>
      </c>
      <c r="S349" s="27" t="n"/>
      <c r="T349" s="27" t="n"/>
      <c r="U349" s="27" t="n"/>
      <c r="V349" s="22">
        <f>IF($U349="","",IFERROR(INDEX(Templates!$K$3:$K$10,MATCH($U349,Templates!$A$3:$A$10,0)),""))</f>
        <v/>
      </c>
      <c r="W349" s="22">
        <f>IF($U349="","",IFERROR(INDEX(Templates!$L$3:$L$10,MATCH($U349,Templates!$A$3:$A$10,0)),""))</f>
        <v/>
      </c>
      <c r="X349" s="23">
        <f>IF($U349="","",IFERROR(INDEX(Templates!$J$3:$J$10,MATCH($U349,Templates!$A$3:$A$10,0)),""))</f>
        <v/>
      </c>
      <c r="Y349" s="24">
        <f>IF(OR($U349="",$I349="",$J349="",$X349=""),"",$I349+$X349*($J349-$I349))</f>
        <v/>
      </c>
    </row>
    <row r="350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19">
        <f>IF($A350="","",COUNTIFS(Assignments!$C$2:$C$769,$A350,Assignments!$G$2:$G$769,"Active"))</f>
        <v/>
      </c>
      <c r="R350" s="20">
        <f>IF($A350="","",SUMIFS(Assignments!$I$2:$I$769,Assignments!$C$2:$C$769,$A350,Assignments!$G$2:$G$769,"Active"))</f>
        <v/>
      </c>
      <c r="S350" s="27" t="n"/>
      <c r="T350" s="27" t="n"/>
      <c r="U350" s="27" t="n"/>
      <c r="V350" s="22">
        <f>IF($U350="","",IFERROR(INDEX(Templates!$K$3:$K$10,MATCH($U350,Templates!$A$3:$A$10,0)),""))</f>
        <v/>
      </c>
      <c r="W350" s="22">
        <f>IF($U350="","",IFERROR(INDEX(Templates!$L$3:$L$10,MATCH($U350,Templates!$A$3:$A$10,0)),""))</f>
        <v/>
      </c>
      <c r="X350" s="23">
        <f>IF($U350="","",IFERROR(INDEX(Templates!$J$3:$J$10,MATCH($U350,Templates!$A$3:$A$10,0)),""))</f>
        <v/>
      </c>
      <c r="Y350" s="24">
        <f>IF(OR($U350="",$I350="",$J350="",$X350=""),"",$I350+$X350*($J350-$I350))</f>
        <v/>
      </c>
    </row>
    <row r="351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19">
        <f>IF($A351="","",COUNTIFS(Assignments!$C$2:$C$769,$A351,Assignments!$G$2:$G$769,"Active"))</f>
        <v/>
      </c>
      <c r="R351" s="20">
        <f>IF($A351="","",SUMIFS(Assignments!$I$2:$I$769,Assignments!$C$2:$C$769,$A351,Assignments!$G$2:$G$769,"Active"))</f>
        <v/>
      </c>
      <c r="S351" s="27" t="n"/>
      <c r="T351" s="27" t="n"/>
      <c r="U351" s="27" t="n"/>
      <c r="V351" s="22">
        <f>IF($U351="","",IFERROR(INDEX(Templates!$K$3:$K$10,MATCH($U351,Templates!$A$3:$A$10,0)),""))</f>
        <v/>
      </c>
      <c r="W351" s="22">
        <f>IF($U351="","",IFERROR(INDEX(Templates!$L$3:$L$10,MATCH($U351,Templates!$A$3:$A$10,0)),""))</f>
        <v/>
      </c>
      <c r="X351" s="23">
        <f>IF($U351="","",IFERROR(INDEX(Templates!$J$3:$J$10,MATCH($U351,Templates!$A$3:$A$10,0)),""))</f>
        <v/>
      </c>
      <c r="Y351" s="24">
        <f>IF(OR($U351="",$I351="",$J351="",$X351=""),"",$I351+$X351*($J351-$I351))</f>
        <v/>
      </c>
    </row>
    <row r="352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19">
        <f>IF($A352="","",COUNTIFS(Assignments!$C$2:$C$769,$A352,Assignments!$G$2:$G$769,"Active"))</f>
        <v/>
      </c>
      <c r="R352" s="20">
        <f>IF($A352="","",SUMIFS(Assignments!$I$2:$I$769,Assignments!$C$2:$C$769,$A352,Assignments!$G$2:$G$769,"Active"))</f>
        <v/>
      </c>
      <c r="S352" s="27" t="n"/>
      <c r="T352" s="27" t="n"/>
      <c r="U352" s="27" t="n"/>
      <c r="V352" s="22">
        <f>IF($U352="","",IFERROR(INDEX(Templates!$K$3:$K$10,MATCH($U352,Templates!$A$3:$A$10,0)),""))</f>
        <v/>
      </c>
      <c r="W352" s="22">
        <f>IF($U352="","",IFERROR(INDEX(Templates!$L$3:$L$10,MATCH($U352,Templates!$A$3:$A$10,0)),""))</f>
        <v/>
      </c>
      <c r="X352" s="23">
        <f>IF($U352="","",IFERROR(INDEX(Templates!$J$3:$J$10,MATCH($U352,Templates!$A$3:$A$10,0)),""))</f>
        <v/>
      </c>
      <c r="Y352" s="24">
        <f>IF(OR($U352="",$I352="",$J352="",$X352=""),"",$I352+$X352*($J352-$I352))</f>
        <v/>
      </c>
    </row>
    <row r="35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19">
        <f>IF($A353="","",COUNTIFS(Assignments!$C$2:$C$769,$A353,Assignments!$G$2:$G$769,"Active"))</f>
        <v/>
      </c>
      <c r="R353" s="20">
        <f>IF($A353="","",SUMIFS(Assignments!$I$2:$I$769,Assignments!$C$2:$C$769,$A353,Assignments!$G$2:$G$769,"Active"))</f>
        <v/>
      </c>
      <c r="S353" s="27" t="n"/>
      <c r="T353" s="27" t="n"/>
      <c r="U353" s="27" t="n"/>
      <c r="V353" s="22">
        <f>IF($U353="","",IFERROR(INDEX(Templates!$K$3:$K$10,MATCH($U353,Templates!$A$3:$A$10,0)),""))</f>
        <v/>
      </c>
      <c r="W353" s="22">
        <f>IF($U353="","",IFERROR(INDEX(Templates!$L$3:$L$10,MATCH($U353,Templates!$A$3:$A$10,0)),""))</f>
        <v/>
      </c>
      <c r="X353" s="23">
        <f>IF($U353="","",IFERROR(INDEX(Templates!$J$3:$J$10,MATCH($U353,Templates!$A$3:$A$10,0)),""))</f>
        <v/>
      </c>
      <c r="Y353" s="24">
        <f>IF(OR($U353="",$I353="",$J353="",$X353=""),"",$I353+$X353*($J353-$I353))</f>
        <v/>
      </c>
    </row>
    <row r="354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19">
        <f>IF($A354="","",COUNTIFS(Assignments!$C$2:$C$769,$A354,Assignments!$G$2:$G$769,"Active"))</f>
        <v/>
      </c>
      <c r="R354" s="20">
        <f>IF($A354="","",SUMIFS(Assignments!$I$2:$I$769,Assignments!$C$2:$C$769,$A354,Assignments!$G$2:$G$769,"Active"))</f>
        <v/>
      </c>
      <c r="S354" s="27" t="n"/>
      <c r="T354" s="27" t="n"/>
      <c r="U354" s="27" t="n"/>
      <c r="V354" s="22">
        <f>IF($U354="","",IFERROR(INDEX(Templates!$K$3:$K$10,MATCH($U354,Templates!$A$3:$A$10,0)),""))</f>
        <v/>
      </c>
      <c r="W354" s="22">
        <f>IF($U354="","",IFERROR(INDEX(Templates!$L$3:$L$10,MATCH($U354,Templates!$A$3:$A$10,0)),""))</f>
        <v/>
      </c>
      <c r="X354" s="23">
        <f>IF($U354="","",IFERROR(INDEX(Templates!$J$3:$J$10,MATCH($U354,Templates!$A$3:$A$10,0)),""))</f>
        <v/>
      </c>
      <c r="Y354" s="24">
        <f>IF(OR($U354="",$I354="",$J354="",$X354=""),"",$I354+$X354*($J354-$I354))</f>
        <v/>
      </c>
    </row>
    <row r="355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19">
        <f>IF($A355="","",COUNTIFS(Assignments!$C$2:$C$769,$A355,Assignments!$G$2:$G$769,"Active"))</f>
        <v/>
      </c>
      <c r="R355" s="20">
        <f>IF($A355="","",SUMIFS(Assignments!$I$2:$I$769,Assignments!$C$2:$C$769,$A355,Assignments!$G$2:$G$769,"Active"))</f>
        <v/>
      </c>
      <c r="S355" s="27" t="n"/>
      <c r="T355" s="27" t="n"/>
      <c r="U355" s="27" t="n"/>
      <c r="V355" s="22">
        <f>IF($U355="","",IFERROR(INDEX(Templates!$K$3:$K$10,MATCH($U355,Templates!$A$3:$A$10,0)),""))</f>
        <v/>
      </c>
      <c r="W355" s="22">
        <f>IF($U355="","",IFERROR(INDEX(Templates!$L$3:$L$10,MATCH($U355,Templates!$A$3:$A$10,0)),""))</f>
        <v/>
      </c>
      <c r="X355" s="23">
        <f>IF($U355="","",IFERROR(INDEX(Templates!$J$3:$J$10,MATCH($U355,Templates!$A$3:$A$10,0)),""))</f>
        <v/>
      </c>
      <c r="Y355" s="24">
        <f>IF(OR($U355="",$I355="",$J355="",$X355=""),"",$I355+$X355*($J355-$I355))</f>
        <v/>
      </c>
    </row>
  </sheetData>
  <conditionalFormatting sqref="A2:Y355">
    <cfRule type="expression" priority="1" dxfId="2">
      <formula>OR($F2="Dead",$F2="Closed",$F2="Invoiced")</formula>
    </cfRule>
  </conditionalFormatting>
  <dataValidations count="8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AA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</cols>
  <sheetData>
    <row r="1" ht="28" customHeight="1">
      <c r="A1" s="14" t="inlineStr">
        <is>
          <t>Person</t>
        </is>
      </c>
      <c r="B1" s="14" t="inlineStr">
        <is>
          <t>Level (roster)</t>
        </is>
      </c>
      <c r="C1" s="14" t="inlineStr">
        <is>
          <t>Project ID</t>
        </is>
      </c>
      <c r="D1" s="14" t="inlineStr">
        <is>
          <t>Client</t>
        </is>
      </c>
      <c r="E1" s="14" t="inlineStr">
        <is>
          <t>Deal lifecycle</t>
        </is>
      </c>
      <c r="F1" s="14" t="inlineStr">
        <is>
          <t>Staffed as</t>
        </is>
      </c>
      <c r="G1" s="14" t="inlineStr">
        <is>
          <t>Active?</t>
        </is>
      </c>
      <c r="H1" s="14" t="inlineStr">
        <is>
          <t>Override hrs/wk</t>
        </is>
      </c>
      <c r="I1" s="14" t="inlineStr">
        <is>
          <t>Planned hrs/wk (used)</t>
        </is>
      </c>
      <c r="J1" s="14" t="inlineStr">
        <is>
          <t>Deal probability</t>
        </is>
      </c>
      <c r="K1" s="14" t="inlineStr">
        <is>
          <t>Weighted hrs/wk</t>
        </is>
      </c>
      <c r="L1" s="14" t="inlineStr">
        <is>
          <t>Deal start</t>
        </is>
      </c>
      <c r="M1" s="14" t="inlineStr">
        <is>
          <t>Deal end</t>
        </is>
      </c>
      <c r="N1" s="14" t="inlineStr">
        <is>
          <t>Eff. start (calc)</t>
        </is>
      </c>
      <c r="O1" s="14" t="inlineStr">
        <is>
          <t>Eff. end (calc)</t>
        </is>
      </c>
      <c r="P1" s="14" t="inlineStr">
        <is>
          <t>Source status (Jul 9)</t>
        </is>
      </c>
      <c r="Q1" s="14" t="inlineStr">
        <is>
          <t>Notes</t>
        </is>
      </c>
      <c r="R1" s="14" t="inlineStr">
        <is>
          <t>Archetype (calc)</t>
        </is>
      </c>
      <c r="S1" s="14" t="inlineStr">
        <is>
          <t>Front x (calc)</t>
        </is>
      </c>
      <c r="T1" s="14" t="inlineStr">
        <is>
          <t>Tail x (calc)</t>
        </is>
      </c>
      <c r="U1" s="14" t="inlineStr">
        <is>
          <t>Split date (calc)</t>
        </is>
      </c>
      <c r="V1" s="14" t="inlineStr">
        <is>
          <t>Seg1 start (calc)</t>
        </is>
      </c>
      <c r="W1" s="14" t="inlineStr">
        <is>
          <t>Seg1 end (calc)</t>
        </is>
      </c>
      <c r="X1" s="14" t="inlineStr">
        <is>
          <t>Seg1 hrs (calc)</t>
        </is>
      </c>
      <c r="Y1" s="14" t="inlineStr">
        <is>
          <t>Seg2 start (calc)</t>
        </is>
      </c>
      <c r="Z1" s="14" t="inlineStr">
        <is>
          <t>Seg2 end (calc)</t>
        </is>
      </c>
      <c r="AA1" s="14" t="inlineStr">
        <is>
          <t>Seg2 hrs (calc)</t>
        </is>
      </c>
    </row>
    <row r="2">
      <c r="A2" s="15" t="inlineStr">
        <is>
          <t>Tania</t>
        </is>
      </c>
      <c r="B2" s="29">
        <f>IF($A2="","",IFERROR(INDEX(Roster!$B$2:$B$40,MATCH($A2,Roster!$A$2:$A$40,0)),"?"))</f>
        <v/>
      </c>
      <c r="C2" s="15" t="inlineStr">
        <is>
          <t>EXAMPLE_0</t>
        </is>
      </c>
      <c r="D2" s="29">
        <f>IF($C2="","",IFERROR(IF(INDEX(Deals!$C$2:$C$355,MATCH($C2,Deals!$A$2:$A$355,0))=0,"",INDEX(Deals!$C$2:$C$355,MATCH($C2,Deals!$A$2:$A$355,0))),"?"))</f>
        <v/>
      </c>
      <c r="E2" s="29">
        <f>IF($C2="","",IFERROR(INDEX(Deals!$F$2:$F$355,MATCH($C2,Deals!$A$2:$A$355,0)),"?"))</f>
        <v/>
      </c>
      <c r="F2" s="15" t="inlineStr">
        <is>
          <t>Partner</t>
        </is>
      </c>
      <c r="G2" s="15" t="inlineStr">
        <is>
          <t>Inactive</t>
        </is>
      </c>
      <c r="H2" s="30" t="n">
        <v>6</v>
      </c>
      <c r="I2" s="20">
        <f>IF(OR($A2="",$G2&lt;&gt;"Active"),0,IF($H2&lt;&gt;"",$H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</f>
        <v/>
      </c>
      <c r="J2" s="23">
        <f>IF($C2="",0,IFERROR(INDEX(Deals!$H$2:$H$355,MATCH($C2,Deals!$A$2:$A$355,0)),0))</f>
        <v/>
      </c>
      <c r="K2" s="20">
        <f>IF(Settings!$B$4="Yes",$I2*$J2,$I2)</f>
        <v/>
      </c>
      <c r="L2" s="31">
        <f>IF($C2="","",IFERROR(IF(INDEX(Deals!$I$2:$I$355,MATCH($C2,Deals!$A$2:$A$355,0))=0,"",INDEX(Deals!$I$2:$I$355,MATCH($C2,Deals!$A$2:$A$355,0))),""))</f>
        <v/>
      </c>
      <c r="M2" s="31">
        <f>IF($C2="","",IFERROR(IF(INDEX(Deals!$J$2:$J$355,MATCH($C2,Deals!$A$2:$A$355,0))=0,"",INDEX(Deals!$J$2:$J$355,MATCH($C2,Deals!$A$2:$A$355,0))),""))</f>
        <v/>
      </c>
      <c r="N2" s="24">
        <f>IF($L2="",DATE(1900,1,1),$L2)</f>
        <v/>
      </c>
      <c r="O2" s="24">
        <f>IF($M2="",DATE(2100,12,31),$M2)</f>
        <v/>
      </c>
      <c r="P2" s="16" t="inlineStr"/>
      <c r="Q2" s="21" t="inlineStr">
        <is>
          <t>EXAMPLE row - Inactive so it counts nowhere; delete any time</t>
        </is>
      </c>
      <c r="R2" s="29">
        <f>IF($C2="","",IFERROR(IF(INDEX(Deals!$U$2:$U$355,MATCH($C2,Deals!$A$2:$A$355,0))=0,"",INDEX(Deals!$U$2:$U$355,MATCH($C2,Deals!$A$2:$A$355,0))),""))</f>
        <v/>
      </c>
      <c r="S2" s="22">
        <f>IFERROR(IF($U2="",1,INDEX(Deals!$V$2:$V$355,MATCH($C2,Deals!$A$2:$A$355,0))),1)</f>
        <v/>
      </c>
      <c r="T2" s="22">
        <f>IFERROR(IF($U2="",1,INDEX(Deals!$W$2:$W$355,MATCH($C2,Deals!$A$2:$A$355,0))),1)</f>
        <v/>
      </c>
      <c r="U2" s="31">
        <f>IF($C2="","",IFERROR(IF(INDEX(Deals!$Y$2:$Y$355,MATCH($C2,Deals!$A$2:$A$355,0))=0,"",INDEX(Deals!$Y$2:$Y$355,MATCH($C2,Deals!$A$2:$A$355,0))),""))</f>
        <v/>
      </c>
      <c r="V2" s="24">
        <f>IF($U2="",DATE(1900,1,1),$N2)</f>
        <v/>
      </c>
      <c r="W2" s="24">
        <f>IF($U2="",DATE(2100,12,31),$U2)</f>
        <v/>
      </c>
      <c r="X2" s="20">
        <f>IF($U2="",$K2,$K2*$S2)</f>
        <v/>
      </c>
      <c r="Y2" s="24">
        <f>IF($U2="",DATE(2100,12,31),$U2+1)</f>
        <v/>
      </c>
      <c r="Z2" s="24">
        <f>IF($U2="",DATE(1900,1,1),$O2)</f>
        <v/>
      </c>
      <c r="AA2" s="20">
        <f>IF($U2="",0,$K2*$T2)</f>
        <v/>
      </c>
    </row>
    <row r="3">
      <c r="A3" s="15" t="inlineStr">
        <is>
          <t>Tania</t>
        </is>
      </c>
      <c r="B3" s="29">
        <f>IF($A3="","",IFERROR(INDEX(Roster!$B$2:$B$40,MATCH($A3,Roster!$A$2:$A$40,0)),"?"))</f>
        <v/>
      </c>
      <c r="C3" s="15" t="inlineStr">
        <is>
          <t>360_2</t>
        </is>
      </c>
      <c r="D3" s="29">
        <f>IF($C3="","",IFERROR(IF(INDEX(Deals!$C$2:$C$355,MATCH($C3,Deals!$A$2:$A$355,0))=0,"",INDEX(Deals!$C$2:$C$355,MATCH($C3,Deals!$A$2:$A$355,0))),"?"))</f>
        <v/>
      </c>
      <c r="E3" s="29">
        <f>IF($C3="","",IFERROR(INDEX(Deals!$F$2:$F$355,MATCH($C3,Deals!$A$2:$A$355,0)),"?"))</f>
        <v/>
      </c>
      <c r="F3" s="15" t="inlineStr">
        <is>
          <t>Partner</t>
        </is>
      </c>
      <c r="G3" s="15" t="inlineStr">
        <is>
          <t>Active</t>
        </is>
      </c>
      <c r="H3" s="27" t="n"/>
      <c r="I3" s="20">
        <f>IF(OR($A3="",$G3&lt;&gt;"Active"),0,IF($H3&lt;&gt;"",$H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</f>
        <v/>
      </c>
      <c r="J3" s="23">
        <f>IF($C3="",0,IFERROR(INDEX(Deals!$H$2:$H$355,MATCH($C3,Deals!$A$2:$A$355,0)),0))</f>
        <v/>
      </c>
      <c r="K3" s="20">
        <f>IF(Settings!$B$4="Yes",$I3*$J3,$I3)</f>
        <v/>
      </c>
      <c r="L3" s="31">
        <f>IF($C3="","",IFERROR(IF(INDEX(Deals!$I$2:$I$355,MATCH($C3,Deals!$A$2:$A$355,0))=0,"",INDEX(Deals!$I$2:$I$355,MATCH($C3,Deals!$A$2:$A$355,0))),""))</f>
        <v/>
      </c>
      <c r="M3" s="31">
        <f>IF($C3="","",IFERROR(IF(INDEX(Deals!$J$2:$J$355,MATCH($C3,Deals!$A$2:$A$355,0))=0,"",INDEX(Deals!$J$2:$J$355,MATCH($C3,Deals!$A$2:$A$355,0))),""))</f>
        <v/>
      </c>
      <c r="N3" s="24">
        <f>IF($L3="",DATE(1900,1,1),$L3)</f>
        <v/>
      </c>
      <c r="O3" s="24">
        <f>IF($M3="",DATE(2100,12,31),$M3)</f>
        <v/>
      </c>
      <c r="P3" s="16" t="inlineStr"/>
      <c r="Q3" s="16" t="inlineStr"/>
      <c r="R3" s="29">
        <f>IF($C3="","",IFERROR(IF(INDEX(Deals!$U$2:$U$355,MATCH($C3,Deals!$A$2:$A$355,0))=0,"",INDEX(Deals!$U$2:$U$355,MATCH($C3,Deals!$A$2:$A$355,0))),""))</f>
        <v/>
      </c>
      <c r="S3" s="22">
        <f>IFERROR(IF($U3="",1,INDEX(Deals!$V$2:$V$355,MATCH($C3,Deals!$A$2:$A$355,0))),1)</f>
        <v/>
      </c>
      <c r="T3" s="22">
        <f>IFERROR(IF($U3="",1,INDEX(Deals!$W$2:$W$355,MATCH($C3,Deals!$A$2:$A$355,0))),1)</f>
        <v/>
      </c>
      <c r="U3" s="31">
        <f>IF($C3="","",IFERROR(IF(INDEX(Deals!$Y$2:$Y$355,MATCH($C3,Deals!$A$2:$A$355,0))=0,"",INDEX(Deals!$Y$2:$Y$355,MATCH($C3,Deals!$A$2:$A$355,0))),""))</f>
        <v/>
      </c>
      <c r="V3" s="24">
        <f>IF($U3="",DATE(1900,1,1),$N3)</f>
        <v/>
      </c>
      <c r="W3" s="24">
        <f>IF($U3="",DATE(2100,12,31),$U3)</f>
        <v/>
      </c>
      <c r="X3" s="20">
        <f>IF($U3="",$K3,$K3*$S3)</f>
        <v/>
      </c>
      <c r="Y3" s="24">
        <f>IF($U3="",DATE(2100,12,31),$U3+1)</f>
        <v/>
      </c>
      <c r="Z3" s="24">
        <f>IF($U3="",DATE(1900,1,1),$O3)</f>
        <v/>
      </c>
      <c r="AA3" s="20">
        <f>IF($U3="",0,$K3*$T3)</f>
        <v/>
      </c>
    </row>
    <row r="4">
      <c r="A4" s="15" t="inlineStr">
        <is>
          <t>Tania</t>
        </is>
      </c>
      <c r="B4" s="29">
        <f>IF($A4="","",IFERROR(INDEX(Roster!$B$2:$B$40,MATCH($A4,Roster!$A$2:$A$40,0)),"?"))</f>
        <v/>
      </c>
      <c r="C4" s="15" t="inlineStr">
        <is>
          <t>AIM_5</t>
        </is>
      </c>
      <c r="D4" s="29">
        <f>IF($C4="","",IFERROR(IF(INDEX(Deals!$C$2:$C$355,MATCH($C4,Deals!$A$2:$A$355,0))=0,"",INDEX(Deals!$C$2:$C$355,MATCH($C4,Deals!$A$2:$A$355,0))),"?"))</f>
        <v/>
      </c>
      <c r="E4" s="29">
        <f>IF($C4="","",IFERROR(INDEX(Deals!$F$2:$F$355,MATCH($C4,Deals!$A$2:$A$355,0)),"?"))</f>
        <v/>
      </c>
      <c r="F4" s="15" t="inlineStr">
        <is>
          <t>Partner</t>
        </is>
      </c>
      <c r="G4" s="15" t="inlineStr">
        <is>
          <t>Active</t>
        </is>
      </c>
      <c r="H4" s="27" t="n"/>
      <c r="I4" s="20">
        <f>IF(OR($A4="",$G4&lt;&gt;"Active"),0,IF($H4&lt;&gt;"",$H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</f>
        <v/>
      </c>
      <c r="J4" s="23">
        <f>IF($C4="",0,IFERROR(INDEX(Deals!$H$2:$H$355,MATCH($C4,Deals!$A$2:$A$355,0)),0))</f>
        <v/>
      </c>
      <c r="K4" s="20">
        <f>IF(Settings!$B$4="Yes",$I4*$J4,$I4)</f>
        <v/>
      </c>
      <c r="L4" s="31">
        <f>IF($C4="","",IFERROR(IF(INDEX(Deals!$I$2:$I$355,MATCH($C4,Deals!$A$2:$A$355,0))=0,"",INDEX(Deals!$I$2:$I$355,MATCH($C4,Deals!$A$2:$A$355,0))),""))</f>
        <v/>
      </c>
      <c r="M4" s="31">
        <f>IF($C4="","",IFERROR(IF(INDEX(Deals!$J$2:$J$355,MATCH($C4,Deals!$A$2:$A$355,0))=0,"",INDEX(Deals!$J$2:$J$355,MATCH($C4,Deals!$A$2:$A$355,0))),""))</f>
        <v/>
      </c>
      <c r="N4" s="24">
        <f>IF($L4="",DATE(1900,1,1),$L4)</f>
        <v/>
      </c>
      <c r="O4" s="24">
        <f>IF($M4="",DATE(2100,12,31),$M4)</f>
        <v/>
      </c>
      <c r="P4" s="16" t="inlineStr"/>
      <c r="Q4" s="16" t="inlineStr"/>
      <c r="R4" s="29">
        <f>IF($C4="","",IFERROR(IF(INDEX(Deals!$U$2:$U$355,MATCH($C4,Deals!$A$2:$A$355,0))=0,"",INDEX(Deals!$U$2:$U$355,MATCH($C4,Deals!$A$2:$A$355,0))),""))</f>
        <v/>
      </c>
      <c r="S4" s="22">
        <f>IFERROR(IF($U4="",1,INDEX(Deals!$V$2:$V$355,MATCH($C4,Deals!$A$2:$A$355,0))),1)</f>
        <v/>
      </c>
      <c r="T4" s="22">
        <f>IFERROR(IF($U4="",1,INDEX(Deals!$W$2:$W$355,MATCH($C4,Deals!$A$2:$A$355,0))),1)</f>
        <v/>
      </c>
      <c r="U4" s="31">
        <f>IF($C4="","",IFERROR(IF(INDEX(Deals!$Y$2:$Y$355,MATCH($C4,Deals!$A$2:$A$355,0))=0,"",INDEX(Deals!$Y$2:$Y$355,MATCH($C4,Deals!$A$2:$A$355,0))),""))</f>
        <v/>
      </c>
      <c r="V4" s="24">
        <f>IF($U4="",DATE(1900,1,1),$N4)</f>
        <v/>
      </c>
      <c r="W4" s="24">
        <f>IF($U4="",DATE(2100,12,31),$U4)</f>
        <v/>
      </c>
      <c r="X4" s="20">
        <f>IF($U4="",$K4,$K4*$S4)</f>
        <v/>
      </c>
      <c r="Y4" s="24">
        <f>IF($U4="",DATE(2100,12,31),$U4+1)</f>
        <v/>
      </c>
      <c r="Z4" s="24">
        <f>IF($U4="",DATE(1900,1,1),$O4)</f>
        <v/>
      </c>
      <c r="AA4" s="20">
        <f>IF($U4="",0,$K4*$T4)</f>
        <v/>
      </c>
    </row>
    <row r="5">
      <c r="A5" s="15" t="inlineStr">
        <is>
          <t>Tania</t>
        </is>
      </c>
      <c r="B5" s="29">
        <f>IF($A5="","",IFERROR(INDEX(Roster!$B$2:$B$40,MATCH($A5,Roster!$A$2:$A$40,0)),"?"))</f>
        <v/>
      </c>
      <c r="C5" s="15" t="inlineStr">
        <is>
          <t>Atlas_4</t>
        </is>
      </c>
      <c r="D5" s="29">
        <f>IF($C5="","",IFERROR(IF(INDEX(Deals!$C$2:$C$355,MATCH($C5,Deals!$A$2:$A$355,0))=0,"",INDEX(Deals!$C$2:$C$355,MATCH($C5,Deals!$A$2:$A$355,0))),"?"))</f>
        <v/>
      </c>
      <c r="E5" s="29">
        <f>IF($C5="","",IFERROR(INDEX(Deals!$F$2:$F$355,MATCH($C5,Deals!$A$2:$A$355,0)),"?"))</f>
        <v/>
      </c>
      <c r="F5" s="15" t="inlineStr">
        <is>
          <t>Partner</t>
        </is>
      </c>
      <c r="G5" s="15" t="inlineStr">
        <is>
          <t>Active</t>
        </is>
      </c>
      <c r="H5" s="27" t="n"/>
      <c r="I5" s="20">
        <f>IF(OR($A5="",$G5&lt;&gt;"Active"),0,IF($H5&lt;&gt;"",$H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</f>
        <v/>
      </c>
      <c r="J5" s="23">
        <f>IF($C5="",0,IFERROR(INDEX(Deals!$H$2:$H$355,MATCH($C5,Deals!$A$2:$A$355,0)),0))</f>
        <v/>
      </c>
      <c r="K5" s="20">
        <f>IF(Settings!$B$4="Yes",$I5*$J5,$I5)</f>
        <v/>
      </c>
      <c r="L5" s="31">
        <f>IF($C5="","",IFERROR(IF(INDEX(Deals!$I$2:$I$355,MATCH($C5,Deals!$A$2:$A$355,0))=0,"",INDEX(Deals!$I$2:$I$355,MATCH($C5,Deals!$A$2:$A$355,0))),""))</f>
        <v/>
      </c>
      <c r="M5" s="31">
        <f>IF($C5="","",IFERROR(IF(INDEX(Deals!$J$2:$J$355,MATCH($C5,Deals!$A$2:$A$355,0))=0,"",INDEX(Deals!$J$2:$J$355,MATCH($C5,Deals!$A$2:$A$355,0))),""))</f>
        <v/>
      </c>
      <c r="N5" s="24">
        <f>IF($L5="",DATE(1900,1,1),$L5)</f>
        <v/>
      </c>
      <c r="O5" s="24">
        <f>IF($M5="",DATE(2100,12,31),$M5)</f>
        <v/>
      </c>
      <c r="P5" s="16" t="inlineStr"/>
      <c r="Q5" s="16" t="inlineStr"/>
      <c r="R5" s="29">
        <f>IF($C5="","",IFERROR(IF(INDEX(Deals!$U$2:$U$355,MATCH($C5,Deals!$A$2:$A$355,0))=0,"",INDEX(Deals!$U$2:$U$355,MATCH($C5,Deals!$A$2:$A$355,0))),""))</f>
        <v/>
      </c>
      <c r="S5" s="22">
        <f>IFERROR(IF($U5="",1,INDEX(Deals!$V$2:$V$355,MATCH($C5,Deals!$A$2:$A$355,0))),1)</f>
        <v/>
      </c>
      <c r="T5" s="22">
        <f>IFERROR(IF($U5="",1,INDEX(Deals!$W$2:$W$355,MATCH($C5,Deals!$A$2:$A$355,0))),1)</f>
        <v/>
      </c>
      <c r="U5" s="31">
        <f>IF($C5="","",IFERROR(IF(INDEX(Deals!$Y$2:$Y$355,MATCH($C5,Deals!$A$2:$A$355,0))=0,"",INDEX(Deals!$Y$2:$Y$355,MATCH($C5,Deals!$A$2:$A$355,0))),""))</f>
        <v/>
      </c>
      <c r="V5" s="24">
        <f>IF($U5="",DATE(1900,1,1),$N5)</f>
        <v/>
      </c>
      <c r="W5" s="24">
        <f>IF($U5="",DATE(2100,12,31),$U5)</f>
        <v/>
      </c>
      <c r="X5" s="20">
        <f>IF($U5="",$K5,$K5*$S5)</f>
        <v/>
      </c>
      <c r="Y5" s="24">
        <f>IF($U5="",DATE(2100,12,31),$U5+1)</f>
        <v/>
      </c>
      <c r="Z5" s="24">
        <f>IF($U5="",DATE(1900,1,1),$O5)</f>
        <v/>
      </c>
      <c r="AA5" s="20">
        <f>IF($U5="",0,$K5*$T5)</f>
        <v/>
      </c>
    </row>
    <row r="6">
      <c r="A6" s="15" t="inlineStr">
        <is>
          <t>Tania</t>
        </is>
      </c>
      <c r="B6" s="29">
        <f>IF($A6="","",IFERROR(INDEX(Roster!$B$2:$B$40,MATCH($A6,Roster!$A$2:$A$40,0)),"?"))</f>
        <v/>
      </c>
      <c r="C6" s="15" t="inlineStr">
        <is>
          <t>Avengers</t>
        </is>
      </c>
      <c r="D6" s="29">
        <f>IF($C6="","",IFERROR(IF(INDEX(Deals!$C$2:$C$355,MATCH($C6,Deals!$A$2:$A$355,0))=0,"",INDEX(Deals!$C$2:$C$355,MATCH($C6,Deals!$A$2:$A$355,0))),"?"))</f>
        <v/>
      </c>
      <c r="E6" s="29">
        <f>IF($C6="","",IFERROR(INDEX(Deals!$F$2:$F$355,MATCH($C6,Deals!$A$2:$A$355,0)),"?"))</f>
        <v/>
      </c>
      <c r="F6" s="15" t="inlineStr">
        <is>
          <t>Partner</t>
        </is>
      </c>
      <c r="G6" s="15" t="inlineStr">
        <is>
          <t>Active</t>
        </is>
      </c>
      <c r="H6" s="27" t="n"/>
      <c r="I6" s="20">
        <f>IF(OR($A6="",$G6&lt;&gt;"Active"),0,IF($H6&lt;&gt;"",$H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</f>
        <v/>
      </c>
      <c r="J6" s="23">
        <f>IF($C6="",0,IFERROR(INDEX(Deals!$H$2:$H$355,MATCH($C6,Deals!$A$2:$A$355,0)),0))</f>
        <v/>
      </c>
      <c r="K6" s="20">
        <f>IF(Settings!$B$4="Yes",$I6*$J6,$I6)</f>
        <v/>
      </c>
      <c r="L6" s="31">
        <f>IF($C6="","",IFERROR(IF(INDEX(Deals!$I$2:$I$355,MATCH($C6,Deals!$A$2:$A$355,0))=0,"",INDEX(Deals!$I$2:$I$355,MATCH($C6,Deals!$A$2:$A$355,0))),""))</f>
        <v/>
      </c>
      <c r="M6" s="31">
        <f>IF($C6="","",IFERROR(IF(INDEX(Deals!$J$2:$J$355,MATCH($C6,Deals!$A$2:$A$355,0))=0,"",INDEX(Deals!$J$2:$J$355,MATCH($C6,Deals!$A$2:$A$355,0))),""))</f>
        <v/>
      </c>
      <c r="N6" s="24">
        <f>IF($L6="",DATE(1900,1,1),$L6)</f>
        <v/>
      </c>
      <c r="O6" s="24">
        <f>IF($M6="",DATE(2100,12,31),$M6)</f>
        <v/>
      </c>
      <c r="P6" s="16" t="inlineStr"/>
      <c r="Q6" s="16" t="inlineStr"/>
      <c r="R6" s="29">
        <f>IF($C6="","",IFERROR(IF(INDEX(Deals!$U$2:$U$355,MATCH($C6,Deals!$A$2:$A$355,0))=0,"",INDEX(Deals!$U$2:$U$355,MATCH($C6,Deals!$A$2:$A$355,0))),""))</f>
        <v/>
      </c>
      <c r="S6" s="22">
        <f>IFERROR(IF($U6="",1,INDEX(Deals!$V$2:$V$355,MATCH($C6,Deals!$A$2:$A$355,0))),1)</f>
        <v/>
      </c>
      <c r="T6" s="22">
        <f>IFERROR(IF($U6="",1,INDEX(Deals!$W$2:$W$355,MATCH($C6,Deals!$A$2:$A$355,0))),1)</f>
        <v/>
      </c>
      <c r="U6" s="31">
        <f>IF($C6="","",IFERROR(IF(INDEX(Deals!$Y$2:$Y$355,MATCH($C6,Deals!$A$2:$A$355,0))=0,"",INDEX(Deals!$Y$2:$Y$355,MATCH($C6,Deals!$A$2:$A$355,0))),""))</f>
        <v/>
      </c>
      <c r="V6" s="24">
        <f>IF($U6="",DATE(1900,1,1),$N6)</f>
        <v/>
      </c>
      <c r="W6" s="24">
        <f>IF($U6="",DATE(2100,12,31),$U6)</f>
        <v/>
      </c>
      <c r="X6" s="20">
        <f>IF($U6="",$K6,$K6*$S6)</f>
        <v/>
      </c>
      <c r="Y6" s="24">
        <f>IF($U6="",DATE(2100,12,31),$U6+1)</f>
        <v/>
      </c>
      <c r="Z6" s="24">
        <f>IF($U6="",DATE(1900,1,1),$O6)</f>
        <v/>
      </c>
      <c r="AA6" s="20">
        <f>IF($U6="",0,$K6*$T6)</f>
        <v/>
      </c>
    </row>
    <row r="7">
      <c r="A7" s="15" t="inlineStr">
        <is>
          <t>Tania</t>
        </is>
      </c>
      <c r="B7" s="29">
        <f>IF($A7="","",IFERROR(INDEX(Roster!$B$2:$B$40,MATCH($A7,Roster!$A$2:$A$40,0)),"?"))</f>
        <v/>
      </c>
      <c r="C7" s="15" t="inlineStr">
        <is>
          <t>Battery_2</t>
        </is>
      </c>
      <c r="D7" s="29">
        <f>IF($C7="","",IFERROR(IF(INDEX(Deals!$C$2:$C$355,MATCH($C7,Deals!$A$2:$A$355,0))=0,"",INDEX(Deals!$C$2:$C$355,MATCH($C7,Deals!$A$2:$A$355,0))),"?"))</f>
        <v/>
      </c>
      <c r="E7" s="29">
        <f>IF($C7="","",IFERROR(INDEX(Deals!$F$2:$F$355,MATCH($C7,Deals!$A$2:$A$355,0)),"?"))</f>
        <v/>
      </c>
      <c r="F7" s="15" t="inlineStr">
        <is>
          <t>Partner</t>
        </is>
      </c>
      <c r="G7" s="15" t="inlineStr">
        <is>
          <t>Active</t>
        </is>
      </c>
      <c r="H7" s="27" t="n"/>
      <c r="I7" s="20">
        <f>IF(OR($A7="",$G7&lt;&gt;"Active"),0,IF($H7&lt;&gt;"",$H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</f>
        <v/>
      </c>
      <c r="J7" s="23">
        <f>IF($C7="",0,IFERROR(INDEX(Deals!$H$2:$H$355,MATCH($C7,Deals!$A$2:$A$355,0)),0))</f>
        <v/>
      </c>
      <c r="K7" s="20">
        <f>IF(Settings!$B$4="Yes",$I7*$J7,$I7)</f>
        <v/>
      </c>
      <c r="L7" s="31">
        <f>IF($C7="","",IFERROR(IF(INDEX(Deals!$I$2:$I$355,MATCH($C7,Deals!$A$2:$A$355,0))=0,"",INDEX(Deals!$I$2:$I$355,MATCH($C7,Deals!$A$2:$A$355,0))),""))</f>
        <v/>
      </c>
      <c r="M7" s="31">
        <f>IF($C7="","",IFERROR(IF(INDEX(Deals!$J$2:$J$355,MATCH($C7,Deals!$A$2:$A$355,0))=0,"",INDEX(Deals!$J$2:$J$355,MATCH($C7,Deals!$A$2:$A$355,0))),""))</f>
        <v/>
      </c>
      <c r="N7" s="24">
        <f>IF($L7="",DATE(1900,1,1),$L7)</f>
        <v/>
      </c>
      <c r="O7" s="24">
        <f>IF($M7="",DATE(2100,12,31),$M7)</f>
        <v/>
      </c>
      <c r="P7" s="16" t="inlineStr"/>
      <c r="Q7" s="16" t="inlineStr"/>
      <c r="R7" s="29">
        <f>IF($C7="","",IFERROR(IF(INDEX(Deals!$U$2:$U$355,MATCH($C7,Deals!$A$2:$A$355,0))=0,"",INDEX(Deals!$U$2:$U$355,MATCH($C7,Deals!$A$2:$A$355,0))),""))</f>
        <v/>
      </c>
      <c r="S7" s="22">
        <f>IFERROR(IF($U7="",1,INDEX(Deals!$V$2:$V$355,MATCH($C7,Deals!$A$2:$A$355,0))),1)</f>
        <v/>
      </c>
      <c r="T7" s="22">
        <f>IFERROR(IF($U7="",1,INDEX(Deals!$W$2:$W$355,MATCH($C7,Deals!$A$2:$A$355,0))),1)</f>
        <v/>
      </c>
      <c r="U7" s="31">
        <f>IF($C7="","",IFERROR(IF(INDEX(Deals!$Y$2:$Y$355,MATCH($C7,Deals!$A$2:$A$355,0))=0,"",INDEX(Deals!$Y$2:$Y$355,MATCH($C7,Deals!$A$2:$A$355,0))),""))</f>
        <v/>
      </c>
      <c r="V7" s="24">
        <f>IF($U7="",DATE(1900,1,1),$N7)</f>
        <v/>
      </c>
      <c r="W7" s="24">
        <f>IF($U7="",DATE(2100,12,31),$U7)</f>
        <v/>
      </c>
      <c r="X7" s="20">
        <f>IF($U7="",$K7,$K7*$S7)</f>
        <v/>
      </c>
      <c r="Y7" s="24">
        <f>IF($U7="",DATE(2100,12,31),$U7+1)</f>
        <v/>
      </c>
      <c r="Z7" s="24">
        <f>IF($U7="",DATE(1900,1,1),$O7)</f>
        <v/>
      </c>
      <c r="AA7" s="20">
        <f>IF($U7="",0,$K7*$T7)</f>
        <v/>
      </c>
    </row>
    <row r="8">
      <c r="A8" s="15" t="inlineStr">
        <is>
          <t>Tania</t>
        </is>
      </c>
      <c r="B8" s="29">
        <f>IF($A8="","",IFERROR(INDEX(Roster!$B$2:$B$40,MATCH($A8,Roster!$A$2:$A$40,0)),"?"))</f>
        <v/>
      </c>
      <c r="C8" s="15" t="inlineStr">
        <is>
          <t>Bay_2</t>
        </is>
      </c>
      <c r="D8" s="29">
        <f>IF($C8="","",IFERROR(IF(INDEX(Deals!$C$2:$C$355,MATCH($C8,Deals!$A$2:$A$355,0))=0,"",INDEX(Deals!$C$2:$C$355,MATCH($C8,Deals!$A$2:$A$355,0))),"?"))</f>
        <v/>
      </c>
      <c r="E8" s="29">
        <f>IF($C8="","",IFERROR(INDEX(Deals!$F$2:$F$355,MATCH($C8,Deals!$A$2:$A$355,0)),"?"))</f>
        <v/>
      </c>
      <c r="F8" s="15" t="inlineStr">
        <is>
          <t>Partner</t>
        </is>
      </c>
      <c r="G8" s="15" t="inlineStr">
        <is>
          <t>Active</t>
        </is>
      </c>
      <c r="H8" s="27" t="n"/>
      <c r="I8" s="20">
        <f>IF(OR($A8="",$G8&lt;&gt;"Active"),0,IF($H8&lt;&gt;"",$H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</f>
        <v/>
      </c>
      <c r="J8" s="23">
        <f>IF($C8="",0,IFERROR(INDEX(Deals!$H$2:$H$355,MATCH($C8,Deals!$A$2:$A$355,0)),0))</f>
        <v/>
      </c>
      <c r="K8" s="20">
        <f>IF(Settings!$B$4="Yes",$I8*$J8,$I8)</f>
        <v/>
      </c>
      <c r="L8" s="31">
        <f>IF($C8="","",IFERROR(IF(INDEX(Deals!$I$2:$I$355,MATCH($C8,Deals!$A$2:$A$355,0))=0,"",INDEX(Deals!$I$2:$I$355,MATCH($C8,Deals!$A$2:$A$355,0))),""))</f>
        <v/>
      </c>
      <c r="M8" s="31">
        <f>IF($C8="","",IFERROR(IF(INDEX(Deals!$J$2:$J$355,MATCH($C8,Deals!$A$2:$A$355,0))=0,"",INDEX(Deals!$J$2:$J$355,MATCH($C8,Deals!$A$2:$A$355,0))),""))</f>
        <v/>
      </c>
      <c r="N8" s="24">
        <f>IF($L8="",DATE(1900,1,1),$L8)</f>
        <v/>
      </c>
      <c r="O8" s="24">
        <f>IF($M8="",DATE(2100,12,31),$M8)</f>
        <v/>
      </c>
      <c r="P8" s="16" t="inlineStr"/>
      <c r="Q8" s="16" t="inlineStr"/>
      <c r="R8" s="29">
        <f>IF($C8="","",IFERROR(IF(INDEX(Deals!$U$2:$U$355,MATCH($C8,Deals!$A$2:$A$355,0))=0,"",INDEX(Deals!$U$2:$U$355,MATCH($C8,Deals!$A$2:$A$355,0))),""))</f>
        <v/>
      </c>
      <c r="S8" s="22">
        <f>IFERROR(IF($U8="",1,INDEX(Deals!$V$2:$V$355,MATCH($C8,Deals!$A$2:$A$355,0))),1)</f>
        <v/>
      </c>
      <c r="T8" s="22">
        <f>IFERROR(IF($U8="",1,INDEX(Deals!$W$2:$W$355,MATCH($C8,Deals!$A$2:$A$355,0))),1)</f>
        <v/>
      </c>
      <c r="U8" s="31">
        <f>IF($C8="","",IFERROR(IF(INDEX(Deals!$Y$2:$Y$355,MATCH($C8,Deals!$A$2:$A$355,0))=0,"",INDEX(Deals!$Y$2:$Y$355,MATCH($C8,Deals!$A$2:$A$355,0))),""))</f>
        <v/>
      </c>
      <c r="V8" s="24">
        <f>IF($U8="",DATE(1900,1,1),$N8)</f>
        <v/>
      </c>
      <c r="W8" s="24">
        <f>IF($U8="",DATE(2100,12,31),$U8)</f>
        <v/>
      </c>
      <c r="X8" s="20">
        <f>IF($U8="",$K8,$K8*$S8)</f>
        <v/>
      </c>
      <c r="Y8" s="24">
        <f>IF($U8="",DATE(2100,12,31),$U8+1)</f>
        <v/>
      </c>
      <c r="Z8" s="24">
        <f>IF($U8="",DATE(1900,1,1),$O8)</f>
        <v/>
      </c>
      <c r="AA8" s="20">
        <f>IF($U8="",0,$K8*$T8)</f>
        <v/>
      </c>
    </row>
    <row r="9">
      <c r="A9" s="15" t="inlineStr">
        <is>
          <t>Tania</t>
        </is>
      </c>
      <c r="B9" s="29">
        <f>IF($A9="","",IFERROR(INDEX(Roster!$B$2:$B$40,MATCH($A9,Roster!$A$2:$A$40,0)),"?"))</f>
        <v/>
      </c>
      <c r="C9" s="15" t="inlineStr">
        <is>
          <t>Bledsoe_1</t>
        </is>
      </c>
      <c r="D9" s="29">
        <f>IF($C9="","",IFERROR(IF(INDEX(Deals!$C$2:$C$355,MATCH($C9,Deals!$A$2:$A$355,0))=0,"",INDEX(Deals!$C$2:$C$355,MATCH($C9,Deals!$A$2:$A$355,0))),"?"))</f>
        <v/>
      </c>
      <c r="E9" s="29">
        <f>IF($C9="","",IFERROR(INDEX(Deals!$F$2:$F$355,MATCH($C9,Deals!$A$2:$A$355,0)),"?"))</f>
        <v/>
      </c>
      <c r="F9" s="15" t="inlineStr">
        <is>
          <t>Partner</t>
        </is>
      </c>
      <c r="G9" s="15" t="inlineStr">
        <is>
          <t>Active</t>
        </is>
      </c>
      <c r="H9" s="27" t="n"/>
      <c r="I9" s="20">
        <f>IF(OR($A9="",$G9&lt;&gt;"Active"),0,IF($H9&lt;&gt;"",$H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</f>
        <v/>
      </c>
      <c r="J9" s="23">
        <f>IF($C9="",0,IFERROR(INDEX(Deals!$H$2:$H$355,MATCH($C9,Deals!$A$2:$A$355,0)),0))</f>
        <v/>
      </c>
      <c r="K9" s="20">
        <f>IF(Settings!$B$4="Yes",$I9*$J9,$I9)</f>
        <v/>
      </c>
      <c r="L9" s="31">
        <f>IF($C9="","",IFERROR(IF(INDEX(Deals!$I$2:$I$355,MATCH($C9,Deals!$A$2:$A$355,0))=0,"",INDEX(Deals!$I$2:$I$355,MATCH($C9,Deals!$A$2:$A$355,0))),""))</f>
        <v/>
      </c>
      <c r="M9" s="31">
        <f>IF($C9="","",IFERROR(IF(INDEX(Deals!$J$2:$J$355,MATCH($C9,Deals!$A$2:$A$355,0))=0,"",INDEX(Deals!$J$2:$J$355,MATCH($C9,Deals!$A$2:$A$355,0))),""))</f>
        <v/>
      </c>
      <c r="N9" s="24">
        <f>IF($L9="",DATE(1900,1,1),$L9)</f>
        <v/>
      </c>
      <c r="O9" s="24">
        <f>IF($M9="",DATE(2100,12,31),$M9)</f>
        <v/>
      </c>
      <c r="P9" s="16" t="inlineStr"/>
      <c r="Q9" s="16" t="inlineStr"/>
      <c r="R9" s="29">
        <f>IF($C9="","",IFERROR(IF(INDEX(Deals!$U$2:$U$355,MATCH($C9,Deals!$A$2:$A$355,0))=0,"",INDEX(Deals!$U$2:$U$355,MATCH($C9,Deals!$A$2:$A$355,0))),""))</f>
        <v/>
      </c>
      <c r="S9" s="22">
        <f>IFERROR(IF($U9="",1,INDEX(Deals!$V$2:$V$355,MATCH($C9,Deals!$A$2:$A$355,0))),1)</f>
        <v/>
      </c>
      <c r="T9" s="22">
        <f>IFERROR(IF($U9="",1,INDEX(Deals!$W$2:$W$355,MATCH($C9,Deals!$A$2:$A$355,0))),1)</f>
        <v/>
      </c>
      <c r="U9" s="31">
        <f>IF($C9="","",IFERROR(IF(INDEX(Deals!$Y$2:$Y$355,MATCH($C9,Deals!$A$2:$A$355,0))=0,"",INDEX(Deals!$Y$2:$Y$355,MATCH($C9,Deals!$A$2:$A$355,0))),""))</f>
        <v/>
      </c>
      <c r="V9" s="24">
        <f>IF($U9="",DATE(1900,1,1),$N9)</f>
        <v/>
      </c>
      <c r="W9" s="24">
        <f>IF($U9="",DATE(2100,12,31),$U9)</f>
        <v/>
      </c>
      <c r="X9" s="20">
        <f>IF($U9="",$K9,$K9*$S9)</f>
        <v/>
      </c>
      <c r="Y9" s="24">
        <f>IF($U9="",DATE(2100,12,31),$U9+1)</f>
        <v/>
      </c>
      <c r="Z9" s="24">
        <f>IF($U9="",DATE(1900,1,1),$O9)</f>
        <v/>
      </c>
      <c r="AA9" s="20">
        <f>IF($U9="",0,$K9*$T9)</f>
        <v/>
      </c>
    </row>
    <row r="10">
      <c r="A10" s="15" t="inlineStr">
        <is>
          <t>Tania</t>
        </is>
      </c>
      <c r="B10" s="29">
        <f>IF($A10="","",IFERROR(INDEX(Roster!$B$2:$B$40,MATCH($A10,Roster!$A$2:$A$40,0)),"?"))</f>
        <v/>
      </c>
      <c r="C10" s="15" t="inlineStr">
        <is>
          <t>Broadway_1</t>
        </is>
      </c>
      <c r="D10" s="29">
        <f>IF($C10="","",IFERROR(IF(INDEX(Deals!$C$2:$C$355,MATCH($C10,Deals!$A$2:$A$355,0))=0,"",INDEX(Deals!$C$2:$C$355,MATCH($C10,Deals!$A$2:$A$355,0))),"?"))</f>
        <v/>
      </c>
      <c r="E10" s="29">
        <f>IF($C10="","",IFERROR(INDEX(Deals!$F$2:$F$355,MATCH($C10,Deals!$A$2:$A$355,0)),"?"))</f>
        <v/>
      </c>
      <c r="F10" s="15" t="inlineStr">
        <is>
          <t>Partner</t>
        </is>
      </c>
      <c r="G10" s="15" t="inlineStr">
        <is>
          <t>Active</t>
        </is>
      </c>
      <c r="H10" s="27" t="n"/>
      <c r="I10" s="20">
        <f>IF(OR($A10="",$G10&lt;&gt;"Active"),0,IF($H10&lt;&gt;"",$H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</f>
        <v/>
      </c>
      <c r="J10" s="23">
        <f>IF($C10="",0,IFERROR(INDEX(Deals!$H$2:$H$355,MATCH($C10,Deals!$A$2:$A$355,0)),0))</f>
        <v/>
      </c>
      <c r="K10" s="20">
        <f>IF(Settings!$B$4="Yes",$I10*$J10,$I10)</f>
        <v/>
      </c>
      <c r="L10" s="31">
        <f>IF($C10="","",IFERROR(IF(INDEX(Deals!$I$2:$I$355,MATCH($C10,Deals!$A$2:$A$355,0))=0,"",INDEX(Deals!$I$2:$I$355,MATCH($C10,Deals!$A$2:$A$355,0))),""))</f>
        <v/>
      </c>
      <c r="M10" s="31">
        <f>IF($C10="","",IFERROR(IF(INDEX(Deals!$J$2:$J$355,MATCH($C10,Deals!$A$2:$A$355,0))=0,"",INDEX(Deals!$J$2:$J$355,MATCH($C10,Deals!$A$2:$A$355,0))),""))</f>
        <v/>
      </c>
      <c r="N10" s="24">
        <f>IF($L10="",DATE(1900,1,1),$L10)</f>
        <v/>
      </c>
      <c r="O10" s="24">
        <f>IF($M10="",DATE(2100,12,31),$M10)</f>
        <v/>
      </c>
      <c r="P10" s="16" t="inlineStr"/>
      <c r="Q10" s="16" t="inlineStr"/>
      <c r="R10" s="29">
        <f>IF($C10="","",IFERROR(IF(INDEX(Deals!$U$2:$U$355,MATCH($C10,Deals!$A$2:$A$355,0))=0,"",INDEX(Deals!$U$2:$U$355,MATCH($C10,Deals!$A$2:$A$355,0))),""))</f>
        <v/>
      </c>
      <c r="S10" s="22">
        <f>IFERROR(IF($U10="",1,INDEX(Deals!$V$2:$V$355,MATCH($C10,Deals!$A$2:$A$355,0))),1)</f>
        <v/>
      </c>
      <c r="T10" s="22">
        <f>IFERROR(IF($U10="",1,INDEX(Deals!$W$2:$W$355,MATCH($C10,Deals!$A$2:$A$355,0))),1)</f>
        <v/>
      </c>
      <c r="U10" s="31">
        <f>IF($C10="","",IFERROR(IF(INDEX(Deals!$Y$2:$Y$355,MATCH($C10,Deals!$A$2:$A$355,0))=0,"",INDEX(Deals!$Y$2:$Y$355,MATCH($C10,Deals!$A$2:$A$355,0))),""))</f>
        <v/>
      </c>
      <c r="V10" s="24">
        <f>IF($U10="",DATE(1900,1,1),$N10)</f>
        <v/>
      </c>
      <c r="W10" s="24">
        <f>IF($U10="",DATE(2100,12,31),$U10)</f>
        <v/>
      </c>
      <c r="X10" s="20">
        <f>IF($U10="",$K10,$K10*$S10)</f>
        <v/>
      </c>
      <c r="Y10" s="24">
        <f>IF($U10="",DATE(2100,12,31),$U10+1)</f>
        <v/>
      </c>
      <c r="Z10" s="24">
        <f>IF($U10="",DATE(1900,1,1),$O10)</f>
        <v/>
      </c>
      <c r="AA10" s="20">
        <f>IF($U10="",0,$K10*$T10)</f>
        <v/>
      </c>
    </row>
    <row r="11">
      <c r="A11" s="15" t="inlineStr">
        <is>
          <t>Tania</t>
        </is>
      </c>
      <c r="B11" s="29">
        <f>IF($A11="","",IFERROR(INDEX(Roster!$B$2:$B$40,MATCH($A11,Roster!$A$2:$A$40,0)),"?"))</f>
        <v/>
      </c>
      <c r="C11" s="15" t="inlineStr">
        <is>
          <t>Cactus</t>
        </is>
      </c>
      <c r="D11" s="29">
        <f>IF($C11="","",IFERROR(IF(INDEX(Deals!$C$2:$C$355,MATCH($C11,Deals!$A$2:$A$355,0))=0,"",INDEX(Deals!$C$2:$C$355,MATCH($C11,Deals!$A$2:$A$355,0))),"?"))</f>
        <v/>
      </c>
      <c r="E11" s="29">
        <f>IF($C11="","",IFERROR(INDEX(Deals!$F$2:$F$355,MATCH($C11,Deals!$A$2:$A$355,0)),"?"))</f>
        <v/>
      </c>
      <c r="F11" s="15" t="inlineStr">
        <is>
          <t>Partner</t>
        </is>
      </c>
      <c r="G11" s="15" t="inlineStr">
        <is>
          <t>Active</t>
        </is>
      </c>
      <c r="H11" s="27" t="n"/>
      <c r="I11" s="20">
        <f>IF(OR($A11="",$G11&lt;&gt;"Active"),0,IF($H11&lt;&gt;"",$H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</f>
        <v/>
      </c>
      <c r="J11" s="23">
        <f>IF($C11="",0,IFERROR(INDEX(Deals!$H$2:$H$355,MATCH($C11,Deals!$A$2:$A$355,0)),0))</f>
        <v/>
      </c>
      <c r="K11" s="20">
        <f>IF(Settings!$B$4="Yes",$I11*$J11,$I11)</f>
        <v/>
      </c>
      <c r="L11" s="31">
        <f>IF($C11="","",IFERROR(IF(INDEX(Deals!$I$2:$I$355,MATCH($C11,Deals!$A$2:$A$355,0))=0,"",INDEX(Deals!$I$2:$I$355,MATCH($C11,Deals!$A$2:$A$355,0))),""))</f>
        <v/>
      </c>
      <c r="M11" s="31">
        <f>IF($C11="","",IFERROR(IF(INDEX(Deals!$J$2:$J$355,MATCH($C11,Deals!$A$2:$A$355,0))=0,"",INDEX(Deals!$J$2:$J$355,MATCH($C11,Deals!$A$2:$A$355,0))),""))</f>
        <v/>
      </c>
      <c r="N11" s="24">
        <f>IF($L11="",DATE(1900,1,1),$L11)</f>
        <v/>
      </c>
      <c r="O11" s="24">
        <f>IF($M11="",DATE(2100,12,31),$M11)</f>
        <v/>
      </c>
      <c r="P11" s="16" t="inlineStr"/>
      <c r="Q11" s="16" t="inlineStr"/>
      <c r="R11" s="29">
        <f>IF($C11="","",IFERROR(IF(INDEX(Deals!$U$2:$U$355,MATCH($C11,Deals!$A$2:$A$355,0))=0,"",INDEX(Deals!$U$2:$U$355,MATCH($C11,Deals!$A$2:$A$355,0))),""))</f>
        <v/>
      </c>
      <c r="S11" s="22">
        <f>IFERROR(IF($U11="",1,INDEX(Deals!$V$2:$V$355,MATCH($C11,Deals!$A$2:$A$355,0))),1)</f>
        <v/>
      </c>
      <c r="T11" s="22">
        <f>IFERROR(IF($U11="",1,INDEX(Deals!$W$2:$W$355,MATCH($C11,Deals!$A$2:$A$355,0))),1)</f>
        <v/>
      </c>
      <c r="U11" s="31">
        <f>IF($C11="","",IFERROR(IF(INDEX(Deals!$Y$2:$Y$355,MATCH($C11,Deals!$A$2:$A$355,0))=0,"",INDEX(Deals!$Y$2:$Y$355,MATCH($C11,Deals!$A$2:$A$355,0))),""))</f>
        <v/>
      </c>
      <c r="V11" s="24">
        <f>IF($U11="",DATE(1900,1,1),$N11)</f>
        <v/>
      </c>
      <c r="W11" s="24">
        <f>IF($U11="",DATE(2100,12,31),$U11)</f>
        <v/>
      </c>
      <c r="X11" s="20">
        <f>IF($U11="",$K11,$K11*$S11)</f>
        <v/>
      </c>
      <c r="Y11" s="24">
        <f>IF($U11="",DATE(2100,12,31),$U11+1)</f>
        <v/>
      </c>
      <c r="Z11" s="24">
        <f>IF($U11="",DATE(1900,1,1),$O11)</f>
        <v/>
      </c>
      <c r="AA11" s="20">
        <f>IF($U11="",0,$K11*$T11)</f>
        <v/>
      </c>
    </row>
    <row r="12">
      <c r="A12" s="15" t="inlineStr">
        <is>
          <t>Tania</t>
        </is>
      </c>
      <c r="B12" s="29">
        <f>IF($A12="","",IFERROR(INDEX(Roster!$B$2:$B$40,MATCH($A12,Roster!$A$2:$A$40,0)),"?"))</f>
        <v/>
      </c>
      <c r="C12" s="15" t="inlineStr">
        <is>
          <t>Canyon_2</t>
        </is>
      </c>
      <c r="D12" s="29">
        <f>IF($C12="","",IFERROR(IF(INDEX(Deals!$C$2:$C$355,MATCH($C12,Deals!$A$2:$A$355,0))=0,"",INDEX(Deals!$C$2:$C$355,MATCH($C12,Deals!$A$2:$A$355,0))),"?"))</f>
        <v/>
      </c>
      <c r="E12" s="29">
        <f>IF($C12="","",IFERROR(INDEX(Deals!$F$2:$F$355,MATCH($C12,Deals!$A$2:$A$355,0)),"?"))</f>
        <v/>
      </c>
      <c r="F12" s="15" t="inlineStr">
        <is>
          <t>Partner</t>
        </is>
      </c>
      <c r="G12" s="15" t="inlineStr">
        <is>
          <t>Active</t>
        </is>
      </c>
      <c r="H12" s="27" t="n"/>
      <c r="I12" s="20">
        <f>IF(OR($A12="",$G12&lt;&gt;"Active"),0,IF($H12&lt;&gt;"",$H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</f>
        <v/>
      </c>
      <c r="J12" s="23">
        <f>IF($C12="",0,IFERROR(INDEX(Deals!$H$2:$H$355,MATCH($C12,Deals!$A$2:$A$355,0)),0))</f>
        <v/>
      </c>
      <c r="K12" s="20">
        <f>IF(Settings!$B$4="Yes",$I12*$J12,$I12)</f>
        <v/>
      </c>
      <c r="L12" s="31">
        <f>IF($C12="","",IFERROR(IF(INDEX(Deals!$I$2:$I$355,MATCH($C12,Deals!$A$2:$A$355,0))=0,"",INDEX(Deals!$I$2:$I$355,MATCH($C12,Deals!$A$2:$A$355,0))),""))</f>
        <v/>
      </c>
      <c r="M12" s="31">
        <f>IF($C12="","",IFERROR(IF(INDEX(Deals!$J$2:$J$355,MATCH($C12,Deals!$A$2:$A$355,0))=0,"",INDEX(Deals!$J$2:$J$355,MATCH($C12,Deals!$A$2:$A$355,0))),""))</f>
        <v/>
      </c>
      <c r="N12" s="24">
        <f>IF($L12="",DATE(1900,1,1),$L12)</f>
        <v/>
      </c>
      <c r="O12" s="24">
        <f>IF($M12="",DATE(2100,12,31),$M12)</f>
        <v/>
      </c>
      <c r="P12" s="16" t="inlineStr"/>
      <c r="Q12" s="16" t="inlineStr"/>
      <c r="R12" s="29">
        <f>IF($C12="","",IFERROR(IF(INDEX(Deals!$U$2:$U$355,MATCH($C12,Deals!$A$2:$A$355,0))=0,"",INDEX(Deals!$U$2:$U$355,MATCH($C12,Deals!$A$2:$A$355,0))),""))</f>
        <v/>
      </c>
      <c r="S12" s="22">
        <f>IFERROR(IF($U12="",1,INDEX(Deals!$V$2:$V$355,MATCH($C12,Deals!$A$2:$A$355,0))),1)</f>
        <v/>
      </c>
      <c r="T12" s="22">
        <f>IFERROR(IF($U12="",1,INDEX(Deals!$W$2:$W$355,MATCH($C12,Deals!$A$2:$A$355,0))),1)</f>
        <v/>
      </c>
      <c r="U12" s="31">
        <f>IF($C12="","",IFERROR(IF(INDEX(Deals!$Y$2:$Y$355,MATCH($C12,Deals!$A$2:$A$355,0))=0,"",INDEX(Deals!$Y$2:$Y$355,MATCH($C12,Deals!$A$2:$A$355,0))),""))</f>
        <v/>
      </c>
      <c r="V12" s="24">
        <f>IF($U12="",DATE(1900,1,1),$N12)</f>
        <v/>
      </c>
      <c r="W12" s="24">
        <f>IF($U12="",DATE(2100,12,31),$U12)</f>
        <v/>
      </c>
      <c r="X12" s="20">
        <f>IF($U12="",$K12,$K12*$S12)</f>
        <v/>
      </c>
      <c r="Y12" s="24">
        <f>IF($U12="",DATE(2100,12,31),$U12+1)</f>
        <v/>
      </c>
      <c r="Z12" s="24">
        <f>IF($U12="",DATE(1900,1,1),$O12)</f>
        <v/>
      </c>
      <c r="AA12" s="20">
        <f>IF($U12="",0,$K12*$T12)</f>
        <v/>
      </c>
    </row>
    <row r="13">
      <c r="A13" s="15" t="inlineStr">
        <is>
          <t>Tania</t>
        </is>
      </c>
      <c r="B13" s="29">
        <f>IF($A13="","",IFERROR(INDEX(Roster!$B$2:$B$40,MATCH($A13,Roster!$A$2:$A$40,0)),"?"))</f>
        <v/>
      </c>
      <c r="C13" s="15" t="inlineStr">
        <is>
          <t>Care_1</t>
        </is>
      </c>
      <c r="D13" s="29">
        <f>IF($C13="","",IFERROR(IF(INDEX(Deals!$C$2:$C$355,MATCH($C13,Deals!$A$2:$A$355,0))=0,"",INDEX(Deals!$C$2:$C$355,MATCH($C13,Deals!$A$2:$A$355,0))),"?"))</f>
        <v/>
      </c>
      <c r="E13" s="29">
        <f>IF($C13="","",IFERROR(INDEX(Deals!$F$2:$F$355,MATCH($C13,Deals!$A$2:$A$355,0)),"?"))</f>
        <v/>
      </c>
      <c r="F13" s="15" t="inlineStr">
        <is>
          <t>Partner</t>
        </is>
      </c>
      <c r="G13" s="15" t="inlineStr">
        <is>
          <t>Active</t>
        </is>
      </c>
      <c r="H13" s="27" t="n"/>
      <c r="I13" s="20">
        <f>IF(OR($A13="",$G13&lt;&gt;"Active"),0,IF($H13&lt;&gt;"",$H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</f>
        <v/>
      </c>
      <c r="J13" s="23">
        <f>IF($C13="",0,IFERROR(INDEX(Deals!$H$2:$H$355,MATCH($C13,Deals!$A$2:$A$355,0)),0))</f>
        <v/>
      </c>
      <c r="K13" s="20">
        <f>IF(Settings!$B$4="Yes",$I13*$J13,$I13)</f>
        <v/>
      </c>
      <c r="L13" s="31">
        <f>IF($C13="","",IFERROR(IF(INDEX(Deals!$I$2:$I$355,MATCH($C13,Deals!$A$2:$A$355,0))=0,"",INDEX(Deals!$I$2:$I$355,MATCH($C13,Deals!$A$2:$A$355,0))),""))</f>
        <v/>
      </c>
      <c r="M13" s="31">
        <f>IF($C13="","",IFERROR(IF(INDEX(Deals!$J$2:$J$355,MATCH($C13,Deals!$A$2:$A$355,0))=0,"",INDEX(Deals!$J$2:$J$355,MATCH($C13,Deals!$A$2:$A$355,0))),""))</f>
        <v/>
      </c>
      <c r="N13" s="24">
        <f>IF($L13="",DATE(1900,1,1),$L13)</f>
        <v/>
      </c>
      <c r="O13" s="24">
        <f>IF($M13="",DATE(2100,12,31),$M13)</f>
        <v/>
      </c>
      <c r="P13" s="16" t="inlineStr"/>
      <c r="Q13" s="16" t="inlineStr"/>
      <c r="R13" s="29">
        <f>IF($C13="","",IFERROR(IF(INDEX(Deals!$U$2:$U$355,MATCH($C13,Deals!$A$2:$A$355,0))=0,"",INDEX(Deals!$U$2:$U$355,MATCH($C13,Deals!$A$2:$A$355,0))),""))</f>
        <v/>
      </c>
      <c r="S13" s="22">
        <f>IFERROR(IF($U13="",1,INDEX(Deals!$V$2:$V$355,MATCH($C13,Deals!$A$2:$A$355,0))),1)</f>
        <v/>
      </c>
      <c r="T13" s="22">
        <f>IFERROR(IF($U13="",1,INDEX(Deals!$W$2:$W$355,MATCH($C13,Deals!$A$2:$A$355,0))),1)</f>
        <v/>
      </c>
      <c r="U13" s="31">
        <f>IF($C13="","",IFERROR(IF(INDEX(Deals!$Y$2:$Y$355,MATCH($C13,Deals!$A$2:$A$355,0))=0,"",INDEX(Deals!$Y$2:$Y$355,MATCH($C13,Deals!$A$2:$A$355,0))),""))</f>
        <v/>
      </c>
      <c r="V13" s="24">
        <f>IF($U13="",DATE(1900,1,1),$N13)</f>
        <v/>
      </c>
      <c r="W13" s="24">
        <f>IF($U13="",DATE(2100,12,31),$U13)</f>
        <v/>
      </c>
      <c r="X13" s="20">
        <f>IF($U13="",$K13,$K13*$S13)</f>
        <v/>
      </c>
      <c r="Y13" s="24">
        <f>IF($U13="",DATE(2100,12,31),$U13+1)</f>
        <v/>
      </c>
      <c r="Z13" s="24">
        <f>IF($U13="",DATE(1900,1,1),$O13)</f>
        <v/>
      </c>
      <c r="AA13" s="20">
        <f>IF($U13="",0,$K13*$T13)</f>
        <v/>
      </c>
    </row>
    <row r="14">
      <c r="A14" s="15" t="inlineStr">
        <is>
          <t>Tania</t>
        </is>
      </c>
      <c r="B14" s="29">
        <f>IF($A14="","",IFERROR(INDEX(Roster!$B$2:$B$40,MATCH($A14,Roster!$A$2:$A$40,0)),"?"))</f>
        <v/>
      </c>
      <c r="C14" s="15" t="inlineStr">
        <is>
          <t>Celestial_1</t>
        </is>
      </c>
      <c r="D14" s="29">
        <f>IF($C14="","",IFERROR(IF(INDEX(Deals!$C$2:$C$355,MATCH($C14,Deals!$A$2:$A$355,0))=0,"",INDEX(Deals!$C$2:$C$355,MATCH($C14,Deals!$A$2:$A$355,0))),"?"))</f>
        <v/>
      </c>
      <c r="E14" s="29">
        <f>IF($C14="","",IFERROR(INDEX(Deals!$F$2:$F$355,MATCH($C14,Deals!$A$2:$A$355,0)),"?"))</f>
        <v/>
      </c>
      <c r="F14" s="15" t="inlineStr">
        <is>
          <t>Partner</t>
        </is>
      </c>
      <c r="G14" s="15" t="inlineStr">
        <is>
          <t>Active</t>
        </is>
      </c>
      <c r="H14" s="27" t="n"/>
      <c r="I14" s="20">
        <f>IF(OR($A14="",$G14&lt;&gt;"Active"),0,IF($H14&lt;&gt;"",$H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</f>
        <v/>
      </c>
      <c r="J14" s="23">
        <f>IF($C14="",0,IFERROR(INDEX(Deals!$H$2:$H$355,MATCH($C14,Deals!$A$2:$A$355,0)),0))</f>
        <v/>
      </c>
      <c r="K14" s="20">
        <f>IF(Settings!$B$4="Yes",$I14*$J14,$I14)</f>
        <v/>
      </c>
      <c r="L14" s="31">
        <f>IF($C14="","",IFERROR(IF(INDEX(Deals!$I$2:$I$355,MATCH($C14,Deals!$A$2:$A$355,0))=0,"",INDEX(Deals!$I$2:$I$355,MATCH($C14,Deals!$A$2:$A$355,0))),""))</f>
        <v/>
      </c>
      <c r="M14" s="31">
        <f>IF($C14="","",IFERROR(IF(INDEX(Deals!$J$2:$J$355,MATCH($C14,Deals!$A$2:$A$355,0))=0,"",INDEX(Deals!$J$2:$J$355,MATCH($C14,Deals!$A$2:$A$355,0))),""))</f>
        <v/>
      </c>
      <c r="N14" s="24">
        <f>IF($L14="",DATE(1900,1,1),$L14)</f>
        <v/>
      </c>
      <c r="O14" s="24">
        <f>IF($M14="",DATE(2100,12,31),$M14)</f>
        <v/>
      </c>
      <c r="P14" s="16" t="inlineStr"/>
      <c r="Q14" s="16" t="inlineStr"/>
      <c r="R14" s="29">
        <f>IF($C14="","",IFERROR(IF(INDEX(Deals!$U$2:$U$355,MATCH($C14,Deals!$A$2:$A$355,0))=0,"",INDEX(Deals!$U$2:$U$355,MATCH($C14,Deals!$A$2:$A$355,0))),""))</f>
        <v/>
      </c>
      <c r="S14" s="22">
        <f>IFERROR(IF($U14="",1,INDEX(Deals!$V$2:$V$355,MATCH($C14,Deals!$A$2:$A$355,0))),1)</f>
        <v/>
      </c>
      <c r="T14" s="22">
        <f>IFERROR(IF($U14="",1,INDEX(Deals!$W$2:$W$355,MATCH($C14,Deals!$A$2:$A$355,0))),1)</f>
        <v/>
      </c>
      <c r="U14" s="31">
        <f>IF($C14="","",IFERROR(IF(INDEX(Deals!$Y$2:$Y$355,MATCH($C14,Deals!$A$2:$A$355,0))=0,"",INDEX(Deals!$Y$2:$Y$355,MATCH($C14,Deals!$A$2:$A$355,0))),""))</f>
        <v/>
      </c>
      <c r="V14" s="24">
        <f>IF($U14="",DATE(1900,1,1),$N14)</f>
        <v/>
      </c>
      <c r="W14" s="24">
        <f>IF($U14="",DATE(2100,12,31),$U14)</f>
        <v/>
      </c>
      <c r="X14" s="20">
        <f>IF($U14="",$K14,$K14*$S14)</f>
        <v/>
      </c>
      <c r="Y14" s="24">
        <f>IF($U14="",DATE(2100,12,31),$U14+1)</f>
        <v/>
      </c>
      <c r="Z14" s="24">
        <f>IF($U14="",DATE(1900,1,1),$O14)</f>
        <v/>
      </c>
      <c r="AA14" s="20">
        <f>IF($U14="",0,$K14*$T14)</f>
        <v/>
      </c>
    </row>
    <row r="15">
      <c r="A15" s="15" t="inlineStr">
        <is>
          <t>Tania</t>
        </is>
      </c>
      <c r="B15" s="29">
        <f>IF($A15="","",IFERROR(INDEX(Roster!$B$2:$B$40,MATCH($A15,Roster!$A$2:$A$40,0)),"?"))</f>
        <v/>
      </c>
      <c r="C15" s="15" t="inlineStr">
        <is>
          <t>Circuit_1</t>
        </is>
      </c>
      <c r="D15" s="29">
        <f>IF($C15="","",IFERROR(IF(INDEX(Deals!$C$2:$C$355,MATCH($C15,Deals!$A$2:$A$355,0))=0,"",INDEX(Deals!$C$2:$C$355,MATCH($C15,Deals!$A$2:$A$355,0))),"?"))</f>
        <v/>
      </c>
      <c r="E15" s="29">
        <f>IF($C15="","",IFERROR(INDEX(Deals!$F$2:$F$355,MATCH($C15,Deals!$A$2:$A$355,0)),"?"))</f>
        <v/>
      </c>
      <c r="F15" s="15" t="inlineStr">
        <is>
          <t>Partner</t>
        </is>
      </c>
      <c r="G15" s="15" t="inlineStr">
        <is>
          <t>Active</t>
        </is>
      </c>
      <c r="H15" s="27" t="n"/>
      <c r="I15" s="20">
        <f>IF(OR($A15="",$G15&lt;&gt;"Active"),0,IF($H15&lt;&gt;"",$H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</f>
        <v/>
      </c>
      <c r="J15" s="23">
        <f>IF($C15="",0,IFERROR(INDEX(Deals!$H$2:$H$355,MATCH($C15,Deals!$A$2:$A$355,0)),0))</f>
        <v/>
      </c>
      <c r="K15" s="20">
        <f>IF(Settings!$B$4="Yes",$I15*$J15,$I15)</f>
        <v/>
      </c>
      <c r="L15" s="31">
        <f>IF($C15="","",IFERROR(IF(INDEX(Deals!$I$2:$I$355,MATCH($C15,Deals!$A$2:$A$355,0))=0,"",INDEX(Deals!$I$2:$I$355,MATCH($C15,Deals!$A$2:$A$355,0))),""))</f>
        <v/>
      </c>
      <c r="M15" s="31">
        <f>IF($C15="","",IFERROR(IF(INDEX(Deals!$J$2:$J$355,MATCH($C15,Deals!$A$2:$A$355,0))=0,"",INDEX(Deals!$J$2:$J$355,MATCH($C15,Deals!$A$2:$A$355,0))),""))</f>
        <v/>
      </c>
      <c r="N15" s="24">
        <f>IF($L15="",DATE(1900,1,1),$L15)</f>
        <v/>
      </c>
      <c r="O15" s="24">
        <f>IF($M15="",DATE(2100,12,31),$M15)</f>
        <v/>
      </c>
      <c r="P15" s="16" t="inlineStr"/>
      <c r="Q15" s="16" t="inlineStr"/>
      <c r="R15" s="29">
        <f>IF($C15="","",IFERROR(IF(INDEX(Deals!$U$2:$U$355,MATCH($C15,Deals!$A$2:$A$355,0))=0,"",INDEX(Deals!$U$2:$U$355,MATCH($C15,Deals!$A$2:$A$355,0))),""))</f>
        <v/>
      </c>
      <c r="S15" s="22">
        <f>IFERROR(IF($U15="",1,INDEX(Deals!$V$2:$V$355,MATCH($C15,Deals!$A$2:$A$355,0))),1)</f>
        <v/>
      </c>
      <c r="T15" s="22">
        <f>IFERROR(IF($U15="",1,INDEX(Deals!$W$2:$W$355,MATCH($C15,Deals!$A$2:$A$355,0))),1)</f>
        <v/>
      </c>
      <c r="U15" s="31">
        <f>IF($C15="","",IFERROR(IF(INDEX(Deals!$Y$2:$Y$355,MATCH($C15,Deals!$A$2:$A$355,0))=0,"",INDEX(Deals!$Y$2:$Y$355,MATCH($C15,Deals!$A$2:$A$355,0))),""))</f>
        <v/>
      </c>
      <c r="V15" s="24">
        <f>IF($U15="",DATE(1900,1,1),$N15)</f>
        <v/>
      </c>
      <c r="W15" s="24">
        <f>IF($U15="",DATE(2100,12,31),$U15)</f>
        <v/>
      </c>
      <c r="X15" s="20">
        <f>IF($U15="",$K15,$K15*$S15)</f>
        <v/>
      </c>
      <c r="Y15" s="24">
        <f>IF($U15="",DATE(2100,12,31),$U15+1)</f>
        <v/>
      </c>
      <c r="Z15" s="24">
        <f>IF($U15="",DATE(1900,1,1),$O15)</f>
        <v/>
      </c>
      <c r="AA15" s="20">
        <f>IF($U15="",0,$K15*$T15)</f>
        <v/>
      </c>
    </row>
    <row r="16">
      <c r="A16" s="15" t="inlineStr">
        <is>
          <t>Tania</t>
        </is>
      </c>
      <c r="B16" s="29">
        <f>IF($A16="","",IFERROR(INDEX(Roster!$B$2:$B$40,MATCH($A16,Roster!$A$2:$A$40,0)),"?"))</f>
        <v/>
      </c>
      <c r="C16" s="15" t="inlineStr">
        <is>
          <t>Cohost_1</t>
        </is>
      </c>
      <c r="D16" s="29">
        <f>IF($C16="","",IFERROR(IF(INDEX(Deals!$C$2:$C$355,MATCH($C16,Deals!$A$2:$A$355,0))=0,"",INDEX(Deals!$C$2:$C$355,MATCH($C16,Deals!$A$2:$A$355,0))),"?"))</f>
        <v/>
      </c>
      <c r="E16" s="29">
        <f>IF($C16="","",IFERROR(INDEX(Deals!$F$2:$F$355,MATCH($C16,Deals!$A$2:$A$355,0)),"?"))</f>
        <v/>
      </c>
      <c r="F16" s="15" t="inlineStr">
        <is>
          <t>Partner</t>
        </is>
      </c>
      <c r="G16" s="15" t="inlineStr">
        <is>
          <t>Active</t>
        </is>
      </c>
      <c r="H16" s="27" t="n"/>
      <c r="I16" s="20">
        <f>IF(OR($A16="",$G16&lt;&gt;"Active"),0,IF($H16&lt;&gt;"",$H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</f>
        <v/>
      </c>
      <c r="J16" s="23">
        <f>IF($C16="",0,IFERROR(INDEX(Deals!$H$2:$H$355,MATCH($C16,Deals!$A$2:$A$355,0)),0))</f>
        <v/>
      </c>
      <c r="K16" s="20">
        <f>IF(Settings!$B$4="Yes",$I16*$J16,$I16)</f>
        <v/>
      </c>
      <c r="L16" s="31">
        <f>IF($C16="","",IFERROR(IF(INDEX(Deals!$I$2:$I$355,MATCH($C16,Deals!$A$2:$A$355,0))=0,"",INDEX(Deals!$I$2:$I$355,MATCH($C16,Deals!$A$2:$A$355,0))),""))</f>
        <v/>
      </c>
      <c r="M16" s="31">
        <f>IF($C16="","",IFERROR(IF(INDEX(Deals!$J$2:$J$355,MATCH($C16,Deals!$A$2:$A$355,0))=0,"",INDEX(Deals!$J$2:$J$355,MATCH($C16,Deals!$A$2:$A$355,0))),""))</f>
        <v/>
      </c>
      <c r="N16" s="24">
        <f>IF($L16="",DATE(1900,1,1),$L16)</f>
        <v/>
      </c>
      <c r="O16" s="24">
        <f>IF($M16="",DATE(2100,12,31),$M16)</f>
        <v/>
      </c>
      <c r="P16" s="16" t="inlineStr"/>
      <c r="Q16" s="16" t="inlineStr"/>
      <c r="R16" s="29">
        <f>IF($C16="","",IFERROR(IF(INDEX(Deals!$U$2:$U$355,MATCH($C16,Deals!$A$2:$A$355,0))=0,"",INDEX(Deals!$U$2:$U$355,MATCH($C16,Deals!$A$2:$A$355,0))),""))</f>
        <v/>
      </c>
      <c r="S16" s="22">
        <f>IFERROR(IF($U16="",1,INDEX(Deals!$V$2:$V$355,MATCH($C16,Deals!$A$2:$A$355,0))),1)</f>
        <v/>
      </c>
      <c r="T16" s="22">
        <f>IFERROR(IF($U16="",1,INDEX(Deals!$W$2:$W$355,MATCH($C16,Deals!$A$2:$A$355,0))),1)</f>
        <v/>
      </c>
      <c r="U16" s="31">
        <f>IF($C16="","",IFERROR(IF(INDEX(Deals!$Y$2:$Y$355,MATCH($C16,Deals!$A$2:$A$355,0))=0,"",INDEX(Deals!$Y$2:$Y$355,MATCH($C16,Deals!$A$2:$A$355,0))),""))</f>
        <v/>
      </c>
      <c r="V16" s="24">
        <f>IF($U16="",DATE(1900,1,1),$N16)</f>
        <v/>
      </c>
      <c r="W16" s="24">
        <f>IF($U16="",DATE(2100,12,31),$U16)</f>
        <v/>
      </c>
      <c r="X16" s="20">
        <f>IF($U16="",$K16,$K16*$S16)</f>
        <v/>
      </c>
      <c r="Y16" s="24">
        <f>IF($U16="",DATE(2100,12,31),$U16+1)</f>
        <v/>
      </c>
      <c r="Z16" s="24">
        <f>IF($U16="",DATE(1900,1,1),$O16)</f>
        <v/>
      </c>
      <c r="AA16" s="20">
        <f>IF($U16="",0,$K16*$T16)</f>
        <v/>
      </c>
    </row>
    <row r="17">
      <c r="A17" s="15" t="inlineStr">
        <is>
          <t>Tania</t>
        </is>
      </c>
      <c r="B17" s="29">
        <f>IF($A17="","",IFERROR(INDEX(Roster!$B$2:$B$40,MATCH($A17,Roster!$A$2:$A$40,0)),"?"))</f>
        <v/>
      </c>
      <c r="C17" s="15" t="inlineStr">
        <is>
          <t>Concrete_1</t>
        </is>
      </c>
      <c r="D17" s="29">
        <f>IF($C17="","",IFERROR(IF(INDEX(Deals!$C$2:$C$355,MATCH($C17,Deals!$A$2:$A$355,0))=0,"",INDEX(Deals!$C$2:$C$355,MATCH($C17,Deals!$A$2:$A$355,0))),"?"))</f>
        <v/>
      </c>
      <c r="E17" s="29">
        <f>IF($C17="","",IFERROR(INDEX(Deals!$F$2:$F$355,MATCH($C17,Deals!$A$2:$A$355,0)),"?"))</f>
        <v/>
      </c>
      <c r="F17" s="15" t="inlineStr">
        <is>
          <t>Partner</t>
        </is>
      </c>
      <c r="G17" s="15" t="inlineStr">
        <is>
          <t>Active</t>
        </is>
      </c>
      <c r="H17" s="27" t="n"/>
      <c r="I17" s="20">
        <f>IF(OR($A17="",$G17&lt;&gt;"Active"),0,IF($H17&lt;&gt;"",$H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</f>
        <v/>
      </c>
      <c r="J17" s="23">
        <f>IF($C17="",0,IFERROR(INDEX(Deals!$H$2:$H$355,MATCH($C17,Deals!$A$2:$A$355,0)),0))</f>
        <v/>
      </c>
      <c r="K17" s="20">
        <f>IF(Settings!$B$4="Yes",$I17*$J17,$I17)</f>
        <v/>
      </c>
      <c r="L17" s="31">
        <f>IF($C17="","",IFERROR(IF(INDEX(Deals!$I$2:$I$355,MATCH($C17,Deals!$A$2:$A$355,0))=0,"",INDEX(Deals!$I$2:$I$355,MATCH($C17,Deals!$A$2:$A$355,0))),""))</f>
        <v/>
      </c>
      <c r="M17" s="31">
        <f>IF($C17="","",IFERROR(IF(INDEX(Deals!$J$2:$J$355,MATCH($C17,Deals!$A$2:$A$355,0))=0,"",INDEX(Deals!$J$2:$J$355,MATCH($C17,Deals!$A$2:$A$355,0))),""))</f>
        <v/>
      </c>
      <c r="N17" s="24">
        <f>IF($L17="",DATE(1900,1,1),$L17)</f>
        <v/>
      </c>
      <c r="O17" s="24">
        <f>IF($M17="",DATE(2100,12,31),$M17)</f>
        <v/>
      </c>
      <c r="P17" s="16" t="inlineStr"/>
      <c r="Q17" s="16" t="inlineStr"/>
      <c r="R17" s="29">
        <f>IF($C17="","",IFERROR(IF(INDEX(Deals!$U$2:$U$355,MATCH($C17,Deals!$A$2:$A$355,0))=0,"",INDEX(Deals!$U$2:$U$355,MATCH($C17,Deals!$A$2:$A$355,0))),""))</f>
        <v/>
      </c>
      <c r="S17" s="22">
        <f>IFERROR(IF($U17="",1,INDEX(Deals!$V$2:$V$355,MATCH($C17,Deals!$A$2:$A$355,0))),1)</f>
        <v/>
      </c>
      <c r="T17" s="22">
        <f>IFERROR(IF($U17="",1,INDEX(Deals!$W$2:$W$355,MATCH($C17,Deals!$A$2:$A$355,0))),1)</f>
        <v/>
      </c>
      <c r="U17" s="31">
        <f>IF($C17="","",IFERROR(IF(INDEX(Deals!$Y$2:$Y$355,MATCH($C17,Deals!$A$2:$A$355,0))=0,"",INDEX(Deals!$Y$2:$Y$355,MATCH($C17,Deals!$A$2:$A$355,0))),""))</f>
        <v/>
      </c>
      <c r="V17" s="24">
        <f>IF($U17="",DATE(1900,1,1),$N17)</f>
        <v/>
      </c>
      <c r="W17" s="24">
        <f>IF($U17="",DATE(2100,12,31),$U17)</f>
        <v/>
      </c>
      <c r="X17" s="20">
        <f>IF($U17="",$K17,$K17*$S17)</f>
        <v/>
      </c>
      <c r="Y17" s="24">
        <f>IF($U17="",DATE(2100,12,31),$U17+1)</f>
        <v/>
      </c>
      <c r="Z17" s="24">
        <f>IF($U17="",DATE(1900,1,1),$O17)</f>
        <v/>
      </c>
      <c r="AA17" s="20">
        <f>IF($U17="",0,$K17*$T17)</f>
        <v/>
      </c>
    </row>
    <row r="18">
      <c r="A18" s="15" t="inlineStr">
        <is>
          <t>Tania</t>
        </is>
      </c>
      <c r="B18" s="29">
        <f>IF($A18="","",IFERROR(INDEX(Roster!$B$2:$B$40,MATCH($A18,Roster!$A$2:$A$40,0)),"?"))</f>
        <v/>
      </c>
      <c r="C18" s="15" t="inlineStr">
        <is>
          <t>Coral II_1</t>
        </is>
      </c>
      <c r="D18" s="29">
        <f>IF($C18="","",IFERROR(IF(INDEX(Deals!$C$2:$C$355,MATCH($C18,Deals!$A$2:$A$355,0))=0,"",INDEX(Deals!$C$2:$C$355,MATCH($C18,Deals!$A$2:$A$355,0))),"?"))</f>
        <v/>
      </c>
      <c r="E18" s="29">
        <f>IF($C18="","",IFERROR(INDEX(Deals!$F$2:$F$355,MATCH($C18,Deals!$A$2:$A$355,0)),"?"))</f>
        <v/>
      </c>
      <c r="F18" s="15" t="inlineStr">
        <is>
          <t>Partner</t>
        </is>
      </c>
      <c r="G18" s="15" t="inlineStr">
        <is>
          <t>Active</t>
        </is>
      </c>
      <c r="H18" s="27" t="n"/>
      <c r="I18" s="20">
        <f>IF(OR($A18="",$G18&lt;&gt;"Active"),0,IF($H18&lt;&gt;"",$H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</f>
        <v/>
      </c>
      <c r="J18" s="23">
        <f>IF($C18="",0,IFERROR(INDEX(Deals!$H$2:$H$355,MATCH($C18,Deals!$A$2:$A$355,0)),0))</f>
        <v/>
      </c>
      <c r="K18" s="20">
        <f>IF(Settings!$B$4="Yes",$I18*$J18,$I18)</f>
        <v/>
      </c>
      <c r="L18" s="31">
        <f>IF($C18="","",IFERROR(IF(INDEX(Deals!$I$2:$I$355,MATCH($C18,Deals!$A$2:$A$355,0))=0,"",INDEX(Deals!$I$2:$I$355,MATCH($C18,Deals!$A$2:$A$355,0))),""))</f>
        <v/>
      </c>
      <c r="M18" s="31">
        <f>IF($C18="","",IFERROR(IF(INDEX(Deals!$J$2:$J$355,MATCH($C18,Deals!$A$2:$A$355,0))=0,"",INDEX(Deals!$J$2:$J$355,MATCH($C18,Deals!$A$2:$A$355,0))),""))</f>
        <v/>
      </c>
      <c r="N18" s="24">
        <f>IF($L18="",DATE(1900,1,1),$L18)</f>
        <v/>
      </c>
      <c r="O18" s="24">
        <f>IF($M18="",DATE(2100,12,31),$M18)</f>
        <v/>
      </c>
      <c r="P18" s="16" t="inlineStr"/>
      <c r="Q18" s="16" t="inlineStr"/>
      <c r="R18" s="29">
        <f>IF($C18="","",IFERROR(IF(INDEX(Deals!$U$2:$U$355,MATCH($C18,Deals!$A$2:$A$355,0))=0,"",INDEX(Deals!$U$2:$U$355,MATCH($C18,Deals!$A$2:$A$355,0))),""))</f>
        <v/>
      </c>
      <c r="S18" s="22">
        <f>IFERROR(IF($U18="",1,INDEX(Deals!$V$2:$V$355,MATCH($C18,Deals!$A$2:$A$355,0))),1)</f>
        <v/>
      </c>
      <c r="T18" s="22">
        <f>IFERROR(IF($U18="",1,INDEX(Deals!$W$2:$W$355,MATCH($C18,Deals!$A$2:$A$355,0))),1)</f>
        <v/>
      </c>
      <c r="U18" s="31">
        <f>IF($C18="","",IFERROR(IF(INDEX(Deals!$Y$2:$Y$355,MATCH($C18,Deals!$A$2:$A$355,0))=0,"",INDEX(Deals!$Y$2:$Y$355,MATCH($C18,Deals!$A$2:$A$355,0))),""))</f>
        <v/>
      </c>
      <c r="V18" s="24">
        <f>IF($U18="",DATE(1900,1,1),$N18)</f>
        <v/>
      </c>
      <c r="W18" s="24">
        <f>IF($U18="",DATE(2100,12,31),$U18)</f>
        <v/>
      </c>
      <c r="X18" s="20">
        <f>IF($U18="",$K18,$K18*$S18)</f>
        <v/>
      </c>
      <c r="Y18" s="24">
        <f>IF($U18="",DATE(2100,12,31),$U18+1)</f>
        <v/>
      </c>
      <c r="Z18" s="24">
        <f>IF($U18="",DATE(1900,1,1),$O18)</f>
        <v/>
      </c>
      <c r="AA18" s="20">
        <f>IF($U18="",0,$K18*$T18)</f>
        <v/>
      </c>
    </row>
    <row r="19">
      <c r="A19" s="15" t="inlineStr">
        <is>
          <t>Tania</t>
        </is>
      </c>
      <c r="B19" s="29">
        <f>IF($A19="","",IFERROR(INDEX(Roster!$B$2:$B$40,MATCH($A19,Roster!$A$2:$A$40,0)),"?"))</f>
        <v/>
      </c>
      <c r="C19" s="15" t="inlineStr">
        <is>
          <t>Delaware_1</t>
        </is>
      </c>
      <c r="D19" s="29">
        <f>IF($C19="","",IFERROR(IF(INDEX(Deals!$C$2:$C$355,MATCH($C19,Deals!$A$2:$A$355,0))=0,"",INDEX(Deals!$C$2:$C$355,MATCH($C19,Deals!$A$2:$A$355,0))),"?"))</f>
        <v/>
      </c>
      <c r="E19" s="29">
        <f>IF($C19="","",IFERROR(INDEX(Deals!$F$2:$F$355,MATCH($C19,Deals!$A$2:$A$355,0)),"?"))</f>
        <v/>
      </c>
      <c r="F19" s="15" t="inlineStr">
        <is>
          <t>Partner</t>
        </is>
      </c>
      <c r="G19" s="15" t="inlineStr">
        <is>
          <t>Active</t>
        </is>
      </c>
      <c r="H19" s="27" t="n"/>
      <c r="I19" s="20">
        <f>IF(OR($A19="",$G19&lt;&gt;"Active"),0,IF($H19&lt;&gt;"",$H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</f>
        <v/>
      </c>
      <c r="J19" s="23">
        <f>IF($C19="",0,IFERROR(INDEX(Deals!$H$2:$H$355,MATCH($C19,Deals!$A$2:$A$355,0)),0))</f>
        <v/>
      </c>
      <c r="K19" s="20">
        <f>IF(Settings!$B$4="Yes",$I19*$J19,$I19)</f>
        <v/>
      </c>
      <c r="L19" s="31">
        <f>IF($C19="","",IFERROR(IF(INDEX(Deals!$I$2:$I$355,MATCH($C19,Deals!$A$2:$A$355,0))=0,"",INDEX(Deals!$I$2:$I$355,MATCH($C19,Deals!$A$2:$A$355,0))),""))</f>
        <v/>
      </c>
      <c r="M19" s="31">
        <f>IF($C19="","",IFERROR(IF(INDEX(Deals!$J$2:$J$355,MATCH($C19,Deals!$A$2:$A$355,0))=0,"",INDEX(Deals!$J$2:$J$355,MATCH($C19,Deals!$A$2:$A$355,0))),""))</f>
        <v/>
      </c>
      <c r="N19" s="24">
        <f>IF($L19="",DATE(1900,1,1),$L19)</f>
        <v/>
      </c>
      <c r="O19" s="24">
        <f>IF($M19="",DATE(2100,12,31),$M19)</f>
        <v/>
      </c>
      <c r="P19" s="16" t="inlineStr"/>
      <c r="Q19" s="16" t="inlineStr"/>
      <c r="R19" s="29">
        <f>IF($C19="","",IFERROR(IF(INDEX(Deals!$U$2:$U$355,MATCH($C19,Deals!$A$2:$A$355,0))=0,"",INDEX(Deals!$U$2:$U$355,MATCH($C19,Deals!$A$2:$A$355,0))),""))</f>
        <v/>
      </c>
      <c r="S19" s="22">
        <f>IFERROR(IF($U19="",1,INDEX(Deals!$V$2:$V$355,MATCH($C19,Deals!$A$2:$A$355,0))),1)</f>
        <v/>
      </c>
      <c r="T19" s="22">
        <f>IFERROR(IF($U19="",1,INDEX(Deals!$W$2:$W$355,MATCH($C19,Deals!$A$2:$A$355,0))),1)</f>
        <v/>
      </c>
      <c r="U19" s="31">
        <f>IF($C19="","",IFERROR(IF(INDEX(Deals!$Y$2:$Y$355,MATCH($C19,Deals!$A$2:$A$355,0))=0,"",INDEX(Deals!$Y$2:$Y$355,MATCH($C19,Deals!$A$2:$A$355,0))),""))</f>
        <v/>
      </c>
      <c r="V19" s="24">
        <f>IF($U19="",DATE(1900,1,1),$N19)</f>
        <v/>
      </c>
      <c r="W19" s="24">
        <f>IF($U19="",DATE(2100,12,31),$U19)</f>
        <v/>
      </c>
      <c r="X19" s="20">
        <f>IF($U19="",$K19,$K19*$S19)</f>
        <v/>
      </c>
      <c r="Y19" s="24">
        <f>IF($U19="",DATE(2100,12,31),$U19+1)</f>
        <v/>
      </c>
      <c r="Z19" s="24">
        <f>IF($U19="",DATE(1900,1,1),$O19)</f>
        <v/>
      </c>
      <c r="AA19" s="20">
        <f>IF($U19="",0,$K19*$T19)</f>
        <v/>
      </c>
    </row>
    <row r="20">
      <c r="A20" s="15" t="inlineStr">
        <is>
          <t>Tania</t>
        </is>
      </c>
      <c r="B20" s="29">
        <f>IF($A20="","",IFERROR(INDEX(Roster!$B$2:$B$40,MATCH($A20,Roster!$A$2:$A$40,0)),"?"))</f>
        <v/>
      </c>
      <c r="C20" s="15" t="inlineStr">
        <is>
          <t>Eagle_5</t>
        </is>
      </c>
      <c r="D20" s="29">
        <f>IF($C20="","",IFERROR(IF(INDEX(Deals!$C$2:$C$355,MATCH($C20,Deals!$A$2:$A$355,0))=0,"",INDEX(Deals!$C$2:$C$355,MATCH($C20,Deals!$A$2:$A$355,0))),"?"))</f>
        <v/>
      </c>
      <c r="E20" s="29">
        <f>IF($C20="","",IFERROR(INDEX(Deals!$F$2:$F$355,MATCH($C20,Deals!$A$2:$A$355,0)),"?"))</f>
        <v/>
      </c>
      <c r="F20" s="15" t="inlineStr">
        <is>
          <t>Partner</t>
        </is>
      </c>
      <c r="G20" s="15" t="inlineStr">
        <is>
          <t>Active</t>
        </is>
      </c>
      <c r="H20" s="27" t="n"/>
      <c r="I20" s="20">
        <f>IF(OR($A20="",$G20&lt;&gt;"Active"),0,IF($H20&lt;&gt;"",$H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</f>
        <v/>
      </c>
      <c r="J20" s="23">
        <f>IF($C20="",0,IFERROR(INDEX(Deals!$H$2:$H$355,MATCH($C20,Deals!$A$2:$A$355,0)),0))</f>
        <v/>
      </c>
      <c r="K20" s="20">
        <f>IF(Settings!$B$4="Yes",$I20*$J20,$I20)</f>
        <v/>
      </c>
      <c r="L20" s="31">
        <f>IF($C20="","",IFERROR(IF(INDEX(Deals!$I$2:$I$355,MATCH($C20,Deals!$A$2:$A$355,0))=0,"",INDEX(Deals!$I$2:$I$355,MATCH($C20,Deals!$A$2:$A$355,0))),""))</f>
        <v/>
      </c>
      <c r="M20" s="31">
        <f>IF($C20="","",IFERROR(IF(INDEX(Deals!$J$2:$J$355,MATCH($C20,Deals!$A$2:$A$355,0))=0,"",INDEX(Deals!$J$2:$J$355,MATCH($C20,Deals!$A$2:$A$355,0))),""))</f>
        <v/>
      </c>
      <c r="N20" s="24">
        <f>IF($L20="",DATE(1900,1,1),$L20)</f>
        <v/>
      </c>
      <c r="O20" s="24">
        <f>IF($M20="",DATE(2100,12,31),$M20)</f>
        <v/>
      </c>
      <c r="P20" s="16" t="inlineStr"/>
      <c r="Q20" s="16" t="inlineStr"/>
      <c r="R20" s="29">
        <f>IF($C20="","",IFERROR(IF(INDEX(Deals!$U$2:$U$355,MATCH($C20,Deals!$A$2:$A$355,0))=0,"",INDEX(Deals!$U$2:$U$355,MATCH($C20,Deals!$A$2:$A$355,0))),""))</f>
        <v/>
      </c>
      <c r="S20" s="22">
        <f>IFERROR(IF($U20="",1,INDEX(Deals!$V$2:$V$355,MATCH($C20,Deals!$A$2:$A$355,0))),1)</f>
        <v/>
      </c>
      <c r="T20" s="22">
        <f>IFERROR(IF($U20="",1,INDEX(Deals!$W$2:$W$355,MATCH($C20,Deals!$A$2:$A$355,0))),1)</f>
        <v/>
      </c>
      <c r="U20" s="31">
        <f>IF($C20="","",IFERROR(IF(INDEX(Deals!$Y$2:$Y$355,MATCH($C20,Deals!$A$2:$A$355,0))=0,"",INDEX(Deals!$Y$2:$Y$355,MATCH($C20,Deals!$A$2:$A$355,0))),""))</f>
        <v/>
      </c>
      <c r="V20" s="24">
        <f>IF($U20="",DATE(1900,1,1),$N20)</f>
        <v/>
      </c>
      <c r="W20" s="24">
        <f>IF($U20="",DATE(2100,12,31),$U20)</f>
        <v/>
      </c>
      <c r="X20" s="20">
        <f>IF($U20="",$K20,$K20*$S20)</f>
        <v/>
      </c>
      <c r="Y20" s="24">
        <f>IF($U20="",DATE(2100,12,31),$U20+1)</f>
        <v/>
      </c>
      <c r="Z20" s="24">
        <f>IF($U20="",DATE(1900,1,1),$O20)</f>
        <v/>
      </c>
      <c r="AA20" s="20">
        <f>IF($U20="",0,$K20*$T20)</f>
        <v/>
      </c>
    </row>
    <row r="21">
      <c r="A21" s="15" t="inlineStr">
        <is>
          <t>Tania</t>
        </is>
      </c>
      <c r="B21" s="29">
        <f>IF($A21="","",IFERROR(INDEX(Roster!$B$2:$B$40,MATCH($A21,Roster!$A$2:$A$40,0)),"?"))</f>
        <v/>
      </c>
      <c r="C21" s="15" t="inlineStr">
        <is>
          <t>Eagle_7</t>
        </is>
      </c>
      <c r="D21" s="29">
        <f>IF($C21="","",IFERROR(IF(INDEX(Deals!$C$2:$C$355,MATCH($C21,Deals!$A$2:$A$355,0))=0,"",INDEX(Deals!$C$2:$C$355,MATCH($C21,Deals!$A$2:$A$355,0))),"?"))</f>
        <v/>
      </c>
      <c r="E21" s="29">
        <f>IF($C21="","",IFERROR(INDEX(Deals!$F$2:$F$355,MATCH($C21,Deals!$A$2:$A$355,0)),"?"))</f>
        <v/>
      </c>
      <c r="F21" s="15" t="inlineStr">
        <is>
          <t>Partner</t>
        </is>
      </c>
      <c r="G21" s="15" t="inlineStr">
        <is>
          <t>Active</t>
        </is>
      </c>
      <c r="H21" s="27" t="n"/>
      <c r="I21" s="20">
        <f>IF(OR($A21="",$G21&lt;&gt;"Active"),0,IF($H21&lt;&gt;"",$H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</f>
        <v/>
      </c>
      <c r="J21" s="23">
        <f>IF($C21="",0,IFERROR(INDEX(Deals!$H$2:$H$355,MATCH($C21,Deals!$A$2:$A$355,0)),0))</f>
        <v/>
      </c>
      <c r="K21" s="20">
        <f>IF(Settings!$B$4="Yes",$I21*$J21,$I21)</f>
        <v/>
      </c>
      <c r="L21" s="31">
        <f>IF($C21="","",IFERROR(IF(INDEX(Deals!$I$2:$I$355,MATCH($C21,Deals!$A$2:$A$355,0))=0,"",INDEX(Deals!$I$2:$I$355,MATCH($C21,Deals!$A$2:$A$355,0))),""))</f>
        <v/>
      </c>
      <c r="M21" s="31">
        <f>IF($C21="","",IFERROR(IF(INDEX(Deals!$J$2:$J$355,MATCH($C21,Deals!$A$2:$A$355,0))=0,"",INDEX(Deals!$J$2:$J$355,MATCH($C21,Deals!$A$2:$A$355,0))),""))</f>
        <v/>
      </c>
      <c r="N21" s="24">
        <f>IF($L21="",DATE(1900,1,1),$L21)</f>
        <v/>
      </c>
      <c r="O21" s="24">
        <f>IF($M21="",DATE(2100,12,31),$M21)</f>
        <v/>
      </c>
      <c r="P21" s="16" t="inlineStr"/>
      <c r="Q21" s="16" t="inlineStr"/>
      <c r="R21" s="29">
        <f>IF($C21="","",IFERROR(IF(INDEX(Deals!$U$2:$U$355,MATCH($C21,Deals!$A$2:$A$355,0))=0,"",INDEX(Deals!$U$2:$U$355,MATCH($C21,Deals!$A$2:$A$355,0))),""))</f>
        <v/>
      </c>
      <c r="S21" s="22">
        <f>IFERROR(IF($U21="",1,INDEX(Deals!$V$2:$V$355,MATCH($C21,Deals!$A$2:$A$355,0))),1)</f>
        <v/>
      </c>
      <c r="T21" s="22">
        <f>IFERROR(IF($U21="",1,INDEX(Deals!$W$2:$W$355,MATCH($C21,Deals!$A$2:$A$355,0))),1)</f>
        <v/>
      </c>
      <c r="U21" s="31">
        <f>IF($C21="","",IFERROR(IF(INDEX(Deals!$Y$2:$Y$355,MATCH($C21,Deals!$A$2:$A$355,0))=0,"",INDEX(Deals!$Y$2:$Y$355,MATCH($C21,Deals!$A$2:$A$355,0))),""))</f>
        <v/>
      </c>
      <c r="V21" s="24">
        <f>IF($U21="",DATE(1900,1,1),$N21)</f>
        <v/>
      </c>
      <c r="W21" s="24">
        <f>IF($U21="",DATE(2100,12,31),$U21)</f>
        <v/>
      </c>
      <c r="X21" s="20">
        <f>IF($U21="",$K21,$K21*$S21)</f>
        <v/>
      </c>
      <c r="Y21" s="24">
        <f>IF($U21="",DATE(2100,12,31),$U21+1)</f>
        <v/>
      </c>
      <c r="Z21" s="24">
        <f>IF($U21="",DATE(1900,1,1),$O21)</f>
        <v/>
      </c>
      <c r="AA21" s="20">
        <f>IF($U21="",0,$K21*$T21)</f>
        <v/>
      </c>
    </row>
    <row r="22">
      <c r="A22" s="15" t="inlineStr">
        <is>
          <t>Tania</t>
        </is>
      </c>
      <c r="B22" s="29">
        <f>IF($A22="","",IFERROR(INDEX(Roster!$B$2:$B$40,MATCH($A22,Roster!$A$2:$A$40,0)),"?"))</f>
        <v/>
      </c>
      <c r="C22" s="15" t="inlineStr">
        <is>
          <t>Edward_1</t>
        </is>
      </c>
      <c r="D22" s="29">
        <f>IF($C22="","",IFERROR(IF(INDEX(Deals!$C$2:$C$355,MATCH($C22,Deals!$A$2:$A$355,0))=0,"",INDEX(Deals!$C$2:$C$355,MATCH($C22,Deals!$A$2:$A$355,0))),"?"))</f>
        <v/>
      </c>
      <c r="E22" s="29">
        <f>IF($C22="","",IFERROR(INDEX(Deals!$F$2:$F$355,MATCH($C22,Deals!$A$2:$A$355,0)),"?"))</f>
        <v/>
      </c>
      <c r="F22" s="15" t="inlineStr">
        <is>
          <t>Partner</t>
        </is>
      </c>
      <c r="G22" s="15" t="inlineStr">
        <is>
          <t>Inactive</t>
        </is>
      </c>
      <c r="H22" s="27" t="n"/>
      <c r="I22" s="20">
        <f>IF(OR($A22="",$G22&lt;&gt;"Active"),0,IF($H22&lt;&gt;"",$H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</f>
        <v/>
      </c>
      <c r="J22" s="23">
        <f>IF($C22="",0,IFERROR(INDEX(Deals!$H$2:$H$355,MATCH($C22,Deals!$A$2:$A$355,0)),0))</f>
        <v/>
      </c>
      <c r="K22" s="20">
        <f>IF(Settings!$B$4="Yes",$I22*$J22,$I22)</f>
        <v/>
      </c>
      <c r="L22" s="31">
        <f>IF($C22="","",IFERROR(IF(INDEX(Deals!$I$2:$I$355,MATCH($C22,Deals!$A$2:$A$355,0))=0,"",INDEX(Deals!$I$2:$I$355,MATCH($C22,Deals!$A$2:$A$355,0))),""))</f>
        <v/>
      </c>
      <c r="M22" s="31">
        <f>IF($C22="","",IFERROR(IF(INDEX(Deals!$J$2:$J$355,MATCH($C22,Deals!$A$2:$A$355,0))=0,"",INDEX(Deals!$J$2:$J$355,MATCH($C22,Deals!$A$2:$A$355,0))),""))</f>
        <v/>
      </c>
      <c r="N22" s="24">
        <f>IF($L22="",DATE(1900,1,1),$L22)</f>
        <v/>
      </c>
      <c r="O22" s="24">
        <f>IF($M22="",DATE(2100,12,31),$M22)</f>
        <v/>
      </c>
      <c r="P22" s="16" t="inlineStr"/>
      <c r="Q22" s="16" t="inlineStr">
        <is>
          <t>Deal lifecycle is Closed</t>
        </is>
      </c>
      <c r="R22" s="29">
        <f>IF($C22="","",IFERROR(IF(INDEX(Deals!$U$2:$U$355,MATCH($C22,Deals!$A$2:$A$355,0))=0,"",INDEX(Deals!$U$2:$U$355,MATCH($C22,Deals!$A$2:$A$355,0))),""))</f>
        <v/>
      </c>
      <c r="S22" s="22">
        <f>IFERROR(IF($U22="",1,INDEX(Deals!$V$2:$V$355,MATCH($C22,Deals!$A$2:$A$355,0))),1)</f>
        <v/>
      </c>
      <c r="T22" s="22">
        <f>IFERROR(IF($U22="",1,INDEX(Deals!$W$2:$W$355,MATCH($C22,Deals!$A$2:$A$355,0))),1)</f>
        <v/>
      </c>
      <c r="U22" s="31">
        <f>IF($C22="","",IFERROR(IF(INDEX(Deals!$Y$2:$Y$355,MATCH($C22,Deals!$A$2:$A$355,0))=0,"",INDEX(Deals!$Y$2:$Y$355,MATCH($C22,Deals!$A$2:$A$355,0))),""))</f>
        <v/>
      </c>
      <c r="V22" s="24">
        <f>IF($U22="",DATE(1900,1,1),$N22)</f>
        <v/>
      </c>
      <c r="W22" s="24">
        <f>IF($U22="",DATE(2100,12,31),$U22)</f>
        <v/>
      </c>
      <c r="X22" s="20">
        <f>IF($U22="",$K22,$K22*$S22)</f>
        <v/>
      </c>
      <c r="Y22" s="24">
        <f>IF($U22="",DATE(2100,12,31),$U22+1)</f>
        <v/>
      </c>
      <c r="Z22" s="24">
        <f>IF($U22="",DATE(1900,1,1),$O22)</f>
        <v/>
      </c>
      <c r="AA22" s="20">
        <f>IF($U22="",0,$K22*$T22)</f>
        <v/>
      </c>
    </row>
    <row r="23">
      <c r="A23" s="15" t="inlineStr">
        <is>
          <t>Tania</t>
        </is>
      </c>
      <c r="B23" s="29">
        <f>IF($A23="","",IFERROR(INDEX(Roster!$B$2:$B$40,MATCH($A23,Roster!$A$2:$A$40,0)),"?"))</f>
        <v/>
      </c>
      <c r="C23" s="15" t="inlineStr">
        <is>
          <t>FAUME US Expansion_1</t>
        </is>
      </c>
      <c r="D23" s="29">
        <f>IF($C23="","",IFERROR(IF(INDEX(Deals!$C$2:$C$355,MATCH($C23,Deals!$A$2:$A$355,0))=0,"",INDEX(Deals!$C$2:$C$355,MATCH($C23,Deals!$A$2:$A$355,0))),"?"))</f>
        <v/>
      </c>
      <c r="E23" s="29">
        <f>IF($C23="","",IFERROR(INDEX(Deals!$F$2:$F$355,MATCH($C23,Deals!$A$2:$A$355,0)),"?"))</f>
        <v/>
      </c>
      <c r="F23" s="15" t="inlineStr">
        <is>
          <t>Partner</t>
        </is>
      </c>
      <c r="G23" s="15" t="inlineStr">
        <is>
          <t>Active</t>
        </is>
      </c>
      <c r="H23" s="27" t="n"/>
      <c r="I23" s="20">
        <f>IF(OR($A23="",$G23&lt;&gt;"Active"),0,IF($H23&lt;&gt;"",$H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</f>
        <v/>
      </c>
      <c r="J23" s="23">
        <f>IF($C23="",0,IFERROR(INDEX(Deals!$H$2:$H$355,MATCH($C23,Deals!$A$2:$A$355,0)),0))</f>
        <v/>
      </c>
      <c r="K23" s="20">
        <f>IF(Settings!$B$4="Yes",$I23*$J23,$I23)</f>
        <v/>
      </c>
      <c r="L23" s="31">
        <f>IF($C23="","",IFERROR(IF(INDEX(Deals!$I$2:$I$355,MATCH($C23,Deals!$A$2:$A$355,0))=0,"",INDEX(Deals!$I$2:$I$355,MATCH($C23,Deals!$A$2:$A$355,0))),""))</f>
        <v/>
      </c>
      <c r="M23" s="31">
        <f>IF($C23="","",IFERROR(IF(INDEX(Deals!$J$2:$J$355,MATCH($C23,Deals!$A$2:$A$355,0))=0,"",INDEX(Deals!$J$2:$J$355,MATCH($C23,Deals!$A$2:$A$355,0))),""))</f>
        <v/>
      </c>
      <c r="N23" s="24">
        <f>IF($L23="",DATE(1900,1,1),$L23)</f>
        <v/>
      </c>
      <c r="O23" s="24">
        <f>IF($M23="",DATE(2100,12,31),$M23)</f>
        <v/>
      </c>
      <c r="P23" s="16" t="inlineStr"/>
      <c r="Q23" s="16" t="inlineStr"/>
      <c r="R23" s="29">
        <f>IF($C23="","",IFERROR(IF(INDEX(Deals!$U$2:$U$355,MATCH($C23,Deals!$A$2:$A$355,0))=0,"",INDEX(Deals!$U$2:$U$355,MATCH($C23,Deals!$A$2:$A$355,0))),""))</f>
        <v/>
      </c>
      <c r="S23" s="22">
        <f>IFERROR(IF($U23="",1,INDEX(Deals!$V$2:$V$355,MATCH($C23,Deals!$A$2:$A$355,0))),1)</f>
        <v/>
      </c>
      <c r="T23" s="22">
        <f>IFERROR(IF($U23="",1,INDEX(Deals!$W$2:$W$355,MATCH($C23,Deals!$A$2:$A$355,0))),1)</f>
        <v/>
      </c>
      <c r="U23" s="31">
        <f>IF($C23="","",IFERROR(IF(INDEX(Deals!$Y$2:$Y$355,MATCH($C23,Deals!$A$2:$A$355,0))=0,"",INDEX(Deals!$Y$2:$Y$355,MATCH($C23,Deals!$A$2:$A$355,0))),""))</f>
        <v/>
      </c>
      <c r="V23" s="24">
        <f>IF($U23="",DATE(1900,1,1),$N23)</f>
        <v/>
      </c>
      <c r="W23" s="24">
        <f>IF($U23="",DATE(2100,12,31),$U23)</f>
        <v/>
      </c>
      <c r="X23" s="20">
        <f>IF($U23="",$K23,$K23*$S23)</f>
        <v/>
      </c>
      <c r="Y23" s="24">
        <f>IF($U23="",DATE(2100,12,31),$U23+1)</f>
        <v/>
      </c>
      <c r="Z23" s="24">
        <f>IF($U23="",DATE(1900,1,1),$O23)</f>
        <v/>
      </c>
      <c r="AA23" s="20">
        <f>IF($U23="",0,$K23*$T23)</f>
        <v/>
      </c>
    </row>
    <row r="24">
      <c r="A24" s="15" t="inlineStr">
        <is>
          <t>Tania</t>
        </is>
      </c>
      <c r="B24" s="29">
        <f>IF($A24="","",IFERROR(INDEX(Roster!$B$2:$B$40,MATCH($A24,Roster!$A$2:$A$40,0)),"?"))</f>
        <v/>
      </c>
      <c r="C24" s="15" t="inlineStr">
        <is>
          <t>Galaxy_1</t>
        </is>
      </c>
      <c r="D24" s="29">
        <f>IF($C24="","",IFERROR(IF(INDEX(Deals!$C$2:$C$355,MATCH($C24,Deals!$A$2:$A$355,0))=0,"",INDEX(Deals!$C$2:$C$355,MATCH($C24,Deals!$A$2:$A$355,0))),"?"))</f>
        <v/>
      </c>
      <c r="E24" s="29">
        <f>IF($C24="","",IFERROR(INDEX(Deals!$F$2:$F$355,MATCH($C24,Deals!$A$2:$A$355,0)),"?"))</f>
        <v/>
      </c>
      <c r="F24" s="15" t="inlineStr">
        <is>
          <t>Partner</t>
        </is>
      </c>
      <c r="G24" s="15" t="inlineStr">
        <is>
          <t>Active</t>
        </is>
      </c>
      <c r="H24" s="27" t="n"/>
      <c r="I24" s="20">
        <f>IF(OR($A24="",$G24&lt;&gt;"Active"),0,IF($H24&lt;&gt;"",$H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</f>
        <v/>
      </c>
      <c r="J24" s="23">
        <f>IF($C24="",0,IFERROR(INDEX(Deals!$H$2:$H$355,MATCH($C24,Deals!$A$2:$A$355,0)),0))</f>
        <v/>
      </c>
      <c r="K24" s="20">
        <f>IF(Settings!$B$4="Yes",$I24*$J24,$I24)</f>
        <v/>
      </c>
      <c r="L24" s="31">
        <f>IF($C24="","",IFERROR(IF(INDEX(Deals!$I$2:$I$355,MATCH($C24,Deals!$A$2:$A$355,0))=0,"",INDEX(Deals!$I$2:$I$355,MATCH($C24,Deals!$A$2:$A$355,0))),""))</f>
        <v/>
      </c>
      <c r="M24" s="31">
        <f>IF($C24="","",IFERROR(IF(INDEX(Deals!$J$2:$J$355,MATCH($C24,Deals!$A$2:$A$355,0))=0,"",INDEX(Deals!$J$2:$J$355,MATCH($C24,Deals!$A$2:$A$355,0))),""))</f>
        <v/>
      </c>
      <c r="N24" s="24">
        <f>IF($L24="",DATE(1900,1,1),$L24)</f>
        <v/>
      </c>
      <c r="O24" s="24">
        <f>IF($M24="",DATE(2100,12,31),$M24)</f>
        <v/>
      </c>
      <c r="P24" s="16" t="inlineStr"/>
      <c r="Q24" s="16" t="inlineStr"/>
      <c r="R24" s="29">
        <f>IF($C24="","",IFERROR(IF(INDEX(Deals!$U$2:$U$355,MATCH($C24,Deals!$A$2:$A$355,0))=0,"",INDEX(Deals!$U$2:$U$355,MATCH($C24,Deals!$A$2:$A$355,0))),""))</f>
        <v/>
      </c>
      <c r="S24" s="22">
        <f>IFERROR(IF($U24="",1,INDEX(Deals!$V$2:$V$355,MATCH($C24,Deals!$A$2:$A$355,0))),1)</f>
        <v/>
      </c>
      <c r="T24" s="22">
        <f>IFERROR(IF($U24="",1,INDEX(Deals!$W$2:$W$355,MATCH($C24,Deals!$A$2:$A$355,0))),1)</f>
        <v/>
      </c>
      <c r="U24" s="31">
        <f>IF($C24="","",IFERROR(IF(INDEX(Deals!$Y$2:$Y$355,MATCH($C24,Deals!$A$2:$A$355,0))=0,"",INDEX(Deals!$Y$2:$Y$355,MATCH($C24,Deals!$A$2:$A$355,0))),""))</f>
        <v/>
      </c>
      <c r="V24" s="24">
        <f>IF($U24="",DATE(1900,1,1),$N24)</f>
        <v/>
      </c>
      <c r="W24" s="24">
        <f>IF($U24="",DATE(2100,12,31),$U24)</f>
        <v/>
      </c>
      <c r="X24" s="20">
        <f>IF($U24="",$K24,$K24*$S24)</f>
        <v/>
      </c>
      <c r="Y24" s="24">
        <f>IF($U24="",DATE(2100,12,31),$U24+1)</f>
        <v/>
      </c>
      <c r="Z24" s="24">
        <f>IF($U24="",DATE(1900,1,1),$O24)</f>
        <v/>
      </c>
      <c r="AA24" s="20">
        <f>IF($U24="",0,$K24*$T24)</f>
        <v/>
      </c>
    </row>
    <row r="25">
      <c r="A25" s="15" t="inlineStr">
        <is>
          <t>Tania</t>
        </is>
      </c>
      <c r="B25" s="29">
        <f>IF($A25="","",IFERROR(INDEX(Roster!$B$2:$B$40,MATCH($A25,Roster!$A$2:$A$40,0)),"?"))</f>
        <v/>
      </c>
      <c r="C25" s="15" t="inlineStr">
        <is>
          <t>Gemini</t>
        </is>
      </c>
      <c r="D25" s="29">
        <f>IF($C25="","",IFERROR(IF(INDEX(Deals!$C$2:$C$355,MATCH($C25,Deals!$A$2:$A$355,0))=0,"",INDEX(Deals!$C$2:$C$355,MATCH($C25,Deals!$A$2:$A$355,0))),"?"))</f>
        <v/>
      </c>
      <c r="E25" s="29">
        <f>IF($C25="","",IFERROR(INDEX(Deals!$F$2:$F$355,MATCH($C25,Deals!$A$2:$A$355,0)),"?"))</f>
        <v/>
      </c>
      <c r="F25" s="15" t="inlineStr">
        <is>
          <t>Partner</t>
        </is>
      </c>
      <c r="G25" s="15" t="inlineStr">
        <is>
          <t>Active</t>
        </is>
      </c>
      <c r="H25" s="27" t="n"/>
      <c r="I25" s="20">
        <f>IF(OR($A25="",$G25&lt;&gt;"Active"),0,IF($H25&lt;&gt;"",$H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</f>
        <v/>
      </c>
      <c r="J25" s="23">
        <f>IF($C25="",0,IFERROR(INDEX(Deals!$H$2:$H$355,MATCH($C25,Deals!$A$2:$A$355,0)),0))</f>
        <v/>
      </c>
      <c r="K25" s="20">
        <f>IF(Settings!$B$4="Yes",$I25*$J25,$I25)</f>
        <v/>
      </c>
      <c r="L25" s="31">
        <f>IF($C25="","",IFERROR(IF(INDEX(Deals!$I$2:$I$355,MATCH($C25,Deals!$A$2:$A$355,0))=0,"",INDEX(Deals!$I$2:$I$355,MATCH($C25,Deals!$A$2:$A$355,0))),""))</f>
        <v/>
      </c>
      <c r="M25" s="31">
        <f>IF($C25="","",IFERROR(IF(INDEX(Deals!$J$2:$J$355,MATCH($C25,Deals!$A$2:$A$355,0))=0,"",INDEX(Deals!$J$2:$J$355,MATCH($C25,Deals!$A$2:$A$355,0))),""))</f>
        <v/>
      </c>
      <c r="N25" s="24">
        <f>IF($L25="",DATE(1900,1,1),$L25)</f>
        <v/>
      </c>
      <c r="O25" s="24">
        <f>IF($M25="",DATE(2100,12,31),$M25)</f>
        <v/>
      </c>
      <c r="P25" s="16" t="inlineStr"/>
      <c r="Q25" s="16" t="inlineStr"/>
      <c r="R25" s="29">
        <f>IF($C25="","",IFERROR(IF(INDEX(Deals!$U$2:$U$355,MATCH($C25,Deals!$A$2:$A$355,0))=0,"",INDEX(Deals!$U$2:$U$355,MATCH($C25,Deals!$A$2:$A$355,0))),""))</f>
        <v/>
      </c>
      <c r="S25" s="22">
        <f>IFERROR(IF($U25="",1,INDEX(Deals!$V$2:$V$355,MATCH($C25,Deals!$A$2:$A$355,0))),1)</f>
        <v/>
      </c>
      <c r="T25" s="22">
        <f>IFERROR(IF($U25="",1,INDEX(Deals!$W$2:$W$355,MATCH($C25,Deals!$A$2:$A$355,0))),1)</f>
        <v/>
      </c>
      <c r="U25" s="31">
        <f>IF($C25="","",IFERROR(IF(INDEX(Deals!$Y$2:$Y$355,MATCH($C25,Deals!$A$2:$A$355,0))=0,"",INDEX(Deals!$Y$2:$Y$355,MATCH($C25,Deals!$A$2:$A$355,0))),""))</f>
        <v/>
      </c>
      <c r="V25" s="24">
        <f>IF($U25="",DATE(1900,1,1),$N25)</f>
        <v/>
      </c>
      <c r="W25" s="24">
        <f>IF($U25="",DATE(2100,12,31),$U25)</f>
        <v/>
      </c>
      <c r="X25" s="20">
        <f>IF($U25="",$K25,$K25*$S25)</f>
        <v/>
      </c>
      <c r="Y25" s="24">
        <f>IF($U25="",DATE(2100,12,31),$U25+1)</f>
        <v/>
      </c>
      <c r="Z25" s="24">
        <f>IF($U25="",DATE(1900,1,1),$O25)</f>
        <v/>
      </c>
      <c r="AA25" s="20">
        <f>IF($U25="",0,$K25*$T25)</f>
        <v/>
      </c>
    </row>
    <row r="26">
      <c r="A26" s="15" t="inlineStr">
        <is>
          <t>Tania</t>
        </is>
      </c>
      <c r="B26" s="29">
        <f>IF($A26="","",IFERROR(INDEX(Roster!$B$2:$B$40,MATCH($A26,Roster!$A$2:$A$40,0)),"?"))</f>
        <v/>
      </c>
      <c r="C26" s="15" t="inlineStr">
        <is>
          <t>Goose_2</t>
        </is>
      </c>
      <c r="D26" s="29">
        <f>IF($C26="","",IFERROR(IF(INDEX(Deals!$C$2:$C$355,MATCH($C26,Deals!$A$2:$A$355,0))=0,"",INDEX(Deals!$C$2:$C$355,MATCH($C26,Deals!$A$2:$A$355,0))),"?"))</f>
        <v/>
      </c>
      <c r="E26" s="29">
        <f>IF($C26="","",IFERROR(INDEX(Deals!$F$2:$F$355,MATCH($C26,Deals!$A$2:$A$355,0)),"?"))</f>
        <v/>
      </c>
      <c r="F26" s="15" t="inlineStr">
        <is>
          <t>Partner</t>
        </is>
      </c>
      <c r="G26" s="15" t="inlineStr">
        <is>
          <t>Active</t>
        </is>
      </c>
      <c r="H26" s="27" t="n"/>
      <c r="I26" s="20">
        <f>IF(OR($A26="",$G26&lt;&gt;"Active"),0,IF($H26&lt;&gt;"",$H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</f>
        <v/>
      </c>
      <c r="J26" s="23">
        <f>IF($C26="",0,IFERROR(INDEX(Deals!$H$2:$H$355,MATCH($C26,Deals!$A$2:$A$355,0)),0))</f>
        <v/>
      </c>
      <c r="K26" s="20">
        <f>IF(Settings!$B$4="Yes",$I26*$J26,$I26)</f>
        <v/>
      </c>
      <c r="L26" s="31">
        <f>IF($C26="","",IFERROR(IF(INDEX(Deals!$I$2:$I$355,MATCH($C26,Deals!$A$2:$A$355,0))=0,"",INDEX(Deals!$I$2:$I$355,MATCH($C26,Deals!$A$2:$A$355,0))),""))</f>
        <v/>
      </c>
      <c r="M26" s="31">
        <f>IF($C26="","",IFERROR(IF(INDEX(Deals!$J$2:$J$355,MATCH($C26,Deals!$A$2:$A$355,0))=0,"",INDEX(Deals!$J$2:$J$355,MATCH($C26,Deals!$A$2:$A$355,0))),""))</f>
        <v/>
      </c>
      <c r="N26" s="24">
        <f>IF($L26="",DATE(1900,1,1),$L26)</f>
        <v/>
      </c>
      <c r="O26" s="24">
        <f>IF($M26="",DATE(2100,12,31),$M26)</f>
        <v/>
      </c>
      <c r="P26" s="16" t="inlineStr"/>
      <c r="Q26" s="16" t="inlineStr"/>
      <c r="R26" s="29">
        <f>IF($C26="","",IFERROR(IF(INDEX(Deals!$U$2:$U$355,MATCH($C26,Deals!$A$2:$A$355,0))=0,"",INDEX(Deals!$U$2:$U$355,MATCH($C26,Deals!$A$2:$A$355,0))),""))</f>
        <v/>
      </c>
      <c r="S26" s="22">
        <f>IFERROR(IF($U26="",1,INDEX(Deals!$V$2:$V$355,MATCH($C26,Deals!$A$2:$A$355,0))),1)</f>
        <v/>
      </c>
      <c r="T26" s="22">
        <f>IFERROR(IF($U26="",1,INDEX(Deals!$W$2:$W$355,MATCH($C26,Deals!$A$2:$A$355,0))),1)</f>
        <v/>
      </c>
      <c r="U26" s="31">
        <f>IF($C26="","",IFERROR(IF(INDEX(Deals!$Y$2:$Y$355,MATCH($C26,Deals!$A$2:$A$355,0))=0,"",INDEX(Deals!$Y$2:$Y$355,MATCH($C26,Deals!$A$2:$A$355,0))),""))</f>
        <v/>
      </c>
      <c r="V26" s="24">
        <f>IF($U26="",DATE(1900,1,1),$N26)</f>
        <v/>
      </c>
      <c r="W26" s="24">
        <f>IF($U26="",DATE(2100,12,31),$U26)</f>
        <v/>
      </c>
      <c r="X26" s="20">
        <f>IF($U26="",$K26,$K26*$S26)</f>
        <v/>
      </c>
      <c r="Y26" s="24">
        <f>IF($U26="",DATE(2100,12,31),$U26+1)</f>
        <v/>
      </c>
      <c r="Z26" s="24">
        <f>IF($U26="",DATE(1900,1,1),$O26)</f>
        <v/>
      </c>
      <c r="AA26" s="20">
        <f>IF($U26="",0,$K26*$T26)</f>
        <v/>
      </c>
    </row>
    <row r="27">
      <c r="A27" s="15" t="inlineStr">
        <is>
          <t>Tania</t>
        </is>
      </c>
      <c r="B27" s="29">
        <f>IF($A27="","",IFERROR(INDEX(Roster!$B$2:$B$40,MATCH($A27,Roster!$A$2:$A$40,0)),"?"))</f>
        <v/>
      </c>
      <c r="C27" s="15" t="inlineStr">
        <is>
          <t>Maple_4</t>
        </is>
      </c>
      <c r="D27" s="29">
        <f>IF($C27="","",IFERROR(IF(INDEX(Deals!$C$2:$C$355,MATCH($C27,Deals!$A$2:$A$355,0))=0,"",INDEX(Deals!$C$2:$C$355,MATCH($C27,Deals!$A$2:$A$355,0))),"?"))</f>
        <v/>
      </c>
      <c r="E27" s="29">
        <f>IF($C27="","",IFERROR(INDEX(Deals!$F$2:$F$355,MATCH($C27,Deals!$A$2:$A$355,0)),"?"))</f>
        <v/>
      </c>
      <c r="F27" s="15" t="inlineStr">
        <is>
          <t>Partner</t>
        </is>
      </c>
      <c r="G27" s="15" t="inlineStr">
        <is>
          <t>Active</t>
        </is>
      </c>
      <c r="H27" s="27" t="n"/>
      <c r="I27" s="20">
        <f>IF(OR($A27="",$G27&lt;&gt;"Active"),0,IF($H27&lt;&gt;"",$H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</f>
        <v/>
      </c>
      <c r="J27" s="23">
        <f>IF($C27="",0,IFERROR(INDEX(Deals!$H$2:$H$355,MATCH($C27,Deals!$A$2:$A$355,0)),0))</f>
        <v/>
      </c>
      <c r="K27" s="20">
        <f>IF(Settings!$B$4="Yes",$I27*$J27,$I27)</f>
        <v/>
      </c>
      <c r="L27" s="31">
        <f>IF($C27="","",IFERROR(IF(INDEX(Deals!$I$2:$I$355,MATCH($C27,Deals!$A$2:$A$355,0))=0,"",INDEX(Deals!$I$2:$I$355,MATCH($C27,Deals!$A$2:$A$355,0))),""))</f>
        <v/>
      </c>
      <c r="M27" s="31">
        <f>IF($C27="","",IFERROR(IF(INDEX(Deals!$J$2:$J$355,MATCH($C27,Deals!$A$2:$A$355,0))=0,"",INDEX(Deals!$J$2:$J$355,MATCH($C27,Deals!$A$2:$A$355,0))),""))</f>
        <v/>
      </c>
      <c r="N27" s="24">
        <f>IF($L27="",DATE(1900,1,1),$L27)</f>
        <v/>
      </c>
      <c r="O27" s="24">
        <f>IF($M27="",DATE(2100,12,31),$M27)</f>
        <v/>
      </c>
      <c r="P27" s="16" t="inlineStr"/>
      <c r="Q27" s="16" t="inlineStr"/>
      <c r="R27" s="29">
        <f>IF($C27="","",IFERROR(IF(INDEX(Deals!$U$2:$U$355,MATCH($C27,Deals!$A$2:$A$355,0))=0,"",INDEX(Deals!$U$2:$U$355,MATCH($C27,Deals!$A$2:$A$355,0))),""))</f>
        <v/>
      </c>
      <c r="S27" s="22">
        <f>IFERROR(IF($U27="",1,INDEX(Deals!$V$2:$V$355,MATCH($C27,Deals!$A$2:$A$355,0))),1)</f>
        <v/>
      </c>
      <c r="T27" s="22">
        <f>IFERROR(IF($U27="",1,INDEX(Deals!$W$2:$W$355,MATCH($C27,Deals!$A$2:$A$355,0))),1)</f>
        <v/>
      </c>
      <c r="U27" s="31">
        <f>IF($C27="","",IFERROR(IF(INDEX(Deals!$Y$2:$Y$355,MATCH($C27,Deals!$A$2:$A$355,0))=0,"",INDEX(Deals!$Y$2:$Y$355,MATCH($C27,Deals!$A$2:$A$355,0))),""))</f>
        <v/>
      </c>
      <c r="V27" s="24">
        <f>IF($U27="",DATE(1900,1,1),$N27)</f>
        <v/>
      </c>
      <c r="W27" s="24">
        <f>IF($U27="",DATE(2100,12,31),$U27)</f>
        <v/>
      </c>
      <c r="X27" s="20">
        <f>IF($U27="",$K27,$K27*$S27)</f>
        <v/>
      </c>
      <c r="Y27" s="24">
        <f>IF($U27="",DATE(2100,12,31),$U27+1)</f>
        <v/>
      </c>
      <c r="Z27" s="24">
        <f>IF($U27="",DATE(1900,1,1),$O27)</f>
        <v/>
      </c>
      <c r="AA27" s="20">
        <f>IF($U27="",0,$K27*$T27)</f>
        <v/>
      </c>
    </row>
    <row r="28">
      <c r="A28" s="15" t="inlineStr">
        <is>
          <t>Tania</t>
        </is>
      </c>
      <c r="B28" s="29">
        <f>IF($A28="","",IFERROR(INDEX(Roster!$B$2:$B$40,MATCH($A28,Roster!$A$2:$A$40,0)),"?"))</f>
        <v/>
      </c>
      <c r="C28" s="15" t="inlineStr">
        <is>
          <t>Mash_1</t>
        </is>
      </c>
      <c r="D28" s="29">
        <f>IF($C28="","",IFERROR(IF(INDEX(Deals!$C$2:$C$355,MATCH($C28,Deals!$A$2:$A$355,0))=0,"",INDEX(Deals!$C$2:$C$355,MATCH($C28,Deals!$A$2:$A$355,0))),"?"))</f>
        <v/>
      </c>
      <c r="E28" s="29">
        <f>IF($C28="","",IFERROR(INDEX(Deals!$F$2:$F$355,MATCH($C28,Deals!$A$2:$A$355,0)),"?"))</f>
        <v/>
      </c>
      <c r="F28" s="15" t="inlineStr">
        <is>
          <t>Partner</t>
        </is>
      </c>
      <c r="G28" s="15" t="inlineStr">
        <is>
          <t>Active</t>
        </is>
      </c>
      <c r="H28" s="27" t="n"/>
      <c r="I28" s="20">
        <f>IF(OR($A28="",$G28&lt;&gt;"Active"),0,IF($H28&lt;&gt;"",$H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</f>
        <v/>
      </c>
      <c r="J28" s="23">
        <f>IF($C28="",0,IFERROR(INDEX(Deals!$H$2:$H$355,MATCH($C28,Deals!$A$2:$A$355,0)),0))</f>
        <v/>
      </c>
      <c r="K28" s="20">
        <f>IF(Settings!$B$4="Yes",$I28*$J28,$I28)</f>
        <v/>
      </c>
      <c r="L28" s="31">
        <f>IF($C28="","",IFERROR(IF(INDEX(Deals!$I$2:$I$355,MATCH($C28,Deals!$A$2:$A$355,0))=0,"",INDEX(Deals!$I$2:$I$355,MATCH($C28,Deals!$A$2:$A$355,0))),""))</f>
        <v/>
      </c>
      <c r="M28" s="31">
        <f>IF($C28="","",IFERROR(IF(INDEX(Deals!$J$2:$J$355,MATCH($C28,Deals!$A$2:$A$355,0))=0,"",INDEX(Deals!$J$2:$J$355,MATCH($C28,Deals!$A$2:$A$355,0))),""))</f>
        <v/>
      </c>
      <c r="N28" s="24">
        <f>IF($L28="",DATE(1900,1,1),$L28)</f>
        <v/>
      </c>
      <c r="O28" s="24">
        <f>IF($M28="",DATE(2100,12,31),$M28)</f>
        <v/>
      </c>
      <c r="P28" s="16" t="inlineStr"/>
      <c r="Q28" s="16" t="inlineStr"/>
      <c r="R28" s="29">
        <f>IF($C28="","",IFERROR(IF(INDEX(Deals!$U$2:$U$355,MATCH($C28,Deals!$A$2:$A$355,0))=0,"",INDEX(Deals!$U$2:$U$355,MATCH($C28,Deals!$A$2:$A$355,0))),""))</f>
        <v/>
      </c>
      <c r="S28" s="22">
        <f>IFERROR(IF($U28="",1,INDEX(Deals!$V$2:$V$355,MATCH($C28,Deals!$A$2:$A$355,0))),1)</f>
        <v/>
      </c>
      <c r="T28" s="22">
        <f>IFERROR(IF($U28="",1,INDEX(Deals!$W$2:$W$355,MATCH($C28,Deals!$A$2:$A$355,0))),1)</f>
        <v/>
      </c>
      <c r="U28" s="31">
        <f>IF($C28="","",IFERROR(IF(INDEX(Deals!$Y$2:$Y$355,MATCH($C28,Deals!$A$2:$A$355,0))=0,"",INDEX(Deals!$Y$2:$Y$355,MATCH($C28,Deals!$A$2:$A$355,0))),""))</f>
        <v/>
      </c>
      <c r="V28" s="24">
        <f>IF($U28="",DATE(1900,1,1),$N28)</f>
        <v/>
      </c>
      <c r="W28" s="24">
        <f>IF($U28="",DATE(2100,12,31),$U28)</f>
        <v/>
      </c>
      <c r="X28" s="20">
        <f>IF($U28="",$K28,$K28*$S28)</f>
        <v/>
      </c>
      <c r="Y28" s="24">
        <f>IF($U28="",DATE(2100,12,31),$U28+1)</f>
        <v/>
      </c>
      <c r="Z28" s="24">
        <f>IF($U28="",DATE(1900,1,1),$O28)</f>
        <v/>
      </c>
      <c r="AA28" s="20">
        <f>IF($U28="",0,$K28*$T28)</f>
        <v/>
      </c>
    </row>
    <row r="29">
      <c r="A29" s="15" t="inlineStr">
        <is>
          <t>Tania</t>
        </is>
      </c>
      <c r="B29" s="29">
        <f>IF($A29="","",IFERROR(INDEX(Roster!$B$2:$B$40,MATCH($A29,Roster!$A$2:$A$40,0)),"?"))</f>
        <v/>
      </c>
      <c r="C29" s="15" t="inlineStr">
        <is>
          <t>Mont_1</t>
        </is>
      </c>
      <c r="D29" s="29">
        <f>IF($C29="","",IFERROR(IF(INDEX(Deals!$C$2:$C$355,MATCH($C29,Deals!$A$2:$A$355,0))=0,"",INDEX(Deals!$C$2:$C$355,MATCH($C29,Deals!$A$2:$A$355,0))),"?"))</f>
        <v/>
      </c>
      <c r="E29" s="29">
        <f>IF($C29="","",IFERROR(INDEX(Deals!$F$2:$F$355,MATCH($C29,Deals!$A$2:$A$355,0)),"?"))</f>
        <v/>
      </c>
      <c r="F29" s="15" t="inlineStr">
        <is>
          <t>Partner</t>
        </is>
      </c>
      <c r="G29" s="15" t="inlineStr">
        <is>
          <t>Active</t>
        </is>
      </c>
      <c r="H29" s="27" t="n"/>
      <c r="I29" s="20">
        <f>IF(OR($A29="",$G29&lt;&gt;"Active"),0,IF($H29&lt;&gt;"",$H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</f>
        <v/>
      </c>
      <c r="J29" s="23">
        <f>IF($C29="",0,IFERROR(INDEX(Deals!$H$2:$H$355,MATCH($C29,Deals!$A$2:$A$355,0)),0))</f>
        <v/>
      </c>
      <c r="K29" s="20">
        <f>IF(Settings!$B$4="Yes",$I29*$J29,$I29)</f>
        <v/>
      </c>
      <c r="L29" s="31">
        <f>IF($C29="","",IFERROR(IF(INDEX(Deals!$I$2:$I$355,MATCH($C29,Deals!$A$2:$A$355,0))=0,"",INDEX(Deals!$I$2:$I$355,MATCH($C29,Deals!$A$2:$A$355,0))),""))</f>
        <v/>
      </c>
      <c r="M29" s="31">
        <f>IF($C29="","",IFERROR(IF(INDEX(Deals!$J$2:$J$355,MATCH($C29,Deals!$A$2:$A$355,0))=0,"",INDEX(Deals!$J$2:$J$355,MATCH($C29,Deals!$A$2:$A$355,0))),""))</f>
        <v/>
      </c>
      <c r="N29" s="24">
        <f>IF($L29="",DATE(1900,1,1),$L29)</f>
        <v/>
      </c>
      <c r="O29" s="24">
        <f>IF($M29="",DATE(2100,12,31),$M29)</f>
        <v/>
      </c>
      <c r="P29" s="16" t="inlineStr"/>
      <c r="Q29" s="16" t="inlineStr"/>
      <c r="R29" s="29">
        <f>IF($C29="","",IFERROR(IF(INDEX(Deals!$U$2:$U$355,MATCH($C29,Deals!$A$2:$A$355,0))=0,"",INDEX(Deals!$U$2:$U$355,MATCH($C29,Deals!$A$2:$A$355,0))),""))</f>
        <v/>
      </c>
      <c r="S29" s="22">
        <f>IFERROR(IF($U29="",1,INDEX(Deals!$V$2:$V$355,MATCH($C29,Deals!$A$2:$A$355,0))),1)</f>
        <v/>
      </c>
      <c r="T29" s="22">
        <f>IFERROR(IF($U29="",1,INDEX(Deals!$W$2:$W$355,MATCH($C29,Deals!$A$2:$A$355,0))),1)</f>
        <v/>
      </c>
      <c r="U29" s="31">
        <f>IF($C29="","",IFERROR(IF(INDEX(Deals!$Y$2:$Y$355,MATCH($C29,Deals!$A$2:$A$355,0))=0,"",INDEX(Deals!$Y$2:$Y$355,MATCH($C29,Deals!$A$2:$A$355,0))),""))</f>
        <v/>
      </c>
      <c r="V29" s="24">
        <f>IF($U29="",DATE(1900,1,1),$N29)</f>
        <v/>
      </c>
      <c r="W29" s="24">
        <f>IF($U29="",DATE(2100,12,31),$U29)</f>
        <v/>
      </c>
      <c r="X29" s="20">
        <f>IF($U29="",$K29,$K29*$S29)</f>
        <v/>
      </c>
      <c r="Y29" s="24">
        <f>IF($U29="",DATE(2100,12,31),$U29+1)</f>
        <v/>
      </c>
      <c r="Z29" s="24">
        <f>IF($U29="",DATE(1900,1,1),$O29)</f>
        <v/>
      </c>
      <c r="AA29" s="20">
        <f>IF($U29="",0,$K29*$T29)</f>
        <v/>
      </c>
    </row>
    <row r="30">
      <c r="A30" s="15" t="inlineStr">
        <is>
          <t>Tania</t>
        </is>
      </c>
      <c r="B30" s="29">
        <f>IF($A30="","",IFERROR(INDEX(Roster!$B$2:$B$40,MATCH($A30,Roster!$A$2:$A$40,0)),"?"))</f>
        <v/>
      </c>
      <c r="C30" s="15" t="inlineStr">
        <is>
          <t>Naples_2</t>
        </is>
      </c>
      <c r="D30" s="29">
        <f>IF($C30="","",IFERROR(IF(INDEX(Deals!$C$2:$C$355,MATCH($C30,Deals!$A$2:$A$355,0))=0,"",INDEX(Deals!$C$2:$C$355,MATCH($C30,Deals!$A$2:$A$355,0))),"?"))</f>
        <v/>
      </c>
      <c r="E30" s="29">
        <f>IF($C30="","",IFERROR(INDEX(Deals!$F$2:$F$355,MATCH($C30,Deals!$A$2:$A$355,0)),"?"))</f>
        <v/>
      </c>
      <c r="F30" s="15" t="inlineStr">
        <is>
          <t>Partner</t>
        </is>
      </c>
      <c r="G30" s="15" t="inlineStr">
        <is>
          <t>Active</t>
        </is>
      </c>
      <c r="H30" s="27" t="n"/>
      <c r="I30" s="20">
        <f>IF(OR($A30="",$G30&lt;&gt;"Active"),0,IF($H30&lt;&gt;"",$H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</f>
        <v/>
      </c>
      <c r="J30" s="23">
        <f>IF($C30="",0,IFERROR(INDEX(Deals!$H$2:$H$355,MATCH($C30,Deals!$A$2:$A$355,0)),0))</f>
        <v/>
      </c>
      <c r="K30" s="20">
        <f>IF(Settings!$B$4="Yes",$I30*$J30,$I30)</f>
        <v/>
      </c>
      <c r="L30" s="31">
        <f>IF($C30="","",IFERROR(IF(INDEX(Deals!$I$2:$I$355,MATCH($C30,Deals!$A$2:$A$355,0))=0,"",INDEX(Deals!$I$2:$I$355,MATCH($C30,Deals!$A$2:$A$355,0))),""))</f>
        <v/>
      </c>
      <c r="M30" s="31">
        <f>IF($C30="","",IFERROR(IF(INDEX(Deals!$J$2:$J$355,MATCH($C30,Deals!$A$2:$A$355,0))=0,"",INDEX(Deals!$J$2:$J$355,MATCH($C30,Deals!$A$2:$A$355,0))),""))</f>
        <v/>
      </c>
      <c r="N30" s="24">
        <f>IF($L30="",DATE(1900,1,1),$L30)</f>
        <v/>
      </c>
      <c r="O30" s="24">
        <f>IF($M30="",DATE(2100,12,31),$M30)</f>
        <v/>
      </c>
      <c r="P30" s="16" t="inlineStr"/>
      <c r="Q30" s="16" t="inlineStr"/>
      <c r="R30" s="29">
        <f>IF($C30="","",IFERROR(IF(INDEX(Deals!$U$2:$U$355,MATCH($C30,Deals!$A$2:$A$355,0))=0,"",INDEX(Deals!$U$2:$U$355,MATCH($C30,Deals!$A$2:$A$355,0))),""))</f>
        <v/>
      </c>
      <c r="S30" s="22">
        <f>IFERROR(IF($U30="",1,INDEX(Deals!$V$2:$V$355,MATCH($C30,Deals!$A$2:$A$355,0))),1)</f>
        <v/>
      </c>
      <c r="T30" s="22">
        <f>IFERROR(IF($U30="",1,INDEX(Deals!$W$2:$W$355,MATCH($C30,Deals!$A$2:$A$355,0))),1)</f>
        <v/>
      </c>
      <c r="U30" s="31">
        <f>IF($C30="","",IFERROR(IF(INDEX(Deals!$Y$2:$Y$355,MATCH($C30,Deals!$A$2:$A$355,0))=0,"",INDEX(Deals!$Y$2:$Y$355,MATCH($C30,Deals!$A$2:$A$355,0))),""))</f>
        <v/>
      </c>
      <c r="V30" s="24">
        <f>IF($U30="",DATE(1900,1,1),$N30)</f>
        <v/>
      </c>
      <c r="W30" s="24">
        <f>IF($U30="",DATE(2100,12,31),$U30)</f>
        <v/>
      </c>
      <c r="X30" s="20">
        <f>IF($U30="",$K30,$K30*$S30)</f>
        <v/>
      </c>
      <c r="Y30" s="24">
        <f>IF($U30="",DATE(2100,12,31),$U30+1)</f>
        <v/>
      </c>
      <c r="Z30" s="24">
        <f>IF($U30="",DATE(1900,1,1),$O30)</f>
        <v/>
      </c>
      <c r="AA30" s="20">
        <f>IF($U30="",0,$K30*$T30)</f>
        <v/>
      </c>
    </row>
    <row r="31">
      <c r="A31" s="15" t="inlineStr">
        <is>
          <t>Tania</t>
        </is>
      </c>
      <c r="B31" s="29">
        <f>IF($A31="","",IFERROR(INDEX(Roster!$B$2:$B$40,MATCH($A31,Roster!$A$2:$A$40,0)),"?"))</f>
        <v/>
      </c>
      <c r="C31" s="15" t="inlineStr">
        <is>
          <t>Nemrut_1</t>
        </is>
      </c>
      <c r="D31" s="29">
        <f>IF($C31="","",IFERROR(IF(INDEX(Deals!$C$2:$C$355,MATCH($C31,Deals!$A$2:$A$355,0))=0,"",INDEX(Deals!$C$2:$C$355,MATCH($C31,Deals!$A$2:$A$355,0))),"?"))</f>
        <v/>
      </c>
      <c r="E31" s="29">
        <f>IF($C31="","",IFERROR(INDEX(Deals!$F$2:$F$355,MATCH($C31,Deals!$A$2:$A$355,0)),"?"))</f>
        <v/>
      </c>
      <c r="F31" s="15" t="inlineStr">
        <is>
          <t>Partner</t>
        </is>
      </c>
      <c r="G31" s="15" t="inlineStr">
        <is>
          <t>Active</t>
        </is>
      </c>
      <c r="H31" s="27" t="n"/>
      <c r="I31" s="20">
        <f>IF(OR($A31="",$G31&lt;&gt;"Active"),0,IF($H31&lt;&gt;"",$H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</f>
        <v/>
      </c>
      <c r="J31" s="23">
        <f>IF($C31="",0,IFERROR(INDEX(Deals!$H$2:$H$355,MATCH($C31,Deals!$A$2:$A$355,0)),0))</f>
        <v/>
      </c>
      <c r="K31" s="20">
        <f>IF(Settings!$B$4="Yes",$I31*$J31,$I31)</f>
        <v/>
      </c>
      <c r="L31" s="31">
        <f>IF($C31="","",IFERROR(IF(INDEX(Deals!$I$2:$I$355,MATCH($C31,Deals!$A$2:$A$355,0))=0,"",INDEX(Deals!$I$2:$I$355,MATCH($C31,Deals!$A$2:$A$355,0))),""))</f>
        <v/>
      </c>
      <c r="M31" s="31">
        <f>IF($C31="","",IFERROR(IF(INDEX(Deals!$J$2:$J$355,MATCH($C31,Deals!$A$2:$A$355,0))=0,"",INDEX(Deals!$J$2:$J$355,MATCH($C31,Deals!$A$2:$A$355,0))),""))</f>
        <v/>
      </c>
      <c r="N31" s="24">
        <f>IF($L31="",DATE(1900,1,1),$L31)</f>
        <v/>
      </c>
      <c r="O31" s="24">
        <f>IF($M31="",DATE(2100,12,31),$M31)</f>
        <v/>
      </c>
      <c r="P31" s="16" t="inlineStr"/>
      <c r="Q31" s="16" t="inlineStr"/>
      <c r="R31" s="29">
        <f>IF($C31="","",IFERROR(IF(INDEX(Deals!$U$2:$U$355,MATCH($C31,Deals!$A$2:$A$355,0))=0,"",INDEX(Deals!$U$2:$U$355,MATCH($C31,Deals!$A$2:$A$355,0))),""))</f>
        <v/>
      </c>
      <c r="S31" s="22">
        <f>IFERROR(IF($U31="",1,INDEX(Deals!$V$2:$V$355,MATCH($C31,Deals!$A$2:$A$355,0))),1)</f>
        <v/>
      </c>
      <c r="T31" s="22">
        <f>IFERROR(IF($U31="",1,INDEX(Deals!$W$2:$W$355,MATCH($C31,Deals!$A$2:$A$355,0))),1)</f>
        <v/>
      </c>
      <c r="U31" s="31">
        <f>IF($C31="","",IFERROR(IF(INDEX(Deals!$Y$2:$Y$355,MATCH($C31,Deals!$A$2:$A$355,0))=0,"",INDEX(Deals!$Y$2:$Y$355,MATCH($C31,Deals!$A$2:$A$355,0))),""))</f>
        <v/>
      </c>
      <c r="V31" s="24">
        <f>IF($U31="",DATE(1900,1,1),$N31)</f>
        <v/>
      </c>
      <c r="W31" s="24">
        <f>IF($U31="",DATE(2100,12,31),$U31)</f>
        <v/>
      </c>
      <c r="X31" s="20">
        <f>IF($U31="",$K31,$K31*$S31)</f>
        <v/>
      </c>
      <c r="Y31" s="24">
        <f>IF($U31="",DATE(2100,12,31),$U31+1)</f>
        <v/>
      </c>
      <c r="Z31" s="24">
        <f>IF($U31="",DATE(1900,1,1),$O31)</f>
        <v/>
      </c>
      <c r="AA31" s="20">
        <f>IF($U31="",0,$K31*$T31)</f>
        <v/>
      </c>
    </row>
    <row r="32">
      <c r="A32" s="15" t="inlineStr">
        <is>
          <t>Tania</t>
        </is>
      </c>
      <c r="B32" s="29">
        <f>IF($A32="","",IFERROR(INDEX(Roster!$B$2:$B$40,MATCH($A32,Roster!$A$2:$A$40,0)),"?"))</f>
        <v/>
      </c>
      <c r="C32" s="15" t="inlineStr">
        <is>
          <t>NXT Add_1</t>
        </is>
      </c>
      <c r="D32" s="29">
        <f>IF($C32="","",IFERROR(IF(INDEX(Deals!$C$2:$C$355,MATCH($C32,Deals!$A$2:$A$355,0))=0,"",INDEX(Deals!$C$2:$C$355,MATCH($C32,Deals!$A$2:$A$355,0))),"?"))</f>
        <v/>
      </c>
      <c r="E32" s="29">
        <f>IF($C32="","",IFERROR(INDEX(Deals!$F$2:$F$355,MATCH($C32,Deals!$A$2:$A$355,0)),"?"))</f>
        <v/>
      </c>
      <c r="F32" s="15" t="inlineStr">
        <is>
          <t>Partner</t>
        </is>
      </c>
      <c r="G32" s="15" t="inlineStr">
        <is>
          <t>Active</t>
        </is>
      </c>
      <c r="H32" s="27" t="n"/>
      <c r="I32" s="20">
        <f>IF(OR($A32="",$G32&lt;&gt;"Active"),0,IF($H32&lt;&gt;"",$H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</f>
        <v/>
      </c>
      <c r="J32" s="23">
        <f>IF($C32="",0,IFERROR(INDEX(Deals!$H$2:$H$355,MATCH($C32,Deals!$A$2:$A$355,0)),0))</f>
        <v/>
      </c>
      <c r="K32" s="20">
        <f>IF(Settings!$B$4="Yes",$I32*$J32,$I32)</f>
        <v/>
      </c>
      <c r="L32" s="31">
        <f>IF($C32="","",IFERROR(IF(INDEX(Deals!$I$2:$I$355,MATCH($C32,Deals!$A$2:$A$355,0))=0,"",INDEX(Deals!$I$2:$I$355,MATCH($C32,Deals!$A$2:$A$355,0))),""))</f>
        <v/>
      </c>
      <c r="M32" s="31">
        <f>IF($C32="","",IFERROR(IF(INDEX(Deals!$J$2:$J$355,MATCH($C32,Deals!$A$2:$A$355,0))=0,"",INDEX(Deals!$J$2:$J$355,MATCH($C32,Deals!$A$2:$A$355,0))),""))</f>
        <v/>
      </c>
      <c r="N32" s="24">
        <f>IF($L32="",DATE(1900,1,1),$L32)</f>
        <v/>
      </c>
      <c r="O32" s="24">
        <f>IF($M32="",DATE(2100,12,31),$M32)</f>
        <v/>
      </c>
      <c r="P32" s="16" t="inlineStr"/>
      <c r="Q32" s="16" t="inlineStr"/>
      <c r="R32" s="29">
        <f>IF($C32="","",IFERROR(IF(INDEX(Deals!$U$2:$U$355,MATCH($C32,Deals!$A$2:$A$355,0))=0,"",INDEX(Deals!$U$2:$U$355,MATCH($C32,Deals!$A$2:$A$355,0))),""))</f>
        <v/>
      </c>
      <c r="S32" s="22">
        <f>IFERROR(IF($U32="",1,INDEX(Deals!$V$2:$V$355,MATCH($C32,Deals!$A$2:$A$355,0))),1)</f>
        <v/>
      </c>
      <c r="T32" s="22">
        <f>IFERROR(IF($U32="",1,INDEX(Deals!$W$2:$W$355,MATCH($C32,Deals!$A$2:$A$355,0))),1)</f>
        <v/>
      </c>
      <c r="U32" s="31">
        <f>IF($C32="","",IFERROR(IF(INDEX(Deals!$Y$2:$Y$355,MATCH($C32,Deals!$A$2:$A$355,0))=0,"",INDEX(Deals!$Y$2:$Y$355,MATCH($C32,Deals!$A$2:$A$355,0))),""))</f>
        <v/>
      </c>
      <c r="V32" s="24">
        <f>IF($U32="",DATE(1900,1,1),$N32)</f>
        <v/>
      </c>
      <c r="W32" s="24">
        <f>IF($U32="",DATE(2100,12,31),$U32)</f>
        <v/>
      </c>
      <c r="X32" s="20">
        <f>IF($U32="",$K32,$K32*$S32)</f>
        <v/>
      </c>
      <c r="Y32" s="24">
        <f>IF($U32="",DATE(2100,12,31),$U32+1)</f>
        <v/>
      </c>
      <c r="Z32" s="24">
        <f>IF($U32="",DATE(1900,1,1),$O32)</f>
        <v/>
      </c>
      <c r="AA32" s="20">
        <f>IF($U32="",0,$K32*$T32)</f>
        <v/>
      </c>
    </row>
    <row r="33">
      <c r="A33" s="15" t="inlineStr">
        <is>
          <t>Tania</t>
        </is>
      </c>
      <c r="B33" s="29">
        <f>IF($A33="","",IFERROR(INDEX(Roster!$B$2:$B$40,MATCH($A33,Roster!$A$2:$A$40,0)),"?"))</f>
        <v/>
      </c>
      <c r="C33" s="15" t="inlineStr">
        <is>
          <t>Papago_1</t>
        </is>
      </c>
      <c r="D33" s="29">
        <f>IF($C33="","",IFERROR(IF(INDEX(Deals!$C$2:$C$355,MATCH($C33,Deals!$A$2:$A$355,0))=0,"",INDEX(Deals!$C$2:$C$355,MATCH($C33,Deals!$A$2:$A$355,0))),"?"))</f>
        <v/>
      </c>
      <c r="E33" s="29">
        <f>IF($C33="","",IFERROR(INDEX(Deals!$F$2:$F$355,MATCH($C33,Deals!$A$2:$A$355,0)),"?"))</f>
        <v/>
      </c>
      <c r="F33" s="15" t="inlineStr">
        <is>
          <t>Partner</t>
        </is>
      </c>
      <c r="G33" s="15" t="inlineStr">
        <is>
          <t>Active</t>
        </is>
      </c>
      <c r="H33" s="27" t="n"/>
      <c r="I33" s="20">
        <f>IF(OR($A33="",$G33&lt;&gt;"Active"),0,IF($H33&lt;&gt;"",$H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</f>
        <v/>
      </c>
      <c r="J33" s="23">
        <f>IF($C33="",0,IFERROR(INDEX(Deals!$H$2:$H$355,MATCH($C33,Deals!$A$2:$A$355,0)),0))</f>
        <v/>
      </c>
      <c r="K33" s="20">
        <f>IF(Settings!$B$4="Yes",$I33*$J33,$I33)</f>
        <v/>
      </c>
      <c r="L33" s="31">
        <f>IF($C33="","",IFERROR(IF(INDEX(Deals!$I$2:$I$355,MATCH($C33,Deals!$A$2:$A$355,0))=0,"",INDEX(Deals!$I$2:$I$355,MATCH($C33,Deals!$A$2:$A$355,0))),""))</f>
        <v/>
      </c>
      <c r="M33" s="31">
        <f>IF($C33="","",IFERROR(IF(INDEX(Deals!$J$2:$J$355,MATCH($C33,Deals!$A$2:$A$355,0))=0,"",INDEX(Deals!$J$2:$J$355,MATCH($C33,Deals!$A$2:$A$355,0))),""))</f>
        <v/>
      </c>
      <c r="N33" s="24">
        <f>IF($L33="",DATE(1900,1,1),$L33)</f>
        <v/>
      </c>
      <c r="O33" s="24">
        <f>IF($M33="",DATE(2100,12,31),$M33)</f>
        <v/>
      </c>
      <c r="P33" s="16" t="inlineStr"/>
      <c r="Q33" s="16" t="inlineStr"/>
      <c r="R33" s="29">
        <f>IF($C33="","",IFERROR(IF(INDEX(Deals!$U$2:$U$355,MATCH($C33,Deals!$A$2:$A$355,0))=0,"",INDEX(Deals!$U$2:$U$355,MATCH($C33,Deals!$A$2:$A$355,0))),""))</f>
        <v/>
      </c>
      <c r="S33" s="22">
        <f>IFERROR(IF($U33="",1,INDEX(Deals!$V$2:$V$355,MATCH($C33,Deals!$A$2:$A$355,0))),1)</f>
        <v/>
      </c>
      <c r="T33" s="22">
        <f>IFERROR(IF($U33="",1,INDEX(Deals!$W$2:$W$355,MATCH($C33,Deals!$A$2:$A$355,0))),1)</f>
        <v/>
      </c>
      <c r="U33" s="31">
        <f>IF($C33="","",IFERROR(IF(INDEX(Deals!$Y$2:$Y$355,MATCH($C33,Deals!$A$2:$A$355,0))=0,"",INDEX(Deals!$Y$2:$Y$355,MATCH($C33,Deals!$A$2:$A$355,0))),""))</f>
        <v/>
      </c>
      <c r="V33" s="24">
        <f>IF($U33="",DATE(1900,1,1),$N33)</f>
        <v/>
      </c>
      <c r="W33" s="24">
        <f>IF($U33="",DATE(2100,12,31),$U33)</f>
        <v/>
      </c>
      <c r="X33" s="20">
        <f>IF($U33="",$K33,$K33*$S33)</f>
        <v/>
      </c>
      <c r="Y33" s="24">
        <f>IF($U33="",DATE(2100,12,31),$U33+1)</f>
        <v/>
      </c>
      <c r="Z33" s="24">
        <f>IF($U33="",DATE(1900,1,1),$O33)</f>
        <v/>
      </c>
      <c r="AA33" s="20">
        <f>IF($U33="",0,$K33*$T33)</f>
        <v/>
      </c>
    </row>
    <row r="34">
      <c r="A34" s="15" t="inlineStr">
        <is>
          <t>Tania</t>
        </is>
      </c>
      <c r="B34" s="29">
        <f>IF($A34="","",IFERROR(INDEX(Roster!$B$2:$B$40,MATCH($A34,Roster!$A$2:$A$40,0)),"?"))</f>
        <v/>
      </c>
      <c r="C34" s="15" t="inlineStr">
        <is>
          <t>Pelican_1</t>
        </is>
      </c>
      <c r="D34" s="29">
        <f>IF($C34="","",IFERROR(IF(INDEX(Deals!$C$2:$C$355,MATCH($C34,Deals!$A$2:$A$355,0))=0,"",INDEX(Deals!$C$2:$C$355,MATCH($C34,Deals!$A$2:$A$355,0))),"?"))</f>
        <v/>
      </c>
      <c r="E34" s="29">
        <f>IF($C34="","",IFERROR(INDEX(Deals!$F$2:$F$355,MATCH($C34,Deals!$A$2:$A$355,0)),"?"))</f>
        <v/>
      </c>
      <c r="F34" s="15" t="inlineStr">
        <is>
          <t>Partner</t>
        </is>
      </c>
      <c r="G34" s="15" t="inlineStr">
        <is>
          <t>Active</t>
        </is>
      </c>
      <c r="H34" s="27" t="n"/>
      <c r="I34" s="20">
        <f>IF(OR($A34="",$G34&lt;&gt;"Active"),0,IF($H34&lt;&gt;"",$H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</f>
        <v/>
      </c>
      <c r="J34" s="23">
        <f>IF($C34="",0,IFERROR(INDEX(Deals!$H$2:$H$355,MATCH($C34,Deals!$A$2:$A$355,0)),0))</f>
        <v/>
      </c>
      <c r="K34" s="20">
        <f>IF(Settings!$B$4="Yes",$I34*$J34,$I34)</f>
        <v/>
      </c>
      <c r="L34" s="31">
        <f>IF($C34="","",IFERROR(IF(INDEX(Deals!$I$2:$I$355,MATCH($C34,Deals!$A$2:$A$355,0))=0,"",INDEX(Deals!$I$2:$I$355,MATCH($C34,Deals!$A$2:$A$355,0))),""))</f>
        <v/>
      </c>
      <c r="M34" s="31">
        <f>IF($C34="","",IFERROR(IF(INDEX(Deals!$J$2:$J$355,MATCH($C34,Deals!$A$2:$A$355,0))=0,"",INDEX(Deals!$J$2:$J$355,MATCH($C34,Deals!$A$2:$A$355,0))),""))</f>
        <v/>
      </c>
      <c r="N34" s="24">
        <f>IF($L34="",DATE(1900,1,1),$L34)</f>
        <v/>
      </c>
      <c r="O34" s="24">
        <f>IF($M34="",DATE(2100,12,31),$M34)</f>
        <v/>
      </c>
      <c r="P34" s="16" t="inlineStr"/>
      <c r="Q34" s="16" t="inlineStr"/>
      <c r="R34" s="29">
        <f>IF($C34="","",IFERROR(IF(INDEX(Deals!$U$2:$U$355,MATCH($C34,Deals!$A$2:$A$355,0))=0,"",INDEX(Deals!$U$2:$U$355,MATCH($C34,Deals!$A$2:$A$355,0))),""))</f>
        <v/>
      </c>
      <c r="S34" s="22">
        <f>IFERROR(IF($U34="",1,INDEX(Deals!$V$2:$V$355,MATCH($C34,Deals!$A$2:$A$355,0))),1)</f>
        <v/>
      </c>
      <c r="T34" s="22">
        <f>IFERROR(IF($U34="",1,INDEX(Deals!$W$2:$W$355,MATCH($C34,Deals!$A$2:$A$355,0))),1)</f>
        <v/>
      </c>
      <c r="U34" s="31">
        <f>IF($C34="","",IFERROR(IF(INDEX(Deals!$Y$2:$Y$355,MATCH($C34,Deals!$A$2:$A$355,0))=0,"",INDEX(Deals!$Y$2:$Y$355,MATCH($C34,Deals!$A$2:$A$355,0))),""))</f>
        <v/>
      </c>
      <c r="V34" s="24">
        <f>IF($U34="",DATE(1900,1,1),$N34)</f>
        <v/>
      </c>
      <c r="W34" s="24">
        <f>IF($U34="",DATE(2100,12,31),$U34)</f>
        <v/>
      </c>
      <c r="X34" s="20">
        <f>IF($U34="",$K34,$K34*$S34)</f>
        <v/>
      </c>
      <c r="Y34" s="24">
        <f>IF($U34="",DATE(2100,12,31),$U34+1)</f>
        <v/>
      </c>
      <c r="Z34" s="24">
        <f>IF($U34="",DATE(1900,1,1),$O34)</f>
        <v/>
      </c>
      <c r="AA34" s="20">
        <f>IF($U34="",0,$K34*$T34)</f>
        <v/>
      </c>
    </row>
    <row r="35">
      <c r="A35" s="15" t="inlineStr">
        <is>
          <t>Tania</t>
        </is>
      </c>
      <c r="B35" s="29">
        <f>IF($A35="","",IFERROR(INDEX(Roster!$B$2:$B$40,MATCH($A35,Roster!$A$2:$A$40,0)),"?"))</f>
        <v/>
      </c>
      <c r="C35" s="15" t="inlineStr">
        <is>
          <t>Pet_1</t>
        </is>
      </c>
      <c r="D35" s="29">
        <f>IF($C35="","",IFERROR(IF(INDEX(Deals!$C$2:$C$355,MATCH($C35,Deals!$A$2:$A$355,0))=0,"",INDEX(Deals!$C$2:$C$355,MATCH($C35,Deals!$A$2:$A$355,0))),"?"))</f>
        <v/>
      </c>
      <c r="E35" s="29">
        <f>IF($C35="","",IFERROR(INDEX(Deals!$F$2:$F$355,MATCH($C35,Deals!$A$2:$A$355,0)),"?"))</f>
        <v/>
      </c>
      <c r="F35" s="15" t="inlineStr">
        <is>
          <t>Partner</t>
        </is>
      </c>
      <c r="G35" s="15" t="inlineStr">
        <is>
          <t>Active</t>
        </is>
      </c>
      <c r="H35" s="27" t="n"/>
      <c r="I35" s="20">
        <f>IF(OR($A35="",$G35&lt;&gt;"Active"),0,IF($H35&lt;&gt;"",$H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</f>
        <v/>
      </c>
      <c r="J35" s="23">
        <f>IF($C35="",0,IFERROR(INDEX(Deals!$H$2:$H$355,MATCH($C35,Deals!$A$2:$A$355,0)),0))</f>
        <v/>
      </c>
      <c r="K35" s="20">
        <f>IF(Settings!$B$4="Yes",$I35*$J35,$I35)</f>
        <v/>
      </c>
      <c r="L35" s="31">
        <f>IF($C35="","",IFERROR(IF(INDEX(Deals!$I$2:$I$355,MATCH($C35,Deals!$A$2:$A$355,0))=0,"",INDEX(Deals!$I$2:$I$355,MATCH($C35,Deals!$A$2:$A$355,0))),""))</f>
        <v/>
      </c>
      <c r="M35" s="31">
        <f>IF($C35="","",IFERROR(IF(INDEX(Deals!$J$2:$J$355,MATCH($C35,Deals!$A$2:$A$355,0))=0,"",INDEX(Deals!$J$2:$J$355,MATCH($C35,Deals!$A$2:$A$355,0))),""))</f>
        <v/>
      </c>
      <c r="N35" s="24">
        <f>IF($L35="",DATE(1900,1,1),$L35)</f>
        <v/>
      </c>
      <c r="O35" s="24">
        <f>IF($M35="",DATE(2100,12,31),$M35)</f>
        <v/>
      </c>
      <c r="P35" s="16" t="inlineStr"/>
      <c r="Q35" s="16" t="inlineStr"/>
      <c r="R35" s="29">
        <f>IF($C35="","",IFERROR(IF(INDEX(Deals!$U$2:$U$355,MATCH($C35,Deals!$A$2:$A$355,0))=0,"",INDEX(Deals!$U$2:$U$355,MATCH($C35,Deals!$A$2:$A$355,0))),""))</f>
        <v/>
      </c>
      <c r="S35" s="22">
        <f>IFERROR(IF($U35="",1,INDEX(Deals!$V$2:$V$355,MATCH($C35,Deals!$A$2:$A$355,0))),1)</f>
        <v/>
      </c>
      <c r="T35" s="22">
        <f>IFERROR(IF($U35="",1,INDEX(Deals!$W$2:$W$355,MATCH($C35,Deals!$A$2:$A$355,0))),1)</f>
        <v/>
      </c>
      <c r="U35" s="31">
        <f>IF($C35="","",IFERROR(IF(INDEX(Deals!$Y$2:$Y$355,MATCH($C35,Deals!$A$2:$A$355,0))=0,"",INDEX(Deals!$Y$2:$Y$355,MATCH($C35,Deals!$A$2:$A$355,0))),""))</f>
        <v/>
      </c>
      <c r="V35" s="24">
        <f>IF($U35="",DATE(1900,1,1),$N35)</f>
        <v/>
      </c>
      <c r="W35" s="24">
        <f>IF($U35="",DATE(2100,12,31),$U35)</f>
        <v/>
      </c>
      <c r="X35" s="20">
        <f>IF($U35="",$K35,$K35*$S35)</f>
        <v/>
      </c>
      <c r="Y35" s="24">
        <f>IF($U35="",DATE(2100,12,31),$U35+1)</f>
        <v/>
      </c>
      <c r="Z35" s="24">
        <f>IF($U35="",DATE(1900,1,1),$O35)</f>
        <v/>
      </c>
      <c r="AA35" s="20">
        <f>IF($U35="",0,$K35*$T35)</f>
        <v/>
      </c>
    </row>
    <row r="36">
      <c r="A36" s="15" t="inlineStr">
        <is>
          <t>Tania</t>
        </is>
      </c>
      <c r="B36" s="29">
        <f>IF($A36="","",IFERROR(INDEX(Roster!$B$2:$B$40,MATCH($A36,Roster!$A$2:$A$40,0)),"?"))</f>
        <v/>
      </c>
      <c r="C36" s="15" t="inlineStr">
        <is>
          <t>PMD_1</t>
        </is>
      </c>
      <c r="D36" s="29">
        <f>IF($C36="","",IFERROR(IF(INDEX(Deals!$C$2:$C$355,MATCH($C36,Deals!$A$2:$A$355,0))=0,"",INDEX(Deals!$C$2:$C$355,MATCH($C36,Deals!$A$2:$A$355,0))),"?"))</f>
        <v/>
      </c>
      <c r="E36" s="29">
        <f>IF($C36="","",IFERROR(INDEX(Deals!$F$2:$F$355,MATCH($C36,Deals!$A$2:$A$355,0)),"?"))</f>
        <v/>
      </c>
      <c r="F36" s="15" t="inlineStr">
        <is>
          <t>Partner</t>
        </is>
      </c>
      <c r="G36" s="15" t="inlineStr">
        <is>
          <t>Active</t>
        </is>
      </c>
      <c r="H36" s="27" t="n"/>
      <c r="I36" s="20">
        <f>IF(OR($A36="",$G36&lt;&gt;"Active"),0,IF($H36&lt;&gt;"",$H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</f>
        <v/>
      </c>
      <c r="J36" s="23">
        <f>IF($C36="",0,IFERROR(INDEX(Deals!$H$2:$H$355,MATCH($C36,Deals!$A$2:$A$355,0)),0))</f>
        <v/>
      </c>
      <c r="K36" s="20">
        <f>IF(Settings!$B$4="Yes",$I36*$J36,$I36)</f>
        <v/>
      </c>
      <c r="L36" s="31">
        <f>IF($C36="","",IFERROR(IF(INDEX(Deals!$I$2:$I$355,MATCH($C36,Deals!$A$2:$A$355,0))=0,"",INDEX(Deals!$I$2:$I$355,MATCH($C36,Deals!$A$2:$A$355,0))),""))</f>
        <v/>
      </c>
      <c r="M36" s="31">
        <f>IF($C36="","",IFERROR(IF(INDEX(Deals!$J$2:$J$355,MATCH($C36,Deals!$A$2:$A$355,0))=0,"",INDEX(Deals!$J$2:$J$355,MATCH($C36,Deals!$A$2:$A$355,0))),""))</f>
        <v/>
      </c>
      <c r="N36" s="24">
        <f>IF($L36="",DATE(1900,1,1),$L36)</f>
        <v/>
      </c>
      <c r="O36" s="24">
        <f>IF($M36="",DATE(2100,12,31),$M36)</f>
        <v/>
      </c>
      <c r="P36" s="16" t="inlineStr"/>
      <c r="Q36" s="16" t="inlineStr"/>
      <c r="R36" s="29">
        <f>IF($C36="","",IFERROR(IF(INDEX(Deals!$U$2:$U$355,MATCH($C36,Deals!$A$2:$A$355,0))=0,"",INDEX(Deals!$U$2:$U$355,MATCH($C36,Deals!$A$2:$A$355,0))),""))</f>
        <v/>
      </c>
      <c r="S36" s="22">
        <f>IFERROR(IF($U36="",1,INDEX(Deals!$V$2:$V$355,MATCH($C36,Deals!$A$2:$A$355,0))),1)</f>
        <v/>
      </c>
      <c r="T36" s="22">
        <f>IFERROR(IF($U36="",1,INDEX(Deals!$W$2:$W$355,MATCH($C36,Deals!$A$2:$A$355,0))),1)</f>
        <v/>
      </c>
      <c r="U36" s="31">
        <f>IF($C36="","",IFERROR(IF(INDEX(Deals!$Y$2:$Y$355,MATCH($C36,Deals!$A$2:$A$355,0))=0,"",INDEX(Deals!$Y$2:$Y$355,MATCH($C36,Deals!$A$2:$A$355,0))),""))</f>
        <v/>
      </c>
      <c r="V36" s="24">
        <f>IF($U36="",DATE(1900,1,1),$N36)</f>
        <v/>
      </c>
      <c r="W36" s="24">
        <f>IF($U36="",DATE(2100,12,31),$U36)</f>
        <v/>
      </c>
      <c r="X36" s="20">
        <f>IF($U36="",$K36,$K36*$S36)</f>
        <v/>
      </c>
      <c r="Y36" s="24">
        <f>IF($U36="",DATE(2100,12,31),$U36+1)</f>
        <v/>
      </c>
      <c r="Z36" s="24">
        <f>IF($U36="",DATE(1900,1,1),$O36)</f>
        <v/>
      </c>
      <c r="AA36" s="20">
        <f>IF($U36="",0,$K36*$T36)</f>
        <v/>
      </c>
    </row>
    <row r="37">
      <c r="A37" s="15" t="inlineStr">
        <is>
          <t>Tania</t>
        </is>
      </c>
      <c r="B37" s="29">
        <f>IF($A37="","",IFERROR(INDEX(Roster!$B$2:$B$40,MATCH($A37,Roster!$A$2:$A$40,0)),"?"))</f>
        <v/>
      </c>
      <c r="C37" s="15" t="inlineStr">
        <is>
          <t>Redwood_1</t>
        </is>
      </c>
      <c r="D37" s="29">
        <f>IF($C37="","",IFERROR(IF(INDEX(Deals!$C$2:$C$355,MATCH($C37,Deals!$A$2:$A$355,0))=0,"",INDEX(Deals!$C$2:$C$355,MATCH($C37,Deals!$A$2:$A$355,0))),"?"))</f>
        <v/>
      </c>
      <c r="E37" s="29">
        <f>IF($C37="","",IFERROR(INDEX(Deals!$F$2:$F$355,MATCH($C37,Deals!$A$2:$A$355,0)),"?"))</f>
        <v/>
      </c>
      <c r="F37" s="15" t="inlineStr">
        <is>
          <t>Partner</t>
        </is>
      </c>
      <c r="G37" s="15" t="inlineStr">
        <is>
          <t>Active</t>
        </is>
      </c>
      <c r="H37" s="27" t="n"/>
      <c r="I37" s="20">
        <f>IF(OR($A37="",$G37&lt;&gt;"Active"),0,IF($H37&lt;&gt;"",$H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</f>
        <v/>
      </c>
      <c r="J37" s="23">
        <f>IF($C37="",0,IFERROR(INDEX(Deals!$H$2:$H$355,MATCH($C37,Deals!$A$2:$A$355,0)),0))</f>
        <v/>
      </c>
      <c r="K37" s="20">
        <f>IF(Settings!$B$4="Yes",$I37*$J37,$I37)</f>
        <v/>
      </c>
      <c r="L37" s="31">
        <f>IF($C37="","",IFERROR(IF(INDEX(Deals!$I$2:$I$355,MATCH($C37,Deals!$A$2:$A$355,0))=0,"",INDEX(Deals!$I$2:$I$355,MATCH($C37,Deals!$A$2:$A$355,0))),""))</f>
        <v/>
      </c>
      <c r="M37" s="31">
        <f>IF($C37="","",IFERROR(IF(INDEX(Deals!$J$2:$J$355,MATCH($C37,Deals!$A$2:$A$355,0))=0,"",INDEX(Deals!$J$2:$J$355,MATCH($C37,Deals!$A$2:$A$355,0))),""))</f>
        <v/>
      </c>
      <c r="N37" s="24">
        <f>IF($L37="",DATE(1900,1,1),$L37)</f>
        <v/>
      </c>
      <c r="O37" s="24">
        <f>IF($M37="",DATE(2100,12,31),$M37)</f>
        <v/>
      </c>
      <c r="P37" s="16" t="inlineStr"/>
      <c r="Q37" s="16" t="inlineStr"/>
      <c r="R37" s="29">
        <f>IF($C37="","",IFERROR(IF(INDEX(Deals!$U$2:$U$355,MATCH($C37,Deals!$A$2:$A$355,0))=0,"",INDEX(Deals!$U$2:$U$355,MATCH($C37,Deals!$A$2:$A$355,0))),""))</f>
        <v/>
      </c>
      <c r="S37" s="22">
        <f>IFERROR(IF($U37="",1,INDEX(Deals!$V$2:$V$355,MATCH($C37,Deals!$A$2:$A$355,0))),1)</f>
        <v/>
      </c>
      <c r="T37" s="22">
        <f>IFERROR(IF($U37="",1,INDEX(Deals!$W$2:$W$355,MATCH($C37,Deals!$A$2:$A$355,0))),1)</f>
        <v/>
      </c>
      <c r="U37" s="31">
        <f>IF($C37="","",IFERROR(IF(INDEX(Deals!$Y$2:$Y$355,MATCH($C37,Deals!$A$2:$A$355,0))=0,"",INDEX(Deals!$Y$2:$Y$355,MATCH($C37,Deals!$A$2:$A$355,0))),""))</f>
        <v/>
      </c>
      <c r="V37" s="24">
        <f>IF($U37="",DATE(1900,1,1),$N37)</f>
        <v/>
      </c>
      <c r="W37" s="24">
        <f>IF($U37="",DATE(2100,12,31),$U37)</f>
        <v/>
      </c>
      <c r="X37" s="20">
        <f>IF($U37="",$K37,$K37*$S37)</f>
        <v/>
      </c>
      <c r="Y37" s="24">
        <f>IF($U37="",DATE(2100,12,31),$U37+1)</f>
        <v/>
      </c>
      <c r="Z37" s="24">
        <f>IF($U37="",DATE(1900,1,1),$O37)</f>
        <v/>
      </c>
      <c r="AA37" s="20">
        <f>IF($U37="",0,$K37*$T37)</f>
        <v/>
      </c>
    </row>
    <row r="38">
      <c r="A38" s="15" t="inlineStr">
        <is>
          <t>Tania</t>
        </is>
      </c>
      <c r="B38" s="29">
        <f>IF($A38="","",IFERROR(INDEX(Roster!$B$2:$B$40,MATCH($A38,Roster!$A$2:$A$40,0)),"?"))</f>
        <v/>
      </c>
      <c r="C38" s="15" t="inlineStr">
        <is>
          <t>Remus_1</t>
        </is>
      </c>
      <c r="D38" s="29">
        <f>IF($C38="","",IFERROR(IF(INDEX(Deals!$C$2:$C$355,MATCH($C38,Deals!$A$2:$A$355,0))=0,"",INDEX(Deals!$C$2:$C$355,MATCH($C38,Deals!$A$2:$A$355,0))),"?"))</f>
        <v/>
      </c>
      <c r="E38" s="29">
        <f>IF($C38="","",IFERROR(INDEX(Deals!$F$2:$F$355,MATCH($C38,Deals!$A$2:$A$355,0)),"?"))</f>
        <v/>
      </c>
      <c r="F38" s="15" t="inlineStr">
        <is>
          <t>Partner</t>
        </is>
      </c>
      <c r="G38" s="15" t="inlineStr">
        <is>
          <t>Active</t>
        </is>
      </c>
      <c r="H38" s="27" t="n"/>
      <c r="I38" s="20">
        <f>IF(OR($A38="",$G38&lt;&gt;"Active"),0,IF($H38&lt;&gt;"",$H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</f>
        <v/>
      </c>
      <c r="J38" s="23">
        <f>IF($C38="",0,IFERROR(INDEX(Deals!$H$2:$H$355,MATCH($C38,Deals!$A$2:$A$355,0)),0))</f>
        <v/>
      </c>
      <c r="K38" s="20">
        <f>IF(Settings!$B$4="Yes",$I38*$J38,$I38)</f>
        <v/>
      </c>
      <c r="L38" s="31">
        <f>IF($C38="","",IFERROR(IF(INDEX(Deals!$I$2:$I$355,MATCH($C38,Deals!$A$2:$A$355,0))=0,"",INDEX(Deals!$I$2:$I$355,MATCH($C38,Deals!$A$2:$A$355,0))),""))</f>
        <v/>
      </c>
      <c r="M38" s="31">
        <f>IF($C38="","",IFERROR(IF(INDEX(Deals!$J$2:$J$355,MATCH($C38,Deals!$A$2:$A$355,0))=0,"",INDEX(Deals!$J$2:$J$355,MATCH($C38,Deals!$A$2:$A$355,0))),""))</f>
        <v/>
      </c>
      <c r="N38" s="24">
        <f>IF($L38="",DATE(1900,1,1),$L38)</f>
        <v/>
      </c>
      <c r="O38" s="24">
        <f>IF($M38="",DATE(2100,12,31),$M38)</f>
        <v/>
      </c>
      <c r="P38" s="16" t="inlineStr"/>
      <c r="Q38" s="16" t="inlineStr"/>
      <c r="R38" s="29">
        <f>IF($C38="","",IFERROR(IF(INDEX(Deals!$U$2:$U$355,MATCH($C38,Deals!$A$2:$A$355,0))=0,"",INDEX(Deals!$U$2:$U$355,MATCH($C38,Deals!$A$2:$A$355,0))),""))</f>
        <v/>
      </c>
      <c r="S38" s="22">
        <f>IFERROR(IF($U38="",1,INDEX(Deals!$V$2:$V$355,MATCH($C38,Deals!$A$2:$A$355,0))),1)</f>
        <v/>
      </c>
      <c r="T38" s="22">
        <f>IFERROR(IF($U38="",1,INDEX(Deals!$W$2:$W$355,MATCH($C38,Deals!$A$2:$A$355,0))),1)</f>
        <v/>
      </c>
      <c r="U38" s="31">
        <f>IF($C38="","",IFERROR(IF(INDEX(Deals!$Y$2:$Y$355,MATCH($C38,Deals!$A$2:$A$355,0))=0,"",INDEX(Deals!$Y$2:$Y$355,MATCH($C38,Deals!$A$2:$A$355,0))),""))</f>
        <v/>
      </c>
      <c r="V38" s="24">
        <f>IF($U38="",DATE(1900,1,1),$N38)</f>
        <v/>
      </c>
      <c r="W38" s="24">
        <f>IF($U38="",DATE(2100,12,31),$U38)</f>
        <v/>
      </c>
      <c r="X38" s="20">
        <f>IF($U38="",$K38,$K38*$S38)</f>
        <v/>
      </c>
      <c r="Y38" s="24">
        <f>IF($U38="",DATE(2100,12,31),$U38+1)</f>
        <v/>
      </c>
      <c r="Z38" s="24">
        <f>IF($U38="",DATE(1900,1,1),$O38)</f>
        <v/>
      </c>
      <c r="AA38" s="20">
        <f>IF($U38="",0,$K38*$T38)</f>
        <v/>
      </c>
    </row>
    <row r="39">
      <c r="A39" s="15" t="inlineStr">
        <is>
          <t>Tania</t>
        </is>
      </c>
      <c r="B39" s="29">
        <f>IF($A39="","",IFERROR(INDEX(Roster!$B$2:$B$40,MATCH($A39,Roster!$A$2:$A$40,0)),"?"))</f>
        <v/>
      </c>
      <c r="C39" s="15" t="inlineStr">
        <is>
          <t>Scan_1</t>
        </is>
      </c>
      <c r="D39" s="29">
        <f>IF($C39="","",IFERROR(IF(INDEX(Deals!$C$2:$C$355,MATCH($C39,Deals!$A$2:$A$355,0))=0,"",INDEX(Deals!$C$2:$C$355,MATCH($C39,Deals!$A$2:$A$355,0))),"?"))</f>
        <v/>
      </c>
      <c r="E39" s="29">
        <f>IF($C39="","",IFERROR(INDEX(Deals!$F$2:$F$355,MATCH($C39,Deals!$A$2:$A$355,0)),"?"))</f>
        <v/>
      </c>
      <c r="F39" s="15" t="inlineStr">
        <is>
          <t>Partner</t>
        </is>
      </c>
      <c r="G39" s="15" t="inlineStr">
        <is>
          <t>Active</t>
        </is>
      </c>
      <c r="H39" s="27" t="n"/>
      <c r="I39" s="20">
        <f>IF(OR($A39="",$G39&lt;&gt;"Active"),0,IF($H39&lt;&gt;"",$H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</f>
        <v/>
      </c>
      <c r="J39" s="23">
        <f>IF($C39="",0,IFERROR(INDEX(Deals!$H$2:$H$355,MATCH($C39,Deals!$A$2:$A$355,0)),0))</f>
        <v/>
      </c>
      <c r="K39" s="20">
        <f>IF(Settings!$B$4="Yes",$I39*$J39,$I39)</f>
        <v/>
      </c>
      <c r="L39" s="31">
        <f>IF($C39="","",IFERROR(IF(INDEX(Deals!$I$2:$I$355,MATCH($C39,Deals!$A$2:$A$355,0))=0,"",INDEX(Deals!$I$2:$I$355,MATCH($C39,Deals!$A$2:$A$355,0))),""))</f>
        <v/>
      </c>
      <c r="M39" s="31">
        <f>IF($C39="","",IFERROR(IF(INDEX(Deals!$J$2:$J$355,MATCH($C39,Deals!$A$2:$A$355,0))=0,"",INDEX(Deals!$J$2:$J$355,MATCH($C39,Deals!$A$2:$A$355,0))),""))</f>
        <v/>
      </c>
      <c r="N39" s="24">
        <f>IF($L39="",DATE(1900,1,1),$L39)</f>
        <v/>
      </c>
      <c r="O39" s="24">
        <f>IF($M39="",DATE(2100,12,31),$M39)</f>
        <v/>
      </c>
      <c r="P39" s="16" t="inlineStr"/>
      <c r="Q39" s="16" t="inlineStr"/>
      <c r="R39" s="29">
        <f>IF($C39="","",IFERROR(IF(INDEX(Deals!$U$2:$U$355,MATCH($C39,Deals!$A$2:$A$355,0))=0,"",INDEX(Deals!$U$2:$U$355,MATCH($C39,Deals!$A$2:$A$355,0))),""))</f>
        <v/>
      </c>
      <c r="S39" s="22">
        <f>IFERROR(IF($U39="",1,INDEX(Deals!$V$2:$V$355,MATCH($C39,Deals!$A$2:$A$355,0))),1)</f>
        <v/>
      </c>
      <c r="T39" s="22">
        <f>IFERROR(IF($U39="",1,INDEX(Deals!$W$2:$W$355,MATCH($C39,Deals!$A$2:$A$355,0))),1)</f>
        <v/>
      </c>
      <c r="U39" s="31">
        <f>IF($C39="","",IFERROR(IF(INDEX(Deals!$Y$2:$Y$355,MATCH($C39,Deals!$A$2:$A$355,0))=0,"",INDEX(Deals!$Y$2:$Y$355,MATCH($C39,Deals!$A$2:$A$355,0))),""))</f>
        <v/>
      </c>
      <c r="V39" s="24">
        <f>IF($U39="",DATE(1900,1,1),$N39)</f>
        <v/>
      </c>
      <c r="W39" s="24">
        <f>IF($U39="",DATE(2100,12,31),$U39)</f>
        <v/>
      </c>
      <c r="X39" s="20">
        <f>IF($U39="",$K39,$K39*$S39)</f>
        <v/>
      </c>
      <c r="Y39" s="24">
        <f>IF($U39="",DATE(2100,12,31),$U39+1)</f>
        <v/>
      </c>
      <c r="Z39" s="24">
        <f>IF($U39="",DATE(1900,1,1),$O39)</f>
        <v/>
      </c>
      <c r="AA39" s="20">
        <f>IF($U39="",0,$K39*$T39)</f>
        <v/>
      </c>
    </row>
    <row r="40">
      <c r="A40" s="15" t="inlineStr">
        <is>
          <t>Tania</t>
        </is>
      </c>
      <c r="B40" s="29">
        <f>IF($A40="","",IFERROR(INDEX(Roster!$B$2:$B$40,MATCH($A40,Roster!$A$2:$A$40,0)),"?"))</f>
        <v/>
      </c>
      <c r="C40" s="15" t="inlineStr">
        <is>
          <t>Seven2 PFIC_1</t>
        </is>
      </c>
      <c r="D40" s="29">
        <f>IF($C40="","",IFERROR(IF(INDEX(Deals!$C$2:$C$355,MATCH($C40,Deals!$A$2:$A$355,0))=0,"",INDEX(Deals!$C$2:$C$355,MATCH($C40,Deals!$A$2:$A$355,0))),"?"))</f>
        <v/>
      </c>
      <c r="E40" s="29">
        <f>IF($C40="","",IFERROR(INDEX(Deals!$F$2:$F$355,MATCH($C40,Deals!$A$2:$A$355,0)),"?"))</f>
        <v/>
      </c>
      <c r="F40" s="15" t="inlineStr">
        <is>
          <t>Partner</t>
        </is>
      </c>
      <c r="G40" s="15" t="inlineStr">
        <is>
          <t>Active</t>
        </is>
      </c>
      <c r="H40" s="27" t="n"/>
      <c r="I40" s="20">
        <f>IF(OR($A40="",$G40&lt;&gt;"Active"),0,IF($H40&lt;&gt;"",$H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</f>
        <v/>
      </c>
      <c r="J40" s="23">
        <f>IF($C40="",0,IFERROR(INDEX(Deals!$H$2:$H$355,MATCH($C40,Deals!$A$2:$A$355,0)),0))</f>
        <v/>
      </c>
      <c r="K40" s="20">
        <f>IF(Settings!$B$4="Yes",$I40*$J40,$I40)</f>
        <v/>
      </c>
      <c r="L40" s="31">
        <f>IF($C40="","",IFERROR(IF(INDEX(Deals!$I$2:$I$355,MATCH($C40,Deals!$A$2:$A$355,0))=0,"",INDEX(Deals!$I$2:$I$355,MATCH($C40,Deals!$A$2:$A$355,0))),""))</f>
        <v/>
      </c>
      <c r="M40" s="31">
        <f>IF($C40="","",IFERROR(IF(INDEX(Deals!$J$2:$J$355,MATCH($C40,Deals!$A$2:$A$355,0))=0,"",INDEX(Deals!$J$2:$J$355,MATCH($C40,Deals!$A$2:$A$355,0))),""))</f>
        <v/>
      </c>
      <c r="N40" s="24">
        <f>IF($L40="",DATE(1900,1,1),$L40)</f>
        <v/>
      </c>
      <c r="O40" s="24">
        <f>IF($M40="",DATE(2100,12,31),$M40)</f>
        <v/>
      </c>
      <c r="P40" s="16" t="inlineStr"/>
      <c r="Q40" s="16" t="inlineStr"/>
      <c r="R40" s="29">
        <f>IF($C40="","",IFERROR(IF(INDEX(Deals!$U$2:$U$355,MATCH($C40,Deals!$A$2:$A$355,0))=0,"",INDEX(Deals!$U$2:$U$355,MATCH($C40,Deals!$A$2:$A$355,0))),""))</f>
        <v/>
      </c>
      <c r="S40" s="22">
        <f>IFERROR(IF($U40="",1,INDEX(Deals!$V$2:$V$355,MATCH($C40,Deals!$A$2:$A$355,0))),1)</f>
        <v/>
      </c>
      <c r="T40" s="22">
        <f>IFERROR(IF($U40="",1,INDEX(Deals!$W$2:$W$355,MATCH($C40,Deals!$A$2:$A$355,0))),1)</f>
        <v/>
      </c>
      <c r="U40" s="31">
        <f>IF($C40="","",IFERROR(IF(INDEX(Deals!$Y$2:$Y$355,MATCH($C40,Deals!$A$2:$A$355,0))=0,"",INDEX(Deals!$Y$2:$Y$355,MATCH($C40,Deals!$A$2:$A$355,0))),""))</f>
        <v/>
      </c>
      <c r="V40" s="24">
        <f>IF($U40="",DATE(1900,1,1),$N40)</f>
        <v/>
      </c>
      <c r="W40" s="24">
        <f>IF($U40="",DATE(2100,12,31),$U40)</f>
        <v/>
      </c>
      <c r="X40" s="20">
        <f>IF($U40="",$K40,$K40*$S40)</f>
        <v/>
      </c>
      <c r="Y40" s="24">
        <f>IF($U40="",DATE(2100,12,31),$U40+1)</f>
        <v/>
      </c>
      <c r="Z40" s="24">
        <f>IF($U40="",DATE(1900,1,1),$O40)</f>
        <v/>
      </c>
      <c r="AA40" s="20">
        <f>IF($U40="",0,$K40*$T40)</f>
        <v/>
      </c>
    </row>
    <row r="41">
      <c r="A41" s="15" t="inlineStr">
        <is>
          <t>Tania</t>
        </is>
      </c>
      <c r="B41" s="29">
        <f>IF($A41="","",IFERROR(INDEX(Roster!$B$2:$B$40,MATCH($A41,Roster!$A$2:$A$40,0)),"?"))</f>
        <v/>
      </c>
      <c r="C41" s="15" t="inlineStr">
        <is>
          <t>Steam_3</t>
        </is>
      </c>
      <c r="D41" s="29">
        <f>IF($C41="","",IFERROR(IF(INDEX(Deals!$C$2:$C$355,MATCH($C41,Deals!$A$2:$A$355,0))=0,"",INDEX(Deals!$C$2:$C$355,MATCH($C41,Deals!$A$2:$A$355,0))),"?"))</f>
        <v/>
      </c>
      <c r="E41" s="29">
        <f>IF($C41="","",IFERROR(INDEX(Deals!$F$2:$F$355,MATCH($C41,Deals!$A$2:$A$355,0)),"?"))</f>
        <v/>
      </c>
      <c r="F41" s="15" t="inlineStr">
        <is>
          <t>Partner</t>
        </is>
      </c>
      <c r="G41" s="15" t="inlineStr">
        <is>
          <t>Inactive</t>
        </is>
      </c>
      <c r="H41" s="27" t="n"/>
      <c r="I41" s="20">
        <f>IF(OR($A41="",$G41&lt;&gt;"Active"),0,IF($H41&lt;&gt;"",$H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</f>
        <v/>
      </c>
      <c r="J41" s="23">
        <f>IF($C41="",0,IFERROR(INDEX(Deals!$H$2:$H$355,MATCH($C41,Deals!$A$2:$A$355,0)),0))</f>
        <v/>
      </c>
      <c r="K41" s="20">
        <f>IF(Settings!$B$4="Yes",$I41*$J41,$I41)</f>
        <v/>
      </c>
      <c r="L41" s="31">
        <f>IF($C41="","",IFERROR(IF(INDEX(Deals!$I$2:$I$355,MATCH($C41,Deals!$A$2:$A$355,0))=0,"",INDEX(Deals!$I$2:$I$355,MATCH($C41,Deals!$A$2:$A$355,0))),""))</f>
        <v/>
      </c>
      <c r="M41" s="31">
        <f>IF($C41="","",IFERROR(IF(INDEX(Deals!$J$2:$J$355,MATCH($C41,Deals!$A$2:$A$355,0))=0,"",INDEX(Deals!$J$2:$J$355,MATCH($C41,Deals!$A$2:$A$355,0))),""))</f>
        <v/>
      </c>
      <c r="N41" s="24">
        <f>IF($L41="",DATE(1900,1,1),$L41)</f>
        <v/>
      </c>
      <c r="O41" s="24">
        <f>IF($M41="",DATE(2100,12,31),$M41)</f>
        <v/>
      </c>
      <c r="P41" s="16" t="inlineStr"/>
      <c r="Q41" s="16" t="inlineStr">
        <is>
          <t>Deal lifecycle is Dead</t>
        </is>
      </c>
      <c r="R41" s="29">
        <f>IF($C41="","",IFERROR(IF(INDEX(Deals!$U$2:$U$355,MATCH($C41,Deals!$A$2:$A$355,0))=0,"",INDEX(Deals!$U$2:$U$355,MATCH($C41,Deals!$A$2:$A$355,0))),""))</f>
        <v/>
      </c>
      <c r="S41" s="22">
        <f>IFERROR(IF($U41="",1,INDEX(Deals!$V$2:$V$355,MATCH($C41,Deals!$A$2:$A$355,0))),1)</f>
        <v/>
      </c>
      <c r="T41" s="22">
        <f>IFERROR(IF($U41="",1,INDEX(Deals!$W$2:$W$355,MATCH($C41,Deals!$A$2:$A$355,0))),1)</f>
        <v/>
      </c>
      <c r="U41" s="31">
        <f>IF($C41="","",IFERROR(IF(INDEX(Deals!$Y$2:$Y$355,MATCH($C41,Deals!$A$2:$A$355,0))=0,"",INDEX(Deals!$Y$2:$Y$355,MATCH($C41,Deals!$A$2:$A$355,0))),""))</f>
        <v/>
      </c>
      <c r="V41" s="24">
        <f>IF($U41="",DATE(1900,1,1),$N41)</f>
        <v/>
      </c>
      <c r="W41" s="24">
        <f>IF($U41="",DATE(2100,12,31),$U41)</f>
        <v/>
      </c>
      <c r="X41" s="20">
        <f>IF($U41="",$K41,$K41*$S41)</f>
        <v/>
      </c>
      <c r="Y41" s="24">
        <f>IF($U41="",DATE(2100,12,31),$U41+1)</f>
        <v/>
      </c>
      <c r="Z41" s="24">
        <f>IF($U41="",DATE(1900,1,1),$O41)</f>
        <v/>
      </c>
      <c r="AA41" s="20">
        <f>IF($U41="",0,$K41*$T41)</f>
        <v/>
      </c>
    </row>
    <row r="42">
      <c r="A42" s="15" t="inlineStr">
        <is>
          <t>Tania</t>
        </is>
      </c>
      <c r="B42" s="29">
        <f>IF($A42="","",IFERROR(INDEX(Roster!$B$2:$B$40,MATCH($A42,Roster!$A$2:$A$40,0)),"?"))</f>
        <v/>
      </c>
      <c r="C42" s="15" t="inlineStr">
        <is>
          <t>Tailgate_1</t>
        </is>
      </c>
      <c r="D42" s="29">
        <f>IF($C42="","",IFERROR(IF(INDEX(Deals!$C$2:$C$355,MATCH($C42,Deals!$A$2:$A$355,0))=0,"",INDEX(Deals!$C$2:$C$355,MATCH($C42,Deals!$A$2:$A$355,0))),"?"))</f>
        <v/>
      </c>
      <c r="E42" s="29">
        <f>IF($C42="","",IFERROR(INDEX(Deals!$F$2:$F$355,MATCH($C42,Deals!$A$2:$A$355,0)),"?"))</f>
        <v/>
      </c>
      <c r="F42" s="15" t="inlineStr">
        <is>
          <t>Partner</t>
        </is>
      </c>
      <c r="G42" s="15" t="inlineStr">
        <is>
          <t>Active</t>
        </is>
      </c>
      <c r="H42" s="27" t="n"/>
      <c r="I42" s="20">
        <f>IF(OR($A42="",$G42&lt;&gt;"Active"),0,IF($H42&lt;&gt;"",$H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</f>
        <v/>
      </c>
      <c r="J42" s="23">
        <f>IF($C42="",0,IFERROR(INDEX(Deals!$H$2:$H$355,MATCH($C42,Deals!$A$2:$A$355,0)),0))</f>
        <v/>
      </c>
      <c r="K42" s="20">
        <f>IF(Settings!$B$4="Yes",$I42*$J42,$I42)</f>
        <v/>
      </c>
      <c r="L42" s="31">
        <f>IF($C42="","",IFERROR(IF(INDEX(Deals!$I$2:$I$355,MATCH($C42,Deals!$A$2:$A$355,0))=0,"",INDEX(Deals!$I$2:$I$355,MATCH($C42,Deals!$A$2:$A$355,0))),""))</f>
        <v/>
      </c>
      <c r="M42" s="31">
        <f>IF($C42="","",IFERROR(IF(INDEX(Deals!$J$2:$J$355,MATCH($C42,Deals!$A$2:$A$355,0))=0,"",INDEX(Deals!$J$2:$J$355,MATCH($C42,Deals!$A$2:$A$355,0))),""))</f>
        <v/>
      </c>
      <c r="N42" s="24">
        <f>IF($L42="",DATE(1900,1,1),$L42)</f>
        <v/>
      </c>
      <c r="O42" s="24">
        <f>IF($M42="",DATE(2100,12,31),$M42)</f>
        <v/>
      </c>
      <c r="P42" s="16" t="inlineStr"/>
      <c r="Q42" s="16" t="inlineStr"/>
      <c r="R42" s="29">
        <f>IF($C42="","",IFERROR(IF(INDEX(Deals!$U$2:$U$355,MATCH($C42,Deals!$A$2:$A$355,0))=0,"",INDEX(Deals!$U$2:$U$355,MATCH($C42,Deals!$A$2:$A$355,0))),""))</f>
        <v/>
      </c>
      <c r="S42" s="22">
        <f>IFERROR(IF($U42="",1,INDEX(Deals!$V$2:$V$355,MATCH($C42,Deals!$A$2:$A$355,0))),1)</f>
        <v/>
      </c>
      <c r="T42" s="22">
        <f>IFERROR(IF($U42="",1,INDEX(Deals!$W$2:$W$355,MATCH($C42,Deals!$A$2:$A$355,0))),1)</f>
        <v/>
      </c>
      <c r="U42" s="31">
        <f>IF($C42="","",IFERROR(IF(INDEX(Deals!$Y$2:$Y$355,MATCH($C42,Deals!$A$2:$A$355,0))=0,"",INDEX(Deals!$Y$2:$Y$355,MATCH($C42,Deals!$A$2:$A$355,0))),""))</f>
        <v/>
      </c>
      <c r="V42" s="24">
        <f>IF($U42="",DATE(1900,1,1),$N42)</f>
        <v/>
      </c>
      <c r="W42" s="24">
        <f>IF($U42="",DATE(2100,12,31),$U42)</f>
        <v/>
      </c>
      <c r="X42" s="20">
        <f>IF($U42="",$K42,$K42*$S42)</f>
        <v/>
      </c>
      <c r="Y42" s="24">
        <f>IF($U42="",DATE(2100,12,31),$U42+1)</f>
        <v/>
      </c>
      <c r="Z42" s="24">
        <f>IF($U42="",DATE(1900,1,1),$O42)</f>
        <v/>
      </c>
      <c r="AA42" s="20">
        <f>IF($U42="",0,$K42*$T42)</f>
        <v/>
      </c>
    </row>
    <row r="43">
      <c r="A43" s="15" t="inlineStr">
        <is>
          <t>Tania</t>
        </is>
      </c>
      <c r="B43" s="29">
        <f>IF($A43="","",IFERROR(INDEX(Roster!$B$2:$B$40,MATCH($A43,Roster!$A$2:$A$40,0)),"?"))</f>
        <v/>
      </c>
      <c r="C43" s="15" t="inlineStr">
        <is>
          <t>Theoden_1</t>
        </is>
      </c>
      <c r="D43" s="29">
        <f>IF($C43="","",IFERROR(IF(INDEX(Deals!$C$2:$C$355,MATCH($C43,Deals!$A$2:$A$355,0))=0,"",INDEX(Deals!$C$2:$C$355,MATCH($C43,Deals!$A$2:$A$355,0))),"?"))</f>
        <v/>
      </c>
      <c r="E43" s="29">
        <f>IF($C43="","",IFERROR(INDEX(Deals!$F$2:$F$355,MATCH($C43,Deals!$A$2:$A$355,0)),"?"))</f>
        <v/>
      </c>
      <c r="F43" s="15" t="inlineStr">
        <is>
          <t>Partner</t>
        </is>
      </c>
      <c r="G43" s="15" t="inlineStr">
        <is>
          <t>Active</t>
        </is>
      </c>
      <c r="H43" s="27" t="n"/>
      <c r="I43" s="20">
        <f>IF(OR($A43="",$G43&lt;&gt;"Active"),0,IF($H43&lt;&gt;"",$H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</f>
        <v/>
      </c>
      <c r="J43" s="23">
        <f>IF($C43="",0,IFERROR(INDEX(Deals!$H$2:$H$355,MATCH($C43,Deals!$A$2:$A$355,0)),0))</f>
        <v/>
      </c>
      <c r="K43" s="20">
        <f>IF(Settings!$B$4="Yes",$I43*$J43,$I43)</f>
        <v/>
      </c>
      <c r="L43" s="31">
        <f>IF($C43="","",IFERROR(IF(INDEX(Deals!$I$2:$I$355,MATCH($C43,Deals!$A$2:$A$355,0))=0,"",INDEX(Deals!$I$2:$I$355,MATCH($C43,Deals!$A$2:$A$355,0))),""))</f>
        <v/>
      </c>
      <c r="M43" s="31">
        <f>IF($C43="","",IFERROR(IF(INDEX(Deals!$J$2:$J$355,MATCH($C43,Deals!$A$2:$A$355,0))=0,"",INDEX(Deals!$J$2:$J$355,MATCH($C43,Deals!$A$2:$A$355,0))),""))</f>
        <v/>
      </c>
      <c r="N43" s="24">
        <f>IF($L43="",DATE(1900,1,1),$L43)</f>
        <v/>
      </c>
      <c r="O43" s="24">
        <f>IF($M43="",DATE(2100,12,31),$M43)</f>
        <v/>
      </c>
      <c r="P43" s="16" t="inlineStr"/>
      <c r="Q43" s="16" t="inlineStr"/>
      <c r="R43" s="29">
        <f>IF($C43="","",IFERROR(IF(INDEX(Deals!$U$2:$U$355,MATCH($C43,Deals!$A$2:$A$355,0))=0,"",INDEX(Deals!$U$2:$U$355,MATCH($C43,Deals!$A$2:$A$355,0))),""))</f>
        <v/>
      </c>
      <c r="S43" s="22">
        <f>IFERROR(IF($U43="",1,INDEX(Deals!$V$2:$V$355,MATCH($C43,Deals!$A$2:$A$355,0))),1)</f>
        <v/>
      </c>
      <c r="T43" s="22">
        <f>IFERROR(IF($U43="",1,INDEX(Deals!$W$2:$W$355,MATCH($C43,Deals!$A$2:$A$355,0))),1)</f>
        <v/>
      </c>
      <c r="U43" s="31">
        <f>IF($C43="","",IFERROR(IF(INDEX(Deals!$Y$2:$Y$355,MATCH($C43,Deals!$A$2:$A$355,0))=0,"",INDEX(Deals!$Y$2:$Y$355,MATCH($C43,Deals!$A$2:$A$355,0))),""))</f>
        <v/>
      </c>
      <c r="V43" s="24">
        <f>IF($U43="",DATE(1900,1,1),$N43)</f>
        <v/>
      </c>
      <c r="W43" s="24">
        <f>IF($U43="",DATE(2100,12,31),$U43)</f>
        <v/>
      </c>
      <c r="X43" s="20">
        <f>IF($U43="",$K43,$K43*$S43)</f>
        <v/>
      </c>
      <c r="Y43" s="24">
        <f>IF($U43="",DATE(2100,12,31),$U43+1)</f>
        <v/>
      </c>
      <c r="Z43" s="24">
        <f>IF($U43="",DATE(1900,1,1),$O43)</f>
        <v/>
      </c>
      <c r="AA43" s="20">
        <f>IF($U43="",0,$K43*$T43)</f>
        <v/>
      </c>
    </row>
    <row r="44">
      <c r="A44" s="15" t="inlineStr">
        <is>
          <t>Tania</t>
        </is>
      </c>
      <c r="B44" s="29">
        <f>IF($A44="","",IFERROR(INDEX(Roster!$B$2:$B$40,MATCH($A44,Roster!$A$2:$A$40,0)),"?"))</f>
        <v/>
      </c>
      <c r="C44" s="15" t="inlineStr">
        <is>
          <t>Truman_1</t>
        </is>
      </c>
      <c r="D44" s="29">
        <f>IF($C44="","",IFERROR(IF(INDEX(Deals!$C$2:$C$355,MATCH($C44,Deals!$A$2:$A$355,0))=0,"",INDEX(Deals!$C$2:$C$355,MATCH($C44,Deals!$A$2:$A$355,0))),"?"))</f>
        <v/>
      </c>
      <c r="E44" s="29">
        <f>IF($C44="","",IFERROR(INDEX(Deals!$F$2:$F$355,MATCH($C44,Deals!$A$2:$A$355,0)),"?"))</f>
        <v/>
      </c>
      <c r="F44" s="15" t="inlineStr">
        <is>
          <t>Partner</t>
        </is>
      </c>
      <c r="G44" s="15" t="inlineStr">
        <is>
          <t>Active</t>
        </is>
      </c>
      <c r="H44" s="27" t="n"/>
      <c r="I44" s="20">
        <f>IF(OR($A44="",$G44&lt;&gt;"Active"),0,IF($H44&lt;&gt;"",$H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</f>
        <v/>
      </c>
      <c r="J44" s="23">
        <f>IF($C44="",0,IFERROR(INDEX(Deals!$H$2:$H$355,MATCH($C44,Deals!$A$2:$A$355,0)),0))</f>
        <v/>
      </c>
      <c r="K44" s="20">
        <f>IF(Settings!$B$4="Yes",$I44*$J44,$I44)</f>
        <v/>
      </c>
      <c r="L44" s="31">
        <f>IF($C44="","",IFERROR(IF(INDEX(Deals!$I$2:$I$355,MATCH($C44,Deals!$A$2:$A$355,0))=0,"",INDEX(Deals!$I$2:$I$355,MATCH($C44,Deals!$A$2:$A$355,0))),""))</f>
        <v/>
      </c>
      <c r="M44" s="31">
        <f>IF($C44="","",IFERROR(IF(INDEX(Deals!$J$2:$J$355,MATCH($C44,Deals!$A$2:$A$355,0))=0,"",INDEX(Deals!$J$2:$J$355,MATCH($C44,Deals!$A$2:$A$355,0))),""))</f>
        <v/>
      </c>
      <c r="N44" s="24">
        <f>IF($L44="",DATE(1900,1,1),$L44)</f>
        <v/>
      </c>
      <c r="O44" s="24">
        <f>IF($M44="",DATE(2100,12,31),$M44)</f>
        <v/>
      </c>
      <c r="P44" s="16" t="inlineStr"/>
      <c r="Q44" s="16" t="inlineStr"/>
      <c r="R44" s="29">
        <f>IF($C44="","",IFERROR(IF(INDEX(Deals!$U$2:$U$355,MATCH($C44,Deals!$A$2:$A$355,0))=0,"",INDEX(Deals!$U$2:$U$355,MATCH($C44,Deals!$A$2:$A$355,0))),""))</f>
        <v/>
      </c>
      <c r="S44" s="22">
        <f>IFERROR(IF($U44="",1,INDEX(Deals!$V$2:$V$355,MATCH($C44,Deals!$A$2:$A$355,0))),1)</f>
        <v/>
      </c>
      <c r="T44" s="22">
        <f>IFERROR(IF($U44="",1,INDEX(Deals!$W$2:$W$355,MATCH($C44,Deals!$A$2:$A$355,0))),1)</f>
        <v/>
      </c>
      <c r="U44" s="31">
        <f>IF($C44="","",IFERROR(IF(INDEX(Deals!$Y$2:$Y$355,MATCH($C44,Deals!$A$2:$A$355,0))=0,"",INDEX(Deals!$Y$2:$Y$355,MATCH($C44,Deals!$A$2:$A$355,0))),""))</f>
        <v/>
      </c>
      <c r="V44" s="24">
        <f>IF($U44="",DATE(1900,1,1),$N44)</f>
        <v/>
      </c>
      <c r="W44" s="24">
        <f>IF($U44="",DATE(2100,12,31),$U44)</f>
        <v/>
      </c>
      <c r="X44" s="20">
        <f>IF($U44="",$K44,$K44*$S44)</f>
        <v/>
      </c>
      <c r="Y44" s="24">
        <f>IF($U44="",DATE(2100,12,31),$U44+1)</f>
        <v/>
      </c>
      <c r="Z44" s="24">
        <f>IF($U44="",DATE(1900,1,1),$O44)</f>
        <v/>
      </c>
      <c r="AA44" s="20">
        <f>IF($U44="",0,$K44*$T44)</f>
        <v/>
      </c>
    </row>
    <row r="45">
      <c r="A45" s="15" t="inlineStr">
        <is>
          <t>Tania</t>
        </is>
      </c>
      <c r="B45" s="29">
        <f>IF($A45="","",IFERROR(INDEX(Roster!$B$2:$B$40,MATCH($A45,Roster!$A$2:$A$40,0)),"?"))</f>
        <v/>
      </c>
      <c r="C45" s="15" t="inlineStr">
        <is>
          <t>Twister_1</t>
        </is>
      </c>
      <c r="D45" s="29">
        <f>IF($C45="","",IFERROR(IF(INDEX(Deals!$C$2:$C$355,MATCH($C45,Deals!$A$2:$A$355,0))=0,"",INDEX(Deals!$C$2:$C$355,MATCH($C45,Deals!$A$2:$A$355,0))),"?"))</f>
        <v/>
      </c>
      <c r="E45" s="29">
        <f>IF($C45="","",IFERROR(INDEX(Deals!$F$2:$F$355,MATCH($C45,Deals!$A$2:$A$355,0)),"?"))</f>
        <v/>
      </c>
      <c r="F45" s="15" t="inlineStr">
        <is>
          <t>Partner</t>
        </is>
      </c>
      <c r="G45" s="15" t="inlineStr">
        <is>
          <t>Active</t>
        </is>
      </c>
      <c r="H45" s="27" t="n"/>
      <c r="I45" s="20">
        <f>IF(OR($A45="",$G45&lt;&gt;"Active"),0,IF($H45&lt;&gt;"",$H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</f>
        <v/>
      </c>
      <c r="J45" s="23">
        <f>IF($C45="",0,IFERROR(INDEX(Deals!$H$2:$H$355,MATCH($C45,Deals!$A$2:$A$355,0)),0))</f>
        <v/>
      </c>
      <c r="K45" s="20">
        <f>IF(Settings!$B$4="Yes",$I45*$J45,$I45)</f>
        <v/>
      </c>
      <c r="L45" s="31">
        <f>IF($C45="","",IFERROR(IF(INDEX(Deals!$I$2:$I$355,MATCH($C45,Deals!$A$2:$A$355,0))=0,"",INDEX(Deals!$I$2:$I$355,MATCH($C45,Deals!$A$2:$A$355,0))),""))</f>
        <v/>
      </c>
      <c r="M45" s="31">
        <f>IF($C45="","",IFERROR(IF(INDEX(Deals!$J$2:$J$355,MATCH($C45,Deals!$A$2:$A$355,0))=0,"",INDEX(Deals!$J$2:$J$355,MATCH($C45,Deals!$A$2:$A$355,0))),""))</f>
        <v/>
      </c>
      <c r="N45" s="24">
        <f>IF($L45="",DATE(1900,1,1),$L45)</f>
        <v/>
      </c>
      <c r="O45" s="24">
        <f>IF($M45="",DATE(2100,12,31),$M45)</f>
        <v/>
      </c>
      <c r="P45" s="16" t="inlineStr"/>
      <c r="Q45" s="16" t="inlineStr"/>
      <c r="R45" s="29">
        <f>IF($C45="","",IFERROR(IF(INDEX(Deals!$U$2:$U$355,MATCH($C45,Deals!$A$2:$A$355,0))=0,"",INDEX(Deals!$U$2:$U$355,MATCH($C45,Deals!$A$2:$A$355,0))),""))</f>
        <v/>
      </c>
      <c r="S45" s="22">
        <f>IFERROR(IF($U45="",1,INDEX(Deals!$V$2:$V$355,MATCH($C45,Deals!$A$2:$A$355,0))),1)</f>
        <v/>
      </c>
      <c r="T45" s="22">
        <f>IFERROR(IF($U45="",1,INDEX(Deals!$W$2:$W$355,MATCH($C45,Deals!$A$2:$A$355,0))),1)</f>
        <v/>
      </c>
      <c r="U45" s="31">
        <f>IF($C45="","",IFERROR(IF(INDEX(Deals!$Y$2:$Y$355,MATCH($C45,Deals!$A$2:$A$355,0))=0,"",INDEX(Deals!$Y$2:$Y$355,MATCH($C45,Deals!$A$2:$A$355,0))),""))</f>
        <v/>
      </c>
      <c r="V45" s="24">
        <f>IF($U45="",DATE(1900,1,1),$N45)</f>
        <v/>
      </c>
      <c r="W45" s="24">
        <f>IF($U45="",DATE(2100,12,31),$U45)</f>
        <v/>
      </c>
      <c r="X45" s="20">
        <f>IF($U45="",$K45,$K45*$S45)</f>
        <v/>
      </c>
      <c r="Y45" s="24">
        <f>IF($U45="",DATE(2100,12,31),$U45+1)</f>
        <v/>
      </c>
      <c r="Z45" s="24">
        <f>IF($U45="",DATE(1900,1,1),$O45)</f>
        <v/>
      </c>
      <c r="AA45" s="20">
        <f>IF($U45="",0,$K45*$T45)</f>
        <v/>
      </c>
    </row>
    <row r="46">
      <c r="A46" s="15" t="inlineStr">
        <is>
          <t>Tania</t>
        </is>
      </c>
      <c r="B46" s="29">
        <f>IF($A46="","",IFERROR(INDEX(Roster!$B$2:$B$40,MATCH($A46,Roster!$A$2:$A$40,0)),"?"))</f>
        <v/>
      </c>
      <c r="C46" s="15" t="inlineStr">
        <is>
          <t>Wheelhouse_2</t>
        </is>
      </c>
      <c r="D46" s="29">
        <f>IF($C46="","",IFERROR(IF(INDEX(Deals!$C$2:$C$355,MATCH($C46,Deals!$A$2:$A$355,0))=0,"",INDEX(Deals!$C$2:$C$355,MATCH($C46,Deals!$A$2:$A$355,0))),"?"))</f>
        <v/>
      </c>
      <c r="E46" s="29">
        <f>IF($C46="","",IFERROR(INDEX(Deals!$F$2:$F$355,MATCH($C46,Deals!$A$2:$A$355,0)),"?"))</f>
        <v/>
      </c>
      <c r="F46" s="15" t="inlineStr">
        <is>
          <t>Partner</t>
        </is>
      </c>
      <c r="G46" s="15" t="inlineStr">
        <is>
          <t>Inactive</t>
        </is>
      </c>
      <c r="H46" s="27" t="n"/>
      <c r="I46" s="20">
        <f>IF(OR($A46="",$G46&lt;&gt;"Active"),0,IF($H46&lt;&gt;"",$H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</f>
        <v/>
      </c>
      <c r="J46" s="23">
        <f>IF($C46="",0,IFERROR(INDEX(Deals!$H$2:$H$355,MATCH($C46,Deals!$A$2:$A$355,0)),0))</f>
        <v/>
      </c>
      <c r="K46" s="20">
        <f>IF(Settings!$B$4="Yes",$I46*$J46,$I46)</f>
        <v/>
      </c>
      <c r="L46" s="31">
        <f>IF($C46="","",IFERROR(IF(INDEX(Deals!$I$2:$I$355,MATCH($C46,Deals!$A$2:$A$355,0))=0,"",INDEX(Deals!$I$2:$I$355,MATCH($C46,Deals!$A$2:$A$355,0))),""))</f>
        <v/>
      </c>
      <c r="M46" s="31">
        <f>IF($C46="","",IFERROR(IF(INDEX(Deals!$J$2:$J$355,MATCH($C46,Deals!$A$2:$A$355,0))=0,"",INDEX(Deals!$J$2:$J$355,MATCH($C46,Deals!$A$2:$A$355,0))),""))</f>
        <v/>
      </c>
      <c r="N46" s="24">
        <f>IF($L46="",DATE(1900,1,1),$L46)</f>
        <v/>
      </c>
      <c r="O46" s="24">
        <f>IF($M46="",DATE(2100,12,31),$M46)</f>
        <v/>
      </c>
      <c r="P46" s="16" t="inlineStr"/>
      <c r="Q46" s="16" t="inlineStr">
        <is>
          <t>Deal lifecycle is Closed</t>
        </is>
      </c>
      <c r="R46" s="29">
        <f>IF($C46="","",IFERROR(IF(INDEX(Deals!$U$2:$U$355,MATCH($C46,Deals!$A$2:$A$355,0))=0,"",INDEX(Deals!$U$2:$U$355,MATCH($C46,Deals!$A$2:$A$355,0))),""))</f>
        <v/>
      </c>
      <c r="S46" s="22">
        <f>IFERROR(IF($U46="",1,INDEX(Deals!$V$2:$V$355,MATCH($C46,Deals!$A$2:$A$355,0))),1)</f>
        <v/>
      </c>
      <c r="T46" s="22">
        <f>IFERROR(IF($U46="",1,INDEX(Deals!$W$2:$W$355,MATCH($C46,Deals!$A$2:$A$355,0))),1)</f>
        <v/>
      </c>
      <c r="U46" s="31">
        <f>IF($C46="","",IFERROR(IF(INDEX(Deals!$Y$2:$Y$355,MATCH($C46,Deals!$A$2:$A$355,0))=0,"",INDEX(Deals!$Y$2:$Y$355,MATCH($C46,Deals!$A$2:$A$355,0))),""))</f>
        <v/>
      </c>
      <c r="V46" s="24">
        <f>IF($U46="",DATE(1900,1,1),$N46)</f>
        <v/>
      </c>
      <c r="W46" s="24">
        <f>IF($U46="",DATE(2100,12,31),$U46)</f>
        <v/>
      </c>
      <c r="X46" s="20">
        <f>IF($U46="",$K46,$K46*$S46)</f>
        <v/>
      </c>
      <c r="Y46" s="24">
        <f>IF($U46="",DATE(2100,12,31),$U46+1)</f>
        <v/>
      </c>
      <c r="Z46" s="24">
        <f>IF($U46="",DATE(1900,1,1),$O46)</f>
        <v/>
      </c>
      <c r="AA46" s="20">
        <f>IF($U46="",0,$K46*$T46)</f>
        <v/>
      </c>
    </row>
    <row r="47">
      <c r="A47" s="15" t="inlineStr">
        <is>
          <t>Tania</t>
        </is>
      </c>
      <c r="B47" s="29">
        <f>IF($A47="","",IFERROR(INDEX(Roster!$B$2:$B$40,MATCH($A47,Roster!$A$2:$A$40,0)),"?"))</f>
        <v/>
      </c>
      <c r="C47" s="15" t="inlineStr">
        <is>
          <t>Wind_3</t>
        </is>
      </c>
      <c r="D47" s="29">
        <f>IF($C47="","",IFERROR(IF(INDEX(Deals!$C$2:$C$355,MATCH($C47,Deals!$A$2:$A$355,0))=0,"",INDEX(Deals!$C$2:$C$355,MATCH($C47,Deals!$A$2:$A$355,0))),"?"))</f>
        <v/>
      </c>
      <c r="E47" s="29">
        <f>IF($C47="","",IFERROR(INDEX(Deals!$F$2:$F$355,MATCH($C47,Deals!$A$2:$A$355,0)),"?"))</f>
        <v/>
      </c>
      <c r="F47" s="15" t="inlineStr">
        <is>
          <t>Partner</t>
        </is>
      </c>
      <c r="G47" s="15" t="inlineStr">
        <is>
          <t>Active</t>
        </is>
      </c>
      <c r="H47" s="27" t="n"/>
      <c r="I47" s="20">
        <f>IF(OR($A47="",$G47&lt;&gt;"Active"),0,IF($H47&lt;&gt;"",$H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</f>
        <v/>
      </c>
      <c r="J47" s="23">
        <f>IF($C47="",0,IFERROR(INDEX(Deals!$H$2:$H$355,MATCH($C47,Deals!$A$2:$A$355,0)),0))</f>
        <v/>
      </c>
      <c r="K47" s="20">
        <f>IF(Settings!$B$4="Yes",$I47*$J47,$I47)</f>
        <v/>
      </c>
      <c r="L47" s="31">
        <f>IF($C47="","",IFERROR(IF(INDEX(Deals!$I$2:$I$355,MATCH($C47,Deals!$A$2:$A$355,0))=0,"",INDEX(Deals!$I$2:$I$355,MATCH($C47,Deals!$A$2:$A$355,0))),""))</f>
        <v/>
      </c>
      <c r="M47" s="31">
        <f>IF($C47="","",IFERROR(IF(INDEX(Deals!$J$2:$J$355,MATCH($C47,Deals!$A$2:$A$355,0))=0,"",INDEX(Deals!$J$2:$J$355,MATCH($C47,Deals!$A$2:$A$355,0))),""))</f>
        <v/>
      </c>
      <c r="N47" s="24">
        <f>IF($L47="",DATE(1900,1,1),$L47)</f>
        <v/>
      </c>
      <c r="O47" s="24">
        <f>IF($M47="",DATE(2100,12,31),$M47)</f>
        <v/>
      </c>
      <c r="P47" s="16" t="inlineStr"/>
      <c r="Q47" s="16" t="inlineStr"/>
      <c r="R47" s="29">
        <f>IF($C47="","",IFERROR(IF(INDEX(Deals!$U$2:$U$355,MATCH($C47,Deals!$A$2:$A$355,0))=0,"",INDEX(Deals!$U$2:$U$355,MATCH($C47,Deals!$A$2:$A$355,0))),""))</f>
        <v/>
      </c>
      <c r="S47" s="22">
        <f>IFERROR(IF($U47="",1,INDEX(Deals!$V$2:$V$355,MATCH($C47,Deals!$A$2:$A$355,0))),1)</f>
        <v/>
      </c>
      <c r="T47" s="22">
        <f>IFERROR(IF($U47="",1,INDEX(Deals!$W$2:$W$355,MATCH($C47,Deals!$A$2:$A$355,0))),1)</f>
        <v/>
      </c>
      <c r="U47" s="31">
        <f>IF($C47="","",IFERROR(IF(INDEX(Deals!$Y$2:$Y$355,MATCH($C47,Deals!$A$2:$A$355,0))=0,"",INDEX(Deals!$Y$2:$Y$355,MATCH($C47,Deals!$A$2:$A$355,0))),""))</f>
        <v/>
      </c>
      <c r="V47" s="24">
        <f>IF($U47="",DATE(1900,1,1),$N47)</f>
        <v/>
      </c>
      <c r="W47" s="24">
        <f>IF($U47="",DATE(2100,12,31),$U47)</f>
        <v/>
      </c>
      <c r="X47" s="20">
        <f>IF($U47="",$K47,$K47*$S47)</f>
        <v/>
      </c>
      <c r="Y47" s="24">
        <f>IF($U47="",DATE(2100,12,31),$U47+1)</f>
        <v/>
      </c>
      <c r="Z47" s="24">
        <f>IF($U47="",DATE(1900,1,1),$O47)</f>
        <v/>
      </c>
      <c r="AA47" s="20">
        <f>IF($U47="",0,$K47*$T47)</f>
        <v/>
      </c>
    </row>
    <row r="48">
      <c r="A48" s="15" t="inlineStr">
        <is>
          <t>Tania</t>
        </is>
      </c>
      <c r="B48" s="29">
        <f>IF($A48="","",IFERROR(INDEX(Roster!$B$2:$B$40,MATCH($A48,Roster!$A$2:$A$40,0)),"?"))</f>
        <v/>
      </c>
      <c r="C48" s="15" t="inlineStr">
        <is>
          <t>Zeus_2</t>
        </is>
      </c>
      <c r="D48" s="29">
        <f>IF($C48="","",IFERROR(IF(INDEX(Deals!$C$2:$C$355,MATCH($C48,Deals!$A$2:$A$355,0))=0,"",INDEX(Deals!$C$2:$C$355,MATCH($C48,Deals!$A$2:$A$355,0))),"?"))</f>
        <v/>
      </c>
      <c r="E48" s="29">
        <f>IF($C48="","",IFERROR(INDEX(Deals!$F$2:$F$355,MATCH($C48,Deals!$A$2:$A$355,0)),"?"))</f>
        <v/>
      </c>
      <c r="F48" s="15" t="inlineStr">
        <is>
          <t>Partner</t>
        </is>
      </c>
      <c r="G48" s="15" t="inlineStr">
        <is>
          <t>Active</t>
        </is>
      </c>
      <c r="H48" s="27" t="n"/>
      <c r="I48" s="20">
        <f>IF(OR($A48="",$G48&lt;&gt;"Active"),0,IF($H48&lt;&gt;"",$H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</f>
        <v/>
      </c>
      <c r="J48" s="23">
        <f>IF($C48="",0,IFERROR(INDEX(Deals!$H$2:$H$355,MATCH($C48,Deals!$A$2:$A$355,0)),0))</f>
        <v/>
      </c>
      <c r="K48" s="20">
        <f>IF(Settings!$B$4="Yes",$I48*$J48,$I48)</f>
        <v/>
      </c>
      <c r="L48" s="31">
        <f>IF($C48="","",IFERROR(IF(INDEX(Deals!$I$2:$I$355,MATCH($C48,Deals!$A$2:$A$355,0))=0,"",INDEX(Deals!$I$2:$I$355,MATCH($C48,Deals!$A$2:$A$355,0))),""))</f>
        <v/>
      </c>
      <c r="M48" s="31">
        <f>IF($C48="","",IFERROR(IF(INDEX(Deals!$J$2:$J$355,MATCH($C48,Deals!$A$2:$A$355,0))=0,"",INDEX(Deals!$J$2:$J$355,MATCH($C48,Deals!$A$2:$A$355,0))),""))</f>
        <v/>
      </c>
      <c r="N48" s="24">
        <f>IF($L48="",DATE(1900,1,1),$L48)</f>
        <v/>
      </c>
      <c r="O48" s="24">
        <f>IF($M48="",DATE(2100,12,31),$M48)</f>
        <v/>
      </c>
      <c r="P48" s="16" t="inlineStr"/>
      <c r="Q48" s="16" t="inlineStr"/>
      <c r="R48" s="29">
        <f>IF($C48="","",IFERROR(IF(INDEX(Deals!$U$2:$U$355,MATCH($C48,Deals!$A$2:$A$355,0))=0,"",INDEX(Deals!$U$2:$U$355,MATCH($C48,Deals!$A$2:$A$355,0))),""))</f>
        <v/>
      </c>
      <c r="S48" s="22">
        <f>IFERROR(IF($U48="",1,INDEX(Deals!$V$2:$V$355,MATCH($C48,Deals!$A$2:$A$355,0))),1)</f>
        <v/>
      </c>
      <c r="T48" s="22">
        <f>IFERROR(IF($U48="",1,INDEX(Deals!$W$2:$W$355,MATCH($C48,Deals!$A$2:$A$355,0))),1)</f>
        <v/>
      </c>
      <c r="U48" s="31">
        <f>IF($C48="","",IFERROR(IF(INDEX(Deals!$Y$2:$Y$355,MATCH($C48,Deals!$A$2:$A$355,0))=0,"",INDEX(Deals!$Y$2:$Y$355,MATCH($C48,Deals!$A$2:$A$355,0))),""))</f>
        <v/>
      </c>
      <c r="V48" s="24">
        <f>IF($U48="",DATE(1900,1,1),$N48)</f>
        <v/>
      </c>
      <c r="W48" s="24">
        <f>IF($U48="",DATE(2100,12,31),$U48)</f>
        <v/>
      </c>
      <c r="X48" s="20">
        <f>IF($U48="",$K48,$K48*$S48)</f>
        <v/>
      </c>
      <c r="Y48" s="24">
        <f>IF($U48="",DATE(2100,12,31),$U48+1)</f>
        <v/>
      </c>
      <c r="Z48" s="24">
        <f>IF($U48="",DATE(1900,1,1),$O48)</f>
        <v/>
      </c>
      <c r="AA48" s="20">
        <f>IF($U48="",0,$K48*$T48)</f>
        <v/>
      </c>
    </row>
    <row r="49">
      <c r="A49" s="15" t="inlineStr">
        <is>
          <t>John</t>
        </is>
      </c>
      <c r="B49" s="29">
        <f>IF($A49="","",IFERROR(INDEX(Roster!$B$2:$B$40,MATCH($A49,Roster!$A$2:$A$40,0)),"?"))</f>
        <v/>
      </c>
      <c r="C49" s="15" t="inlineStr">
        <is>
          <t>80/20 Assistance_1</t>
        </is>
      </c>
      <c r="D49" s="29">
        <f>IF($C49="","",IFERROR(IF(INDEX(Deals!$C$2:$C$355,MATCH($C49,Deals!$A$2:$A$355,0))=0,"",INDEX(Deals!$C$2:$C$355,MATCH($C49,Deals!$A$2:$A$355,0))),"?"))</f>
        <v/>
      </c>
      <c r="E49" s="29">
        <f>IF($C49="","",IFERROR(INDEX(Deals!$F$2:$F$355,MATCH($C49,Deals!$A$2:$A$355,0)),"?"))</f>
        <v/>
      </c>
      <c r="F49" s="15" t="inlineStr">
        <is>
          <t>Partner</t>
        </is>
      </c>
      <c r="G49" s="15" t="inlineStr">
        <is>
          <t>Active</t>
        </is>
      </c>
      <c r="H49" s="27" t="n"/>
      <c r="I49" s="20">
        <f>IF(OR($A49="",$G49&lt;&gt;"Active"),0,IF($H49&lt;&gt;"",$H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</f>
        <v/>
      </c>
      <c r="J49" s="23">
        <f>IF($C49="",0,IFERROR(INDEX(Deals!$H$2:$H$355,MATCH($C49,Deals!$A$2:$A$355,0)),0))</f>
        <v/>
      </c>
      <c r="K49" s="20">
        <f>IF(Settings!$B$4="Yes",$I49*$J49,$I49)</f>
        <v/>
      </c>
      <c r="L49" s="31">
        <f>IF($C49="","",IFERROR(IF(INDEX(Deals!$I$2:$I$355,MATCH($C49,Deals!$A$2:$A$355,0))=0,"",INDEX(Deals!$I$2:$I$355,MATCH($C49,Deals!$A$2:$A$355,0))),""))</f>
        <v/>
      </c>
      <c r="M49" s="31">
        <f>IF($C49="","",IFERROR(IF(INDEX(Deals!$J$2:$J$355,MATCH($C49,Deals!$A$2:$A$355,0))=0,"",INDEX(Deals!$J$2:$J$355,MATCH($C49,Deals!$A$2:$A$355,0))),""))</f>
        <v/>
      </c>
      <c r="N49" s="24">
        <f>IF($L49="",DATE(1900,1,1),$L49)</f>
        <v/>
      </c>
      <c r="O49" s="24">
        <f>IF($M49="",DATE(2100,12,31),$M49)</f>
        <v/>
      </c>
      <c r="P49" s="16" t="inlineStr"/>
      <c r="Q49" s="16" t="inlineStr"/>
      <c r="R49" s="29">
        <f>IF($C49="","",IFERROR(IF(INDEX(Deals!$U$2:$U$355,MATCH($C49,Deals!$A$2:$A$355,0))=0,"",INDEX(Deals!$U$2:$U$355,MATCH($C49,Deals!$A$2:$A$355,0))),""))</f>
        <v/>
      </c>
      <c r="S49" s="22">
        <f>IFERROR(IF($U49="",1,INDEX(Deals!$V$2:$V$355,MATCH($C49,Deals!$A$2:$A$355,0))),1)</f>
        <v/>
      </c>
      <c r="T49" s="22">
        <f>IFERROR(IF($U49="",1,INDEX(Deals!$W$2:$W$355,MATCH($C49,Deals!$A$2:$A$355,0))),1)</f>
        <v/>
      </c>
      <c r="U49" s="31">
        <f>IF($C49="","",IFERROR(IF(INDEX(Deals!$Y$2:$Y$355,MATCH($C49,Deals!$A$2:$A$355,0))=0,"",INDEX(Deals!$Y$2:$Y$355,MATCH($C49,Deals!$A$2:$A$355,0))),""))</f>
        <v/>
      </c>
      <c r="V49" s="24">
        <f>IF($U49="",DATE(1900,1,1),$N49)</f>
        <v/>
      </c>
      <c r="W49" s="24">
        <f>IF($U49="",DATE(2100,12,31),$U49)</f>
        <v/>
      </c>
      <c r="X49" s="20">
        <f>IF($U49="",$K49,$K49*$S49)</f>
        <v/>
      </c>
      <c r="Y49" s="24">
        <f>IF($U49="",DATE(2100,12,31),$U49+1)</f>
        <v/>
      </c>
      <c r="Z49" s="24">
        <f>IF($U49="",DATE(1900,1,1),$O49)</f>
        <v/>
      </c>
      <c r="AA49" s="20">
        <f>IF($U49="",0,$K49*$T49)</f>
        <v/>
      </c>
    </row>
    <row r="50">
      <c r="A50" s="15" t="inlineStr">
        <is>
          <t>John</t>
        </is>
      </c>
      <c r="B50" s="29">
        <f>IF($A50="","",IFERROR(INDEX(Roster!$B$2:$B$40,MATCH($A50,Roster!$A$2:$A$40,0)),"?"))</f>
        <v/>
      </c>
      <c r="C50" s="15" t="inlineStr">
        <is>
          <t>AIM_5</t>
        </is>
      </c>
      <c r="D50" s="29">
        <f>IF($C50="","",IFERROR(IF(INDEX(Deals!$C$2:$C$355,MATCH($C50,Deals!$A$2:$A$355,0))=0,"",INDEX(Deals!$C$2:$C$355,MATCH($C50,Deals!$A$2:$A$355,0))),"?"))</f>
        <v/>
      </c>
      <c r="E50" s="29">
        <f>IF($C50="","",IFERROR(INDEX(Deals!$F$2:$F$355,MATCH($C50,Deals!$A$2:$A$355,0)),"?"))</f>
        <v/>
      </c>
      <c r="F50" s="15" t="inlineStr">
        <is>
          <t>Partner</t>
        </is>
      </c>
      <c r="G50" s="15" t="inlineStr">
        <is>
          <t>Active</t>
        </is>
      </c>
      <c r="H50" s="27" t="n"/>
      <c r="I50" s="20">
        <f>IF(OR($A50="",$G50&lt;&gt;"Active"),0,IF($H50&lt;&gt;"",$H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</f>
        <v/>
      </c>
      <c r="J50" s="23">
        <f>IF($C50="",0,IFERROR(INDEX(Deals!$H$2:$H$355,MATCH($C50,Deals!$A$2:$A$355,0)),0))</f>
        <v/>
      </c>
      <c r="K50" s="20">
        <f>IF(Settings!$B$4="Yes",$I50*$J50,$I50)</f>
        <v/>
      </c>
      <c r="L50" s="31">
        <f>IF($C50="","",IFERROR(IF(INDEX(Deals!$I$2:$I$355,MATCH($C50,Deals!$A$2:$A$355,0))=0,"",INDEX(Deals!$I$2:$I$355,MATCH($C50,Deals!$A$2:$A$355,0))),""))</f>
        <v/>
      </c>
      <c r="M50" s="31">
        <f>IF($C50="","",IFERROR(IF(INDEX(Deals!$J$2:$J$355,MATCH($C50,Deals!$A$2:$A$355,0))=0,"",INDEX(Deals!$J$2:$J$355,MATCH($C50,Deals!$A$2:$A$355,0))),""))</f>
        <v/>
      </c>
      <c r="N50" s="24">
        <f>IF($L50="",DATE(1900,1,1),$L50)</f>
        <v/>
      </c>
      <c r="O50" s="24">
        <f>IF($M50="",DATE(2100,12,31),$M50)</f>
        <v/>
      </c>
      <c r="P50" s="16" t="inlineStr"/>
      <c r="Q50" s="16" t="inlineStr"/>
      <c r="R50" s="29">
        <f>IF($C50="","",IFERROR(IF(INDEX(Deals!$U$2:$U$355,MATCH($C50,Deals!$A$2:$A$355,0))=0,"",INDEX(Deals!$U$2:$U$355,MATCH($C50,Deals!$A$2:$A$355,0))),""))</f>
        <v/>
      </c>
      <c r="S50" s="22">
        <f>IFERROR(IF($U50="",1,INDEX(Deals!$V$2:$V$355,MATCH($C50,Deals!$A$2:$A$355,0))),1)</f>
        <v/>
      </c>
      <c r="T50" s="22">
        <f>IFERROR(IF($U50="",1,INDEX(Deals!$W$2:$W$355,MATCH($C50,Deals!$A$2:$A$355,0))),1)</f>
        <v/>
      </c>
      <c r="U50" s="31">
        <f>IF($C50="","",IFERROR(IF(INDEX(Deals!$Y$2:$Y$355,MATCH($C50,Deals!$A$2:$A$355,0))=0,"",INDEX(Deals!$Y$2:$Y$355,MATCH($C50,Deals!$A$2:$A$355,0))),""))</f>
        <v/>
      </c>
      <c r="V50" s="24">
        <f>IF($U50="",DATE(1900,1,1),$N50)</f>
        <v/>
      </c>
      <c r="W50" s="24">
        <f>IF($U50="",DATE(2100,12,31),$U50)</f>
        <v/>
      </c>
      <c r="X50" s="20">
        <f>IF($U50="",$K50,$K50*$S50)</f>
        <v/>
      </c>
      <c r="Y50" s="24">
        <f>IF($U50="",DATE(2100,12,31),$U50+1)</f>
        <v/>
      </c>
      <c r="Z50" s="24">
        <f>IF($U50="",DATE(1900,1,1),$O50)</f>
        <v/>
      </c>
      <c r="AA50" s="20">
        <f>IF($U50="",0,$K50*$T50)</f>
        <v/>
      </c>
    </row>
    <row r="51">
      <c r="A51" s="15" t="inlineStr">
        <is>
          <t>John</t>
        </is>
      </c>
      <c r="B51" s="29">
        <f>IF($A51="","",IFERROR(INDEX(Roster!$B$2:$B$40,MATCH($A51,Roster!$A$2:$A$40,0)),"?"))</f>
        <v/>
      </c>
      <c r="C51" s="15" t="inlineStr">
        <is>
          <t>Arctic_2</t>
        </is>
      </c>
      <c r="D51" s="29">
        <f>IF($C51="","",IFERROR(IF(INDEX(Deals!$C$2:$C$355,MATCH($C51,Deals!$A$2:$A$355,0))=0,"",INDEX(Deals!$C$2:$C$355,MATCH($C51,Deals!$A$2:$A$355,0))),"?"))</f>
        <v/>
      </c>
      <c r="E51" s="29">
        <f>IF($C51="","",IFERROR(INDEX(Deals!$F$2:$F$355,MATCH($C51,Deals!$A$2:$A$355,0)),"?"))</f>
        <v/>
      </c>
      <c r="F51" s="15" t="inlineStr">
        <is>
          <t>Partner</t>
        </is>
      </c>
      <c r="G51" s="15" t="inlineStr">
        <is>
          <t>Active</t>
        </is>
      </c>
      <c r="H51" s="27" t="n"/>
      <c r="I51" s="20">
        <f>IF(OR($A51="",$G51&lt;&gt;"Active"),0,IF($H51&lt;&gt;"",$H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</f>
        <v/>
      </c>
      <c r="J51" s="23">
        <f>IF($C51="",0,IFERROR(INDEX(Deals!$H$2:$H$355,MATCH($C51,Deals!$A$2:$A$355,0)),0))</f>
        <v/>
      </c>
      <c r="K51" s="20">
        <f>IF(Settings!$B$4="Yes",$I51*$J51,$I51)</f>
        <v/>
      </c>
      <c r="L51" s="31">
        <f>IF($C51="","",IFERROR(IF(INDEX(Deals!$I$2:$I$355,MATCH($C51,Deals!$A$2:$A$355,0))=0,"",INDEX(Deals!$I$2:$I$355,MATCH($C51,Deals!$A$2:$A$355,0))),""))</f>
        <v/>
      </c>
      <c r="M51" s="31">
        <f>IF($C51="","",IFERROR(IF(INDEX(Deals!$J$2:$J$355,MATCH($C51,Deals!$A$2:$A$355,0))=0,"",INDEX(Deals!$J$2:$J$355,MATCH($C51,Deals!$A$2:$A$355,0))),""))</f>
        <v/>
      </c>
      <c r="N51" s="24">
        <f>IF($L51="",DATE(1900,1,1),$L51)</f>
        <v/>
      </c>
      <c r="O51" s="24">
        <f>IF($M51="",DATE(2100,12,31),$M51)</f>
        <v/>
      </c>
      <c r="P51" s="16" t="inlineStr"/>
      <c r="Q51" s="16" t="inlineStr"/>
      <c r="R51" s="29">
        <f>IF($C51="","",IFERROR(IF(INDEX(Deals!$U$2:$U$355,MATCH($C51,Deals!$A$2:$A$355,0))=0,"",INDEX(Deals!$U$2:$U$355,MATCH($C51,Deals!$A$2:$A$355,0))),""))</f>
        <v/>
      </c>
      <c r="S51" s="22">
        <f>IFERROR(IF($U51="",1,INDEX(Deals!$V$2:$V$355,MATCH($C51,Deals!$A$2:$A$355,0))),1)</f>
        <v/>
      </c>
      <c r="T51" s="22">
        <f>IFERROR(IF($U51="",1,INDEX(Deals!$W$2:$W$355,MATCH($C51,Deals!$A$2:$A$355,0))),1)</f>
        <v/>
      </c>
      <c r="U51" s="31">
        <f>IF($C51="","",IFERROR(IF(INDEX(Deals!$Y$2:$Y$355,MATCH($C51,Deals!$A$2:$A$355,0))=0,"",INDEX(Deals!$Y$2:$Y$355,MATCH($C51,Deals!$A$2:$A$355,0))),""))</f>
        <v/>
      </c>
      <c r="V51" s="24">
        <f>IF($U51="",DATE(1900,1,1),$N51)</f>
        <v/>
      </c>
      <c r="W51" s="24">
        <f>IF($U51="",DATE(2100,12,31),$U51)</f>
        <v/>
      </c>
      <c r="X51" s="20">
        <f>IF($U51="",$K51,$K51*$S51)</f>
        <v/>
      </c>
      <c r="Y51" s="24">
        <f>IF($U51="",DATE(2100,12,31),$U51+1)</f>
        <v/>
      </c>
      <c r="Z51" s="24">
        <f>IF($U51="",DATE(1900,1,1),$O51)</f>
        <v/>
      </c>
      <c r="AA51" s="20">
        <f>IF($U51="",0,$K51*$T51)</f>
        <v/>
      </c>
    </row>
    <row r="52">
      <c r="A52" s="15" t="inlineStr">
        <is>
          <t>John</t>
        </is>
      </c>
      <c r="B52" s="29">
        <f>IF($A52="","",IFERROR(INDEX(Roster!$B$2:$B$40,MATCH($A52,Roster!$A$2:$A$40,0)),"?"))</f>
        <v/>
      </c>
      <c r="C52" s="15" t="inlineStr">
        <is>
          <t>Bernhard_3</t>
        </is>
      </c>
      <c r="D52" s="29">
        <f>IF($C52="","",IFERROR(IF(INDEX(Deals!$C$2:$C$355,MATCH($C52,Deals!$A$2:$A$355,0))=0,"",INDEX(Deals!$C$2:$C$355,MATCH($C52,Deals!$A$2:$A$355,0))),"?"))</f>
        <v/>
      </c>
      <c r="E52" s="29">
        <f>IF($C52="","",IFERROR(INDEX(Deals!$F$2:$F$355,MATCH($C52,Deals!$A$2:$A$355,0)),"?"))</f>
        <v/>
      </c>
      <c r="F52" s="15" t="inlineStr">
        <is>
          <t>Partner</t>
        </is>
      </c>
      <c r="G52" s="15" t="inlineStr">
        <is>
          <t>Active</t>
        </is>
      </c>
      <c r="H52" s="27" t="n"/>
      <c r="I52" s="20">
        <f>IF(OR($A52="",$G52&lt;&gt;"Active"),0,IF($H52&lt;&gt;"",$H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</f>
        <v/>
      </c>
      <c r="J52" s="23">
        <f>IF($C52="",0,IFERROR(INDEX(Deals!$H$2:$H$355,MATCH($C52,Deals!$A$2:$A$355,0)),0))</f>
        <v/>
      </c>
      <c r="K52" s="20">
        <f>IF(Settings!$B$4="Yes",$I52*$J52,$I52)</f>
        <v/>
      </c>
      <c r="L52" s="31">
        <f>IF($C52="","",IFERROR(IF(INDEX(Deals!$I$2:$I$355,MATCH($C52,Deals!$A$2:$A$355,0))=0,"",INDEX(Deals!$I$2:$I$355,MATCH($C52,Deals!$A$2:$A$355,0))),""))</f>
        <v/>
      </c>
      <c r="M52" s="31">
        <f>IF($C52="","",IFERROR(IF(INDEX(Deals!$J$2:$J$355,MATCH($C52,Deals!$A$2:$A$355,0))=0,"",INDEX(Deals!$J$2:$J$355,MATCH($C52,Deals!$A$2:$A$355,0))),""))</f>
        <v/>
      </c>
      <c r="N52" s="24">
        <f>IF($L52="",DATE(1900,1,1),$L52)</f>
        <v/>
      </c>
      <c r="O52" s="24">
        <f>IF($M52="",DATE(2100,12,31),$M52)</f>
        <v/>
      </c>
      <c r="P52" s="16" t="inlineStr"/>
      <c r="Q52" s="16" t="inlineStr"/>
      <c r="R52" s="29">
        <f>IF($C52="","",IFERROR(IF(INDEX(Deals!$U$2:$U$355,MATCH($C52,Deals!$A$2:$A$355,0))=0,"",INDEX(Deals!$U$2:$U$355,MATCH($C52,Deals!$A$2:$A$355,0))),""))</f>
        <v/>
      </c>
      <c r="S52" s="22">
        <f>IFERROR(IF($U52="",1,INDEX(Deals!$V$2:$V$355,MATCH($C52,Deals!$A$2:$A$355,0))),1)</f>
        <v/>
      </c>
      <c r="T52" s="22">
        <f>IFERROR(IF($U52="",1,INDEX(Deals!$W$2:$W$355,MATCH($C52,Deals!$A$2:$A$355,0))),1)</f>
        <v/>
      </c>
      <c r="U52" s="31">
        <f>IF($C52="","",IFERROR(IF(INDEX(Deals!$Y$2:$Y$355,MATCH($C52,Deals!$A$2:$A$355,0))=0,"",INDEX(Deals!$Y$2:$Y$355,MATCH($C52,Deals!$A$2:$A$355,0))),""))</f>
        <v/>
      </c>
      <c r="V52" s="24">
        <f>IF($U52="",DATE(1900,1,1),$N52)</f>
        <v/>
      </c>
      <c r="W52" s="24">
        <f>IF($U52="",DATE(2100,12,31),$U52)</f>
        <v/>
      </c>
      <c r="X52" s="20">
        <f>IF($U52="",$K52,$K52*$S52)</f>
        <v/>
      </c>
      <c r="Y52" s="24">
        <f>IF($U52="",DATE(2100,12,31),$U52+1)</f>
        <v/>
      </c>
      <c r="Z52" s="24">
        <f>IF($U52="",DATE(1900,1,1),$O52)</f>
        <v/>
      </c>
      <c r="AA52" s="20">
        <f>IF($U52="",0,$K52*$T52)</f>
        <v/>
      </c>
    </row>
    <row r="53">
      <c r="A53" s="15" t="inlineStr">
        <is>
          <t>John</t>
        </is>
      </c>
      <c r="B53" s="29">
        <f>IF($A53="","",IFERROR(INDEX(Roster!$B$2:$B$40,MATCH($A53,Roster!$A$2:$A$40,0)),"?"))</f>
        <v/>
      </c>
      <c r="C53" s="15" t="inlineStr">
        <is>
          <t>Blue_8</t>
        </is>
      </c>
      <c r="D53" s="29">
        <f>IF($C53="","",IFERROR(IF(INDEX(Deals!$C$2:$C$355,MATCH($C53,Deals!$A$2:$A$355,0))=0,"",INDEX(Deals!$C$2:$C$355,MATCH($C53,Deals!$A$2:$A$355,0))),"?"))</f>
        <v/>
      </c>
      <c r="E53" s="29">
        <f>IF($C53="","",IFERROR(INDEX(Deals!$F$2:$F$355,MATCH($C53,Deals!$A$2:$A$355,0)),"?"))</f>
        <v/>
      </c>
      <c r="F53" s="15" t="inlineStr">
        <is>
          <t>Partner</t>
        </is>
      </c>
      <c r="G53" s="15" t="inlineStr">
        <is>
          <t>Active</t>
        </is>
      </c>
      <c r="H53" s="27" t="n"/>
      <c r="I53" s="20">
        <f>IF(OR($A53="",$G53&lt;&gt;"Active"),0,IF($H53&lt;&gt;"",$H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</f>
        <v/>
      </c>
      <c r="J53" s="23">
        <f>IF($C53="",0,IFERROR(INDEX(Deals!$H$2:$H$355,MATCH($C53,Deals!$A$2:$A$355,0)),0))</f>
        <v/>
      </c>
      <c r="K53" s="20">
        <f>IF(Settings!$B$4="Yes",$I53*$J53,$I53)</f>
        <v/>
      </c>
      <c r="L53" s="31">
        <f>IF($C53="","",IFERROR(IF(INDEX(Deals!$I$2:$I$355,MATCH($C53,Deals!$A$2:$A$355,0))=0,"",INDEX(Deals!$I$2:$I$355,MATCH($C53,Deals!$A$2:$A$355,0))),""))</f>
        <v/>
      </c>
      <c r="M53" s="31">
        <f>IF($C53="","",IFERROR(IF(INDEX(Deals!$J$2:$J$355,MATCH($C53,Deals!$A$2:$A$355,0))=0,"",INDEX(Deals!$J$2:$J$355,MATCH($C53,Deals!$A$2:$A$355,0))),""))</f>
        <v/>
      </c>
      <c r="N53" s="24">
        <f>IF($L53="",DATE(1900,1,1),$L53)</f>
        <v/>
      </c>
      <c r="O53" s="24">
        <f>IF($M53="",DATE(2100,12,31),$M53)</f>
        <v/>
      </c>
      <c r="P53" s="16" t="inlineStr"/>
      <c r="Q53" s="16" t="inlineStr"/>
      <c r="R53" s="29">
        <f>IF($C53="","",IFERROR(IF(INDEX(Deals!$U$2:$U$355,MATCH($C53,Deals!$A$2:$A$355,0))=0,"",INDEX(Deals!$U$2:$U$355,MATCH($C53,Deals!$A$2:$A$355,0))),""))</f>
        <v/>
      </c>
      <c r="S53" s="22">
        <f>IFERROR(IF($U53="",1,INDEX(Deals!$V$2:$V$355,MATCH($C53,Deals!$A$2:$A$355,0))),1)</f>
        <v/>
      </c>
      <c r="T53" s="22">
        <f>IFERROR(IF($U53="",1,INDEX(Deals!$W$2:$W$355,MATCH($C53,Deals!$A$2:$A$355,0))),1)</f>
        <v/>
      </c>
      <c r="U53" s="31">
        <f>IF($C53="","",IFERROR(IF(INDEX(Deals!$Y$2:$Y$355,MATCH($C53,Deals!$A$2:$A$355,0))=0,"",INDEX(Deals!$Y$2:$Y$355,MATCH($C53,Deals!$A$2:$A$355,0))),""))</f>
        <v/>
      </c>
      <c r="V53" s="24">
        <f>IF($U53="",DATE(1900,1,1),$N53)</f>
        <v/>
      </c>
      <c r="W53" s="24">
        <f>IF($U53="",DATE(2100,12,31),$U53)</f>
        <v/>
      </c>
      <c r="X53" s="20">
        <f>IF($U53="",$K53,$K53*$S53)</f>
        <v/>
      </c>
      <c r="Y53" s="24">
        <f>IF($U53="",DATE(2100,12,31),$U53+1)</f>
        <v/>
      </c>
      <c r="Z53" s="24">
        <f>IF($U53="",DATE(1900,1,1),$O53)</f>
        <v/>
      </c>
      <c r="AA53" s="20">
        <f>IF($U53="",0,$K53*$T53)</f>
        <v/>
      </c>
    </row>
    <row r="54">
      <c r="A54" s="15" t="inlineStr">
        <is>
          <t>John</t>
        </is>
      </c>
      <c r="B54" s="29">
        <f>IF($A54="","",IFERROR(INDEX(Roster!$B$2:$B$40,MATCH($A54,Roster!$A$2:$A$40,0)),"?"))</f>
        <v/>
      </c>
      <c r="C54" s="15" t="inlineStr">
        <is>
          <t>CAN Rail_1</t>
        </is>
      </c>
      <c r="D54" s="29">
        <f>IF($C54="","",IFERROR(IF(INDEX(Deals!$C$2:$C$355,MATCH($C54,Deals!$A$2:$A$355,0))=0,"",INDEX(Deals!$C$2:$C$355,MATCH($C54,Deals!$A$2:$A$355,0))),"?"))</f>
        <v/>
      </c>
      <c r="E54" s="29">
        <f>IF($C54="","",IFERROR(INDEX(Deals!$F$2:$F$355,MATCH($C54,Deals!$A$2:$A$355,0)),"?"))</f>
        <v/>
      </c>
      <c r="F54" s="15" t="inlineStr">
        <is>
          <t>Partner</t>
        </is>
      </c>
      <c r="G54" s="15" t="inlineStr">
        <is>
          <t>Active</t>
        </is>
      </c>
      <c r="H54" s="27" t="n"/>
      <c r="I54" s="20">
        <f>IF(OR($A54="",$G54&lt;&gt;"Active"),0,IF($H54&lt;&gt;"",$H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</f>
        <v/>
      </c>
      <c r="J54" s="23">
        <f>IF($C54="",0,IFERROR(INDEX(Deals!$H$2:$H$355,MATCH($C54,Deals!$A$2:$A$355,0)),0))</f>
        <v/>
      </c>
      <c r="K54" s="20">
        <f>IF(Settings!$B$4="Yes",$I54*$J54,$I54)</f>
        <v/>
      </c>
      <c r="L54" s="31">
        <f>IF($C54="","",IFERROR(IF(INDEX(Deals!$I$2:$I$355,MATCH($C54,Deals!$A$2:$A$355,0))=0,"",INDEX(Deals!$I$2:$I$355,MATCH($C54,Deals!$A$2:$A$355,0))),""))</f>
        <v/>
      </c>
      <c r="M54" s="31">
        <f>IF($C54="","",IFERROR(IF(INDEX(Deals!$J$2:$J$355,MATCH($C54,Deals!$A$2:$A$355,0))=0,"",INDEX(Deals!$J$2:$J$355,MATCH($C54,Deals!$A$2:$A$355,0))),""))</f>
        <v/>
      </c>
      <c r="N54" s="24">
        <f>IF($L54="",DATE(1900,1,1),$L54)</f>
        <v/>
      </c>
      <c r="O54" s="24">
        <f>IF($M54="",DATE(2100,12,31),$M54)</f>
        <v/>
      </c>
      <c r="P54" s="16" t="inlineStr"/>
      <c r="Q54" s="16" t="inlineStr"/>
      <c r="R54" s="29">
        <f>IF($C54="","",IFERROR(IF(INDEX(Deals!$U$2:$U$355,MATCH($C54,Deals!$A$2:$A$355,0))=0,"",INDEX(Deals!$U$2:$U$355,MATCH($C54,Deals!$A$2:$A$355,0))),""))</f>
        <v/>
      </c>
      <c r="S54" s="22">
        <f>IFERROR(IF($U54="",1,INDEX(Deals!$V$2:$V$355,MATCH($C54,Deals!$A$2:$A$355,0))),1)</f>
        <v/>
      </c>
      <c r="T54" s="22">
        <f>IFERROR(IF($U54="",1,INDEX(Deals!$W$2:$W$355,MATCH($C54,Deals!$A$2:$A$355,0))),1)</f>
        <v/>
      </c>
      <c r="U54" s="31">
        <f>IF($C54="","",IFERROR(IF(INDEX(Deals!$Y$2:$Y$355,MATCH($C54,Deals!$A$2:$A$355,0))=0,"",INDEX(Deals!$Y$2:$Y$355,MATCH($C54,Deals!$A$2:$A$355,0))),""))</f>
        <v/>
      </c>
      <c r="V54" s="24">
        <f>IF($U54="",DATE(1900,1,1),$N54)</f>
        <v/>
      </c>
      <c r="W54" s="24">
        <f>IF($U54="",DATE(2100,12,31),$U54)</f>
        <v/>
      </c>
      <c r="X54" s="20">
        <f>IF($U54="",$K54,$K54*$S54)</f>
        <v/>
      </c>
      <c r="Y54" s="24">
        <f>IF($U54="",DATE(2100,12,31),$U54+1)</f>
        <v/>
      </c>
      <c r="Z54" s="24">
        <f>IF($U54="",DATE(1900,1,1),$O54)</f>
        <v/>
      </c>
      <c r="AA54" s="20">
        <f>IF($U54="",0,$K54*$T54)</f>
        <v/>
      </c>
    </row>
    <row r="55">
      <c r="A55" s="15" t="inlineStr">
        <is>
          <t>John</t>
        </is>
      </c>
      <c r="B55" s="29">
        <f>IF($A55="","",IFERROR(INDEX(Roster!$B$2:$B$40,MATCH($A55,Roster!$A$2:$A$40,0)),"?"))</f>
        <v/>
      </c>
      <c r="C55" s="15" t="inlineStr">
        <is>
          <t>Canyon_2</t>
        </is>
      </c>
      <c r="D55" s="29">
        <f>IF($C55="","",IFERROR(IF(INDEX(Deals!$C$2:$C$355,MATCH($C55,Deals!$A$2:$A$355,0))=0,"",INDEX(Deals!$C$2:$C$355,MATCH($C55,Deals!$A$2:$A$355,0))),"?"))</f>
        <v/>
      </c>
      <c r="E55" s="29">
        <f>IF($C55="","",IFERROR(INDEX(Deals!$F$2:$F$355,MATCH($C55,Deals!$A$2:$A$355,0)),"?"))</f>
        <v/>
      </c>
      <c r="F55" s="15" t="inlineStr">
        <is>
          <t>Partner</t>
        </is>
      </c>
      <c r="G55" s="15" t="inlineStr">
        <is>
          <t>Active</t>
        </is>
      </c>
      <c r="H55" s="27" t="n"/>
      <c r="I55" s="20">
        <f>IF(OR($A55="",$G55&lt;&gt;"Active"),0,IF($H55&lt;&gt;"",$H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</f>
        <v/>
      </c>
      <c r="J55" s="23">
        <f>IF($C55="",0,IFERROR(INDEX(Deals!$H$2:$H$355,MATCH($C55,Deals!$A$2:$A$355,0)),0))</f>
        <v/>
      </c>
      <c r="K55" s="20">
        <f>IF(Settings!$B$4="Yes",$I55*$J55,$I55)</f>
        <v/>
      </c>
      <c r="L55" s="31">
        <f>IF($C55="","",IFERROR(IF(INDEX(Deals!$I$2:$I$355,MATCH($C55,Deals!$A$2:$A$355,0))=0,"",INDEX(Deals!$I$2:$I$355,MATCH($C55,Deals!$A$2:$A$355,0))),""))</f>
        <v/>
      </c>
      <c r="M55" s="31">
        <f>IF($C55="","",IFERROR(IF(INDEX(Deals!$J$2:$J$355,MATCH($C55,Deals!$A$2:$A$355,0))=0,"",INDEX(Deals!$J$2:$J$355,MATCH($C55,Deals!$A$2:$A$355,0))),""))</f>
        <v/>
      </c>
      <c r="N55" s="24">
        <f>IF($L55="",DATE(1900,1,1),$L55)</f>
        <v/>
      </c>
      <c r="O55" s="24">
        <f>IF($M55="",DATE(2100,12,31),$M55)</f>
        <v/>
      </c>
      <c r="P55" s="16" t="inlineStr"/>
      <c r="Q55" s="16" t="inlineStr"/>
      <c r="R55" s="29">
        <f>IF($C55="","",IFERROR(IF(INDEX(Deals!$U$2:$U$355,MATCH($C55,Deals!$A$2:$A$355,0))=0,"",INDEX(Deals!$U$2:$U$355,MATCH($C55,Deals!$A$2:$A$355,0))),""))</f>
        <v/>
      </c>
      <c r="S55" s="22">
        <f>IFERROR(IF($U55="",1,INDEX(Deals!$V$2:$V$355,MATCH($C55,Deals!$A$2:$A$355,0))),1)</f>
        <v/>
      </c>
      <c r="T55" s="22">
        <f>IFERROR(IF($U55="",1,INDEX(Deals!$W$2:$W$355,MATCH($C55,Deals!$A$2:$A$355,0))),1)</f>
        <v/>
      </c>
      <c r="U55" s="31">
        <f>IF($C55="","",IFERROR(IF(INDEX(Deals!$Y$2:$Y$355,MATCH($C55,Deals!$A$2:$A$355,0))=0,"",INDEX(Deals!$Y$2:$Y$355,MATCH($C55,Deals!$A$2:$A$355,0))),""))</f>
        <v/>
      </c>
      <c r="V55" s="24">
        <f>IF($U55="",DATE(1900,1,1),$N55)</f>
        <v/>
      </c>
      <c r="W55" s="24">
        <f>IF($U55="",DATE(2100,12,31),$U55)</f>
        <v/>
      </c>
      <c r="X55" s="20">
        <f>IF($U55="",$K55,$K55*$S55)</f>
        <v/>
      </c>
      <c r="Y55" s="24">
        <f>IF($U55="",DATE(2100,12,31),$U55+1)</f>
        <v/>
      </c>
      <c r="Z55" s="24">
        <f>IF($U55="",DATE(1900,1,1),$O55)</f>
        <v/>
      </c>
      <c r="AA55" s="20">
        <f>IF($U55="",0,$K55*$T55)</f>
        <v/>
      </c>
    </row>
    <row r="56">
      <c r="A56" s="15" t="inlineStr">
        <is>
          <t>John</t>
        </is>
      </c>
      <c r="B56" s="29">
        <f>IF($A56="","",IFERROR(INDEX(Roster!$B$2:$B$40,MATCH($A56,Roster!$A$2:$A$40,0)),"?"))</f>
        <v/>
      </c>
      <c r="C56" s="15" t="inlineStr">
        <is>
          <t>DCLI Sellside_1</t>
        </is>
      </c>
      <c r="D56" s="29">
        <f>IF($C56="","",IFERROR(IF(INDEX(Deals!$C$2:$C$355,MATCH($C56,Deals!$A$2:$A$355,0))=0,"",INDEX(Deals!$C$2:$C$355,MATCH($C56,Deals!$A$2:$A$355,0))),"?"))</f>
        <v/>
      </c>
      <c r="E56" s="29">
        <f>IF($C56="","",IFERROR(INDEX(Deals!$F$2:$F$355,MATCH($C56,Deals!$A$2:$A$355,0)),"?"))</f>
        <v/>
      </c>
      <c r="F56" s="15" t="inlineStr">
        <is>
          <t>Partner</t>
        </is>
      </c>
      <c r="G56" s="15" t="inlineStr">
        <is>
          <t>Active</t>
        </is>
      </c>
      <c r="H56" s="27" t="n"/>
      <c r="I56" s="20">
        <f>IF(OR($A56="",$G56&lt;&gt;"Active"),0,IF($H56&lt;&gt;"",$H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</f>
        <v/>
      </c>
      <c r="J56" s="23">
        <f>IF($C56="",0,IFERROR(INDEX(Deals!$H$2:$H$355,MATCH($C56,Deals!$A$2:$A$355,0)),0))</f>
        <v/>
      </c>
      <c r="K56" s="20">
        <f>IF(Settings!$B$4="Yes",$I56*$J56,$I56)</f>
        <v/>
      </c>
      <c r="L56" s="31">
        <f>IF($C56="","",IFERROR(IF(INDEX(Deals!$I$2:$I$355,MATCH($C56,Deals!$A$2:$A$355,0))=0,"",INDEX(Deals!$I$2:$I$355,MATCH($C56,Deals!$A$2:$A$355,0))),""))</f>
        <v/>
      </c>
      <c r="M56" s="31">
        <f>IF($C56="","",IFERROR(IF(INDEX(Deals!$J$2:$J$355,MATCH($C56,Deals!$A$2:$A$355,0))=0,"",INDEX(Deals!$J$2:$J$355,MATCH($C56,Deals!$A$2:$A$355,0))),""))</f>
        <v/>
      </c>
      <c r="N56" s="24">
        <f>IF($L56="",DATE(1900,1,1),$L56)</f>
        <v/>
      </c>
      <c r="O56" s="24">
        <f>IF($M56="",DATE(2100,12,31),$M56)</f>
        <v/>
      </c>
      <c r="P56" s="16" t="inlineStr"/>
      <c r="Q56" s="16" t="inlineStr"/>
      <c r="R56" s="29">
        <f>IF($C56="","",IFERROR(IF(INDEX(Deals!$U$2:$U$355,MATCH($C56,Deals!$A$2:$A$355,0))=0,"",INDEX(Deals!$U$2:$U$355,MATCH($C56,Deals!$A$2:$A$355,0))),""))</f>
        <v/>
      </c>
      <c r="S56" s="22">
        <f>IFERROR(IF($U56="",1,INDEX(Deals!$V$2:$V$355,MATCH($C56,Deals!$A$2:$A$355,0))),1)</f>
        <v/>
      </c>
      <c r="T56" s="22">
        <f>IFERROR(IF($U56="",1,INDEX(Deals!$W$2:$W$355,MATCH($C56,Deals!$A$2:$A$355,0))),1)</f>
        <v/>
      </c>
      <c r="U56" s="31">
        <f>IF($C56="","",IFERROR(IF(INDEX(Deals!$Y$2:$Y$355,MATCH($C56,Deals!$A$2:$A$355,0))=0,"",INDEX(Deals!$Y$2:$Y$355,MATCH($C56,Deals!$A$2:$A$355,0))),""))</f>
        <v/>
      </c>
      <c r="V56" s="24">
        <f>IF($U56="",DATE(1900,1,1),$N56)</f>
        <v/>
      </c>
      <c r="W56" s="24">
        <f>IF($U56="",DATE(2100,12,31),$U56)</f>
        <v/>
      </c>
      <c r="X56" s="20">
        <f>IF($U56="",$K56,$K56*$S56)</f>
        <v/>
      </c>
      <c r="Y56" s="24">
        <f>IF($U56="",DATE(2100,12,31),$U56+1)</f>
        <v/>
      </c>
      <c r="Z56" s="24">
        <f>IF($U56="",DATE(1900,1,1),$O56)</f>
        <v/>
      </c>
      <c r="AA56" s="20">
        <f>IF($U56="",0,$K56*$T56)</f>
        <v/>
      </c>
    </row>
    <row r="57">
      <c r="A57" s="15" t="inlineStr">
        <is>
          <t>John</t>
        </is>
      </c>
      <c r="B57" s="29">
        <f>IF($A57="","",IFERROR(INDEX(Roster!$B$2:$B$40,MATCH($A57,Roster!$A$2:$A$40,0)),"?"))</f>
        <v/>
      </c>
      <c r="C57" s="15" t="inlineStr">
        <is>
          <t>DIF Brahms_1</t>
        </is>
      </c>
      <c r="D57" s="29">
        <f>IF($C57="","",IFERROR(IF(INDEX(Deals!$C$2:$C$355,MATCH($C57,Deals!$A$2:$A$355,0))=0,"",INDEX(Deals!$C$2:$C$355,MATCH($C57,Deals!$A$2:$A$355,0))),"?"))</f>
        <v/>
      </c>
      <c r="E57" s="29">
        <f>IF($C57="","",IFERROR(INDEX(Deals!$F$2:$F$355,MATCH($C57,Deals!$A$2:$A$355,0)),"?"))</f>
        <v/>
      </c>
      <c r="F57" s="15" t="inlineStr">
        <is>
          <t>Partner</t>
        </is>
      </c>
      <c r="G57" s="15" t="inlineStr">
        <is>
          <t>Active</t>
        </is>
      </c>
      <c r="H57" s="27" t="n"/>
      <c r="I57" s="20">
        <f>IF(OR($A57="",$G57&lt;&gt;"Active"),0,IF($H57&lt;&gt;"",$H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</f>
        <v/>
      </c>
      <c r="J57" s="23">
        <f>IF($C57="",0,IFERROR(INDEX(Deals!$H$2:$H$355,MATCH($C57,Deals!$A$2:$A$355,0)),0))</f>
        <v/>
      </c>
      <c r="K57" s="20">
        <f>IF(Settings!$B$4="Yes",$I57*$J57,$I57)</f>
        <v/>
      </c>
      <c r="L57" s="31">
        <f>IF($C57="","",IFERROR(IF(INDEX(Deals!$I$2:$I$355,MATCH($C57,Deals!$A$2:$A$355,0))=0,"",INDEX(Deals!$I$2:$I$355,MATCH($C57,Deals!$A$2:$A$355,0))),""))</f>
        <v/>
      </c>
      <c r="M57" s="31">
        <f>IF($C57="","",IFERROR(IF(INDEX(Deals!$J$2:$J$355,MATCH($C57,Deals!$A$2:$A$355,0))=0,"",INDEX(Deals!$J$2:$J$355,MATCH($C57,Deals!$A$2:$A$355,0))),""))</f>
        <v/>
      </c>
      <c r="N57" s="24">
        <f>IF($L57="",DATE(1900,1,1),$L57)</f>
        <v/>
      </c>
      <c r="O57" s="24">
        <f>IF($M57="",DATE(2100,12,31),$M57)</f>
        <v/>
      </c>
      <c r="P57" s="16" t="inlineStr"/>
      <c r="Q57" s="16" t="inlineStr"/>
      <c r="R57" s="29">
        <f>IF($C57="","",IFERROR(IF(INDEX(Deals!$U$2:$U$355,MATCH($C57,Deals!$A$2:$A$355,0))=0,"",INDEX(Deals!$U$2:$U$355,MATCH($C57,Deals!$A$2:$A$355,0))),""))</f>
        <v/>
      </c>
      <c r="S57" s="22">
        <f>IFERROR(IF($U57="",1,INDEX(Deals!$V$2:$V$355,MATCH($C57,Deals!$A$2:$A$355,0))),1)</f>
        <v/>
      </c>
      <c r="T57" s="22">
        <f>IFERROR(IF($U57="",1,INDEX(Deals!$W$2:$W$355,MATCH($C57,Deals!$A$2:$A$355,0))),1)</f>
        <v/>
      </c>
      <c r="U57" s="31">
        <f>IF($C57="","",IFERROR(IF(INDEX(Deals!$Y$2:$Y$355,MATCH($C57,Deals!$A$2:$A$355,0))=0,"",INDEX(Deals!$Y$2:$Y$355,MATCH($C57,Deals!$A$2:$A$355,0))),""))</f>
        <v/>
      </c>
      <c r="V57" s="24">
        <f>IF($U57="",DATE(1900,1,1),$N57)</f>
        <v/>
      </c>
      <c r="W57" s="24">
        <f>IF($U57="",DATE(2100,12,31),$U57)</f>
        <v/>
      </c>
      <c r="X57" s="20">
        <f>IF($U57="",$K57,$K57*$S57)</f>
        <v/>
      </c>
      <c r="Y57" s="24">
        <f>IF($U57="",DATE(2100,12,31),$U57+1)</f>
        <v/>
      </c>
      <c r="Z57" s="24">
        <f>IF($U57="",DATE(1900,1,1),$O57)</f>
        <v/>
      </c>
      <c r="AA57" s="20">
        <f>IF($U57="",0,$K57*$T57)</f>
        <v/>
      </c>
    </row>
    <row r="58">
      <c r="A58" s="15" t="inlineStr">
        <is>
          <t>John</t>
        </is>
      </c>
      <c r="B58" s="29">
        <f>IF($A58="","",IFERROR(INDEX(Roster!$B$2:$B$40,MATCH($A58,Roster!$A$2:$A$40,0)),"?"))</f>
        <v/>
      </c>
      <c r="C58" s="15" t="inlineStr">
        <is>
          <t>DIF Twister_2</t>
        </is>
      </c>
      <c r="D58" s="29">
        <f>IF($C58="","",IFERROR(IF(INDEX(Deals!$C$2:$C$355,MATCH($C58,Deals!$A$2:$A$355,0))=0,"",INDEX(Deals!$C$2:$C$355,MATCH($C58,Deals!$A$2:$A$355,0))),"?"))</f>
        <v/>
      </c>
      <c r="E58" s="29">
        <f>IF($C58="","",IFERROR(INDEX(Deals!$F$2:$F$355,MATCH($C58,Deals!$A$2:$A$355,0)),"?"))</f>
        <v/>
      </c>
      <c r="F58" s="15" t="inlineStr">
        <is>
          <t>Partner</t>
        </is>
      </c>
      <c r="G58" s="15" t="inlineStr">
        <is>
          <t>Active</t>
        </is>
      </c>
      <c r="H58" s="27" t="n"/>
      <c r="I58" s="20">
        <f>IF(OR($A58="",$G58&lt;&gt;"Active"),0,IF($H58&lt;&gt;"",$H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</f>
        <v/>
      </c>
      <c r="J58" s="23">
        <f>IF($C58="",0,IFERROR(INDEX(Deals!$H$2:$H$355,MATCH($C58,Deals!$A$2:$A$355,0)),0))</f>
        <v/>
      </c>
      <c r="K58" s="20">
        <f>IF(Settings!$B$4="Yes",$I58*$J58,$I58)</f>
        <v/>
      </c>
      <c r="L58" s="31">
        <f>IF($C58="","",IFERROR(IF(INDEX(Deals!$I$2:$I$355,MATCH($C58,Deals!$A$2:$A$355,0))=0,"",INDEX(Deals!$I$2:$I$355,MATCH($C58,Deals!$A$2:$A$355,0))),""))</f>
        <v/>
      </c>
      <c r="M58" s="31">
        <f>IF($C58="","",IFERROR(IF(INDEX(Deals!$J$2:$J$355,MATCH($C58,Deals!$A$2:$A$355,0))=0,"",INDEX(Deals!$J$2:$J$355,MATCH($C58,Deals!$A$2:$A$355,0))),""))</f>
        <v/>
      </c>
      <c r="N58" s="24">
        <f>IF($L58="",DATE(1900,1,1),$L58)</f>
        <v/>
      </c>
      <c r="O58" s="24">
        <f>IF($M58="",DATE(2100,12,31),$M58)</f>
        <v/>
      </c>
      <c r="P58" s="16" t="inlineStr"/>
      <c r="Q58" s="16" t="inlineStr"/>
      <c r="R58" s="29">
        <f>IF($C58="","",IFERROR(IF(INDEX(Deals!$U$2:$U$355,MATCH($C58,Deals!$A$2:$A$355,0))=0,"",INDEX(Deals!$U$2:$U$355,MATCH($C58,Deals!$A$2:$A$355,0))),""))</f>
        <v/>
      </c>
      <c r="S58" s="22">
        <f>IFERROR(IF($U58="",1,INDEX(Deals!$V$2:$V$355,MATCH($C58,Deals!$A$2:$A$355,0))),1)</f>
        <v/>
      </c>
      <c r="T58" s="22">
        <f>IFERROR(IF($U58="",1,INDEX(Deals!$W$2:$W$355,MATCH($C58,Deals!$A$2:$A$355,0))),1)</f>
        <v/>
      </c>
      <c r="U58" s="31">
        <f>IF($C58="","",IFERROR(IF(INDEX(Deals!$Y$2:$Y$355,MATCH($C58,Deals!$A$2:$A$355,0))=0,"",INDEX(Deals!$Y$2:$Y$355,MATCH($C58,Deals!$A$2:$A$355,0))),""))</f>
        <v/>
      </c>
      <c r="V58" s="24">
        <f>IF($U58="",DATE(1900,1,1),$N58)</f>
        <v/>
      </c>
      <c r="W58" s="24">
        <f>IF($U58="",DATE(2100,12,31),$U58)</f>
        <v/>
      </c>
      <c r="X58" s="20">
        <f>IF($U58="",$K58,$K58*$S58)</f>
        <v/>
      </c>
      <c r="Y58" s="24">
        <f>IF($U58="",DATE(2100,12,31),$U58+1)</f>
        <v/>
      </c>
      <c r="Z58" s="24">
        <f>IF($U58="",DATE(1900,1,1),$O58)</f>
        <v/>
      </c>
      <c r="AA58" s="20">
        <f>IF($U58="",0,$K58*$T58)</f>
        <v/>
      </c>
    </row>
    <row r="59">
      <c r="A59" s="15" t="inlineStr">
        <is>
          <t>John</t>
        </is>
      </c>
      <c r="B59" s="29">
        <f>IF($A59="","",IFERROR(INDEX(Roster!$B$2:$B$40,MATCH($A59,Roster!$A$2:$A$40,0)),"?"))</f>
        <v/>
      </c>
      <c r="C59" s="15" t="inlineStr">
        <is>
          <t>Dupont_1</t>
        </is>
      </c>
      <c r="D59" s="29">
        <f>IF($C59="","",IFERROR(IF(INDEX(Deals!$C$2:$C$355,MATCH($C59,Deals!$A$2:$A$355,0))=0,"",INDEX(Deals!$C$2:$C$355,MATCH($C59,Deals!$A$2:$A$355,0))),"?"))</f>
        <v/>
      </c>
      <c r="E59" s="29">
        <f>IF($C59="","",IFERROR(INDEX(Deals!$F$2:$F$355,MATCH($C59,Deals!$A$2:$A$355,0)),"?"))</f>
        <v/>
      </c>
      <c r="F59" s="15" t="inlineStr">
        <is>
          <t>Partner</t>
        </is>
      </c>
      <c r="G59" s="15" t="inlineStr">
        <is>
          <t>Active</t>
        </is>
      </c>
      <c r="H59" s="27" t="n"/>
      <c r="I59" s="20">
        <f>IF(OR($A59="",$G59&lt;&gt;"Active"),0,IF($H59&lt;&gt;"",$H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</f>
        <v/>
      </c>
      <c r="J59" s="23">
        <f>IF($C59="",0,IFERROR(INDEX(Deals!$H$2:$H$355,MATCH($C59,Deals!$A$2:$A$355,0)),0))</f>
        <v/>
      </c>
      <c r="K59" s="20">
        <f>IF(Settings!$B$4="Yes",$I59*$J59,$I59)</f>
        <v/>
      </c>
      <c r="L59" s="31">
        <f>IF($C59="","",IFERROR(IF(INDEX(Deals!$I$2:$I$355,MATCH($C59,Deals!$A$2:$A$355,0))=0,"",INDEX(Deals!$I$2:$I$355,MATCH($C59,Deals!$A$2:$A$355,0))),""))</f>
        <v/>
      </c>
      <c r="M59" s="31">
        <f>IF($C59="","",IFERROR(IF(INDEX(Deals!$J$2:$J$355,MATCH($C59,Deals!$A$2:$A$355,0))=0,"",INDEX(Deals!$J$2:$J$355,MATCH($C59,Deals!$A$2:$A$355,0))),""))</f>
        <v/>
      </c>
      <c r="N59" s="24">
        <f>IF($L59="",DATE(1900,1,1),$L59)</f>
        <v/>
      </c>
      <c r="O59" s="24">
        <f>IF($M59="",DATE(2100,12,31),$M59)</f>
        <v/>
      </c>
      <c r="P59" s="16" t="inlineStr"/>
      <c r="Q59" s="16" t="inlineStr"/>
      <c r="R59" s="29">
        <f>IF($C59="","",IFERROR(IF(INDEX(Deals!$U$2:$U$355,MATCH($C59,Deals!$A$2:$A$355,0))=0,"",INDEX(Deals!$U$2:$U$355,MATCH($C59,Deals!$A$2:$A$355,0))),""))</f>
        <v/>
      </c>
      <c r="S59" s="22">
        <f>IFERROR(IF($U59="",1,INDEX(Deals!$V$2:$V$355,MATCH($C59,Deals!$A$2:$A$355,0))),1)</f>
        <v/>
      </c>
      <c r="T59" s="22">
        <f>IFERROR(IF($U59="",1,INDEX(Deals!$W$2:$W$355,MATCH($C59,Deals!$A$2:$A$355,0))),1)</f>
        <v/>
      </c>
      <c r="U59" s="31">
        <f>IF($C59="","",IFERROR(IF(INDEX(Deals!$Y$2:$Y$355,MATCH($C59,Deals!$A$2:$A$355,0))=0,"",INDEX(Deals!$Y$2:$Y$355,MATCH($C59,Deals!$A$2:$A$355,0))),""))</f>
        <v/>
      </c>
      <c r="V59" s="24">
        <f>IF($U59="",DATE(1900,1,1),$N59)</f>
        <v/>
      </c>
      <c r="W59" s="24">
        <f>IF($U59="",DATE(2100,12,31),$U59)</f>
        <v/>
      </c>
      <c r="X59" s="20">
        <f>IF($U59="",$K59,$K59*$S59)</f>
        <v/>
      </c>
      <c r="Y59" s="24">
        <f>IF($U59="",DATE(2100,12,31),$U59+1)</f>
        <v/>
      </c>
      <c r="Z59" s="24">
        <f>IF($U59="",DATE(1900,1,1),$O59)</f>
        <v/>
      </c>
      <c r="AA59" s="20">
        <f>IF($U59="",0,$K59*$T59)</f>
        <v/>
      </c>
    </row>
    <row r="60">
      <c r="A60" s="15" t="inlineStr">
        <is>
          <t>John</t>
        </is>
      </c>
      <c r="B60" s="29">
        <f>IF($A60="","",IFERROR(INDEX(Roster!$B$2:$B$40,MATCH($A60,Roster!$A$2:$A$40,0)),"?"))</f>
        <v/>
      </c>
      <c r="C60" s="15" t="inlineStr">
        <is>
          <t>Elcano_1</t>
        </is>
      </c>
      <c r="D60" s="29">
        <f>IF($C60="","",IFERROR(IF(INDEX(Deals!$C$2:$C$355,MATCH($C60,Deals!$A$2:$A$355,0))=0,"",INDEX(Deals!$C$2:$C$355,MATCH($C60,Deals!$A$2:$A$355,0))),"?"))</f>
        <v/>
      </c>
      <c r="E60" s="29">
        <f>IF($C60="","",IFERROR(INDEX(Deals!$F$2:$F$355,MATCH($C60,Deals!$A$2:$A$355,0)),"?"))</f>
        <v/>
      </c>
      <c r="F60" s="15" t="inlineStr">
        <is>
          <t>Partner</t>
        </is>
      </c>
      <c r="G60" s="15" t="inlineStr">
        <is>
          <t>Active</t>
        </is>
      </c>
      <c r="H60" s="27" t="n"/>
      <c r="I60" s="20">
        <f>IF(OR($A60="",$G60&lt;&gt;"Active"),0,IF($H60&lt;&gt;"",$H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</f>
        <v/>
      </c>
      <c r="J60" s="23">
        <f>IF($C60="",0,IFERROR(INDEX(Deals!$H$2:$H$355,MATCH($C60,Deals!$A$2:$A$355,0)),0))</f>
        <v/>
      </c>
      <c r="K60" s="20">
        <f>IF(Settings!$B$4="Yes",$I60*$J60,$I60)</f>
        <v/>
      </c>
      <c r="L60" s="31">
        <f>IF($C60="","",IFERROR(IF(INDEX(Deals!$I$2:$I$355,MATCH($C60,Deals!$A$2:$A$355,0))=0,"",INDEX(Deals!$I$2:$I$355,MATCH($C60,Deals!$A$2:$A$355,0))),""))</f>
        <v/>
      </c>
      <c r="M60" s="31">
        <f>IF($C60="","",IFERROR(IF(INDEX(Deals!$J$2:$J$355,MATCH($C60,Deals!$A$2:$A$355,0))=0,"",INDEX(Deals!$J$2:$J$355,MATCH($C60,Deals!$A$2:$A$355,0))),""))</f>
        <v/>
      </c>
      <c r="N60" s="24">
        <f>IF($L60="",DATE(1900,1,1),$L60)</f>
        <v/>
      </c>
      <c r="O60" s="24">
        <f>IF($M60="",DATE(2100,12,31),$M60)</f>
        <v/>
      </c>
      <c r="P60" s="16" t="inlineStr"/>
      <c r="Q60" s="16" t="inlineStr"/>
      <c r="R60" s="29">
        <f>IF($C60="","",IFERROR(IF(INDEX(Deals!$U$2:$U$355,MATCH($C60,Deals!$A$2:$A$355,0))=0,"",INDEX(Deals!$U$2:$U$355,MATCH($C60,Deals!$A$2:$A$355,0))),""))</f>
        <v/>
      </c>
      <c r="S60" s="22">
        <f>IFERROR(IF($U60="",1,INDEX(Deals!$V$2:$V$355,MATCH($C60,Deals!$A$2:$A$355,0))),1)</f>
        <v/>
      </c>
      <c r="T60" s="22">
        <f>IFERROR(IF($U60="",1,INDEX(Deals!$W$2:$W$355,MATCH($C60,Deals!$A$2:$A$355,0))),1)</f>
        <v/>
      </c>
      <c r="U60" s="31">
        <f>IF($C60="","",IFERROR(IF(INDEX(Deals!$Y$2:$Y$355,MATCH($C60,Deals!$A$2:$A$355,0))=0,"",INDEX(Deals!$Y$2:$Y$355,MATCH($C60,Deals!$A$2:$A$355,0))),""))</f>
        <v/>
      </c>
      <c r="V60" s="24">
        <f>IF($U60="",DATE(1900,1,1),$N60)</f>
        <v/>
      </c>
      <c r="W60" s="24">
        <f>IF($U60="",DATE(2100,12,31),$U60)</f>
        <v/>
      </c>
      <c r="X60" s="20">
        <f>IF($U60="",$K60,$K60*$S60)</f>
        <v/>
      </c>
      <c r="Y60" s="24">
        <f>IF($U60="",DATE(2100,12,31),$U60+1)</f>
        <v/>
      </c>
      <c r="Z60" s="24">
        <f>IF($U60="",DATE(1900,1,1),$O60)</f>
        <v/>
      </c>
      <c r="AA60" s="20">
        <f>IF($U60="",0,$K60*$T60)</f>
        <v/>
      </c>
    </row>
    <row r="61">
      <c r="A61" s="15" t="inlineStr">
        <is>
          <t>John</t>
        </is>
      </c>
      <c r="B61" s="29">
        <f>IF($A61="","",IFERROR(INDEX(Roster!$B$2:$B$40,MATCH($A61,Roster!$A$2:$A$40,0)),"?"))</f>
        <v/>
      </c>
      <c r="C61" s="15" t="inlineStr">
        <is>
          <t>FIRPTA_5</t>
        </is>
      </c>
      <c r="D61" s="29">
        <f>IF($C61="","",IFERROR(IF(INDEX(Deals!$C$2:$C$355,MATCH($C61,Deals!$A$2:$A$355,0))=0,"",INDEX(Deals!$C$2:$C$355,MATCH($C61,Deals!$A$2:$A$355,0))),"?"))</f>
        <v/>
      </c>
      <c r="E61" s="29">
        <f>IF($C61="","",IFERROR(INDEX(Deals!$F$2:$F$355,MATCH($C61,Deals!$A$2:$A$355,0)),"?"))</f>
        <v/>
      </c>
      <c r="F61" s="15" t="inlineStr">
        <is>
          <t>Partner</t>
        </is>
      </c>
      <c r="G61" s="15" t="inlineStr">
        <is>
          <t>Active</t>
        </is>
      </c>
      <c r="H61" s="27" t="n"/>
      <c r="I61" s="20">
        <f>IF(OR($A61="",$G61&lt;&gt;"Active"),0,IF($H61&lt;&gt;"",$H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</f>
        <v/>
      </c>
      <c r="J61" s="23">
        <f>IF($C61="",0,IFERROR(INDEX(Deals!$H$2:$H$355,MATCH($C61,Deals!$A$2:$A$355,0)),0))</f>
        <v/>
      </c>
      <c r="K61" s="20">
        <f>IF(Settings!$B$4="Yes",$I61*$J61,$I61)</f>
        <v/>
      </c>
      <c r="L61" s="31">
        <f>IF($C61="","",IFERROR(IF(INDEX(Deals!$I$2:$I$355,MATCH($C61,Deals!$A$2:$A$355,0))=0,"",INDEX(Deals!$I$2:$I$355,MATCH($C61,Deals!$A$2:$A$355,0))),""))</f>
        <v/>
      </c>
      <c r="M61" s="31">
        <f>IF($C61="","",IFERROR(IF(INDEX(Deals!$J$2:$J$355,MATCH($C61,Deals!$A$2:$A$355,0))=0,"",INDEX(Deals!$J$2:$J$355,MATCH($C61,Deals!$A$2:$A$355,0))),""))</f>
        <v/>
      </c>
      <c r="N61" s="24">
        <f>IF($L61="",DATE(1900,1,1),$L61)</f>
        <v/>
      </c>
      <c r="O61" s="24">
        <f>IF($M61="",DATE(2100,12,31),$M61)</f>
        <v/>
      </c>
      <c r="P61" s="16" t="inlineStr"/>
      <c r="Q61" s="16" t="inlineStr"/>
      <c r="R61" s="29">
        <f>IF($C61="","",IFERROR(IF(INDEX(Deals!$U$2:$U$355,MATCH($C61,Deals!$A$2:$A$355,0))=0,"",INDEX(Deals!$U$2:$U$355,MATCH($C61,Deals!$A$2:$A$355,0))),""))</f>
        <v/>
      </c>
      <c r="S61" s="22">
        <f>IFERROR(IF($U61="",1,INDEX(Deals!$V$2:$V$355,MATCH($C61,Deals!$A$2:$A$355,0))),1)</f>
        <v/>
      </c>
      <c r="T61" s="22">
        <f>IFERROR(IF($U61="",1,INDEX(Deals!$W$2:$W$355,MATCH($C61,Deals!$A$2:$A$355,0))),1)</f>
        <v/>
      </c>
      <c r="U61" s="31">
        <f>IF($C61="","",IFERROR(IF(INDEX(Deals!$Y$2:$Y$355,MATCH($C61,Deals!$A$2:$A$355,0))=0,"",INDEX(Deals!$Y$2:$Y$355,MATCH($C61,Deals!$A$2:$A$355,0))),""))</f>
        <v/>
      </c>
      <c r="V61" s="24">
        <f>IF($U61="",DATE(1900,1,1),$N61)</f>
        <v/>
      </c>
      <c r="W61" s="24">
        <f>IF($U61="",DATE(2100,12,31),$U61)</f>
        <v/>
      </c>
      <c r="X61" s="20">
        <f>IF($U61="",$K61,$K61*$S61)</f>
        <v/>
      </c>
      <c r="Y61" s="24">
        <f>IF($U61="",DATE(2100,12,31),$U61+1)</f>
        <v/>
      </c>
      <c r="Z61" s="24">
        <f>IF($U61="",DATE(1900,1,1),$O61)</f>
        <v/>
      </c>
      <c r="AA61" s="20">
        <f>IF($U61="",0,$K61*$T61)</f>
        <v/>
      </c>
    </row>
    <row r="62">
      <c r="A62" s="15" t="inlineStr">
        <is>
          <t>John</t>
        </is>
      </c>
      <c r="B62" s="29">
        <f>IF($A62="","",IFERROR(INDEX(Roster!$B$2:$B$40,MATCH($A62,Roster!$A$2:$A$40,0)),"?"))</f>
        <v/>
      </c>
      <c r="C62" s="15" t="inlineStr">
        <is>
          <t>Fury_1</t>
        </is>
      </c>
      <c r="D62" s="29">
        <f>IF($C62="","",IFERROR(IF(INDEX(Deals!$C$2:$C$355,MATCH($C62,Deals!$A$2:$A$355,0))=0,"",INDEX(Deals!$C$2:$C$355,MATCH($C62,Deals!$A$2:$A$355,0))),"?"))</f>
        <v/>
      </c>
      <c r="E62" s="29">
        <f>IF($C62="","",IFERROR(INDEX(Deals!$F$2:$F$355,MATCH($C62,Deals!$A$2:$A$355,0)),"?"))</f>
        <v/>
      </c>
      <c r="F62" s="15" t="inlineStr">
        <is>
          <t>Partner</t>
        </is>
      </c>
      <c r="G62" s="15" t="inlineStr">
        <is>
          <t>Active</t>
        </is>
      </c>
      <c r="H62" s="27" t="n"/>
      <c r="I62" s="20">
        <f>IF(OR($A62="",$G62&lt;&gt;"Active"),0,IF($H62&lt;&gt;"",$H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</f>
        <v/>
      </c>
      <c r="J62" s="23">
        <f>IF($C62="",0,IFERROR(INDEX(Deals!$H$2:$H$355,MATCH($C62,Deals!$A$2:$A$355,0)),0))</f>
        <v/>
      </c>
      <c r="K62" s="20">
        <f>IF(Settings!$B$4="Yes",$I62*$J62,$I62)</f>
        <v/>
      </c>
      <c r="L62" s="31">
        <f>IF($C62="","",IFERROR(IF(INDEX(Deals!$I$2:$I$355,MATCH($C62,Deals!$A$2:$A$355,0))=0,"",INDEX(Deals!$I$2:$I$355,MATCH($C62,Deals!$A$2:$A$355,0))),""))</f>
        <v/>
      </c>
      <c r="M62" s="31">
        <f>IF($C62="","",IFERROR(IF(INDEX(Deals!$J$2:$J$355,MATCH($C62,Deals!$A$2:$A$355,0))=0,"",INDEX(Deals!$J$2:$J$355,MATCH($C62,Deals!$A$2:$A$355,0))),""))</f>
        <v/>
      </c>
      <c r="N62" s="24">
        <f>IF($L62="",DATE(1900,1,1),$L62)</f>
        <v/>
      </c>
      <c r="O62" s="24">
        <f>IF($M62="",DATE(2100,12,31),$M62)</f>
        <v/>
      </c>
      <c r="P62" s="16" t="inlineStr"/>
      <c r="Q62" s="16" t="inlineStr"/>
      <c r="R62" s="29">
        <f>IF($C62="","",IFERROR(IF(INDEX(Deals!$U$2:$U$355,MATCH($C62,Deals!$A$2:$A$355,0))=0,"",INDEX(Deals!$U$2:$U$355,MATCH($C62,Deals!$A$2:$A$355,0))),""))</f>
        <v/>
      </c>
      <c r="S62" s="22">
        <f>IFERROR(IF($U62="",1,INDEX(Deals!$V$2:$V$355,MATCH($C62,Deals!$A$2:$A$355,0))),1)</f>
        <v/>
      </c>
      <c r="T62" s="22">
        <f>IFERROR(IF($U62="",1,INDEX(Deals!$W$2:$W$355,MATCH($C62,Deals!$A$2:$A$355,0))),1)</f>
        <v/>
      </c>
      <c r="U62" s="31">
        <f>IF($C62="","",IFERROR(IF(INDEX(Deals!$Y$2:$Y$355,MATCH($C62,Deals!$A$2:$A$355,0))=0,"",INDEX(Deals!$Y$2:$Y$355,MATCH($C62,Deals!$A$2:$A$355,0))),""))</f>
        <v/>
      </c>
      <c r="V62" s="24">
        <f>IF($U62="",DATE(1900,1,1),$N62)</f>
        <v/>
      </c>
      <c r="W62" s="24">
        <f>IF($U62="",DATE(2100,12,31),$U62)</f>
        <v/>
      </c>
      <c r="X62" s="20">
        <f>IF($U62="",$K62,$K62*$S62)</f>
        <v/>
      </c>
      <c r="Y62" s="24">
        <f>IF($U62="",DATE(2100,12,31),$U62+1)</f>
        <v/>
      </c>
      <c r="Z62" s="24">
        <f>IF($U62="",DATE(1900,1,1),$O62)</f>
        <v/>
      </c>
      <c r="AA62" s="20">
        <f>IF($U62="",0,$K62*$T62)</f>
        <v/>
      </c>
    </row>
    <row r="63">
      <c r="A63" s="15" t="inlineStr">
        <is>
          <t>John</t>
        </is>
      </c>
      <c r="B63" s="29">
        <f>IF($A63="","",IFERROR(INDEX(Roster!$B$2:$B$40,MATCH($A63,Roster!$A$2:$A$40,0)),"?"))</f>
        <v/>
      </c>
      <c r="C63" s="15" t="inlineStr">
        <is>
          <t>Gambit_1</t>
        </is>
      </c>
      <c r="D63" s="29">
        <f>IF($C63="","",IFERROR(IF(INDEX(Deals!$C$2:$C$355,MATCH($C63,Deals!$A$2:$A$355,0))=0,"",INDEX(Deals!$C$2:$C$355,MATCH($C63,Deals!$A$2:$A$355,0))),"?"))</f>
        <v/>
      </c>
      <c r="E63" s="29">
        <f>IF($C63="","",IFERROR(INDEX(Deals!$F$2:$F$355,MATCH($C63,Deals!$A$2:$A$355,0)),"?"))</f>
        <v/>
      </c>
      <c r="F63" s="15" t="inlineStr">
        <is>
          <t>Partner</t>
        </is>
      </c>
      <c r="G63" s="15" t="inlineStr">
        <is>
          <t>Active</t>
        </is>
      </c>
      <c r="H63" s="27" t="n"/>
      <c r="I63" s="20">
        <f>IF(OR($A63="",$G63&lt;&gt;"Active"),0,IF($H63&lt;&gt;"",$H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</f>
        <v/>
      </c>
      <c r="J63" s="23">
        <f>IF($C63="",0,IFERROR(INDEX(Deals!$H$2:$H$355,MATCH($C63,Deals!$A$2:$A$355,0)),0))</f>
        <v/>
      </c>
      <c r="K63" s="20">
        <f>IF(Settings!$B$4="Yes",$I63*$J63,$I63)</f>
        <v/>
      </c>
      <c r="L63" s="31">
        <f>IF($C63="","",IFERROR(IF(INDEX(Deals!$I$2:$I$355,MATCH($C63,Deals!$A$2:$A$355,0))=0,"",INDEX(Deals!$I$2:$I$355,MATCH($C63,Deals!$A$2:$A$355,0))),""))</f>
        <v/>
      </c>
      <c r="M63" s="31">
        <f>IF($C63="","",IFERROR(IF(INDEX(Deals!$J$2:$J$355,MATCH($C63,Deals!$A$2:$A$355,0))=0,"",INDEX(Deals!$J$2:$J$355,MATCH($C63,Deals!$A$2:$A$355,0))),""))</f>
        <v/>
      </c>
      <c r="N63" s="24">
        <f>IF($L63="",DATE(1900,1,1),$L63)</f>
        <v/>
      </c>
      <c r="O63" s="24">
        <f>IF($M63="",DATE(2100,12,31),$M63)</f>
        <v/>
      </c>
      <c r="P63" s="16" t="inlineStr"/>
      <c r="Q63" s="16" t="inlineStr"/>
      <c r="R63" s="29">
        <f>IF($C63="","",IFERROR(IF(INDEX(Deals!$U$2:$U$355,MATCH($C63,Deals!$A$2:$A$355,0))=0,"",INDEX(Deals!$U$2:$U$355,MATCH($C63,Deals!$A$2:$A$355,0))),""))</f>
        <v/>
      </c>
      <c r="S63" s="22">
        <f>IFERROR(IF($U63="",1,INDEX(Deals!$V$2:$V$355,MATCH($C63,Deals!$A$2:$A$355,0))),1)</f>
        <v/>
      </c>
      <c r="T63" s="22">
        <f>IFERROR(IF($U63="",1,INDEX(Deals!$W$2:$W$355,MATCH($C63,Deals!$A$2:$A$355,0))),1)</f>
        <v/>
      </c>
      <c r="U63" s="31">
        <f>IF($C63="","",IFERROR(IF(INDEX(Deals!$Y$2:$Y$355,MATCH($C63,Deals!$A$2:$A$355,0))=0,"",INDEX(Deals!$Y$2:$Y$355,MATCH($C63,Deals!$A$2:$A$355,0))),""))</f>
        <v/>
      </c>
      <c r="V63" s="24">
        <f>IF($U63="",DATE(1900,1,1),$N63)</f>
        <v/>
      </c>
      <c r="W63" s="24">
        <f>IF($U63="",DATE(2100,12,31),$U63)</f>
        <v/>
      </c>
      <c r="X63" s="20">
        <f>IF($U63="",$K63,$K63*$S63)</f>
        <v/>
      </c>
      <c r="Y63" s="24">
        <f>IF($U63="",DATE(2100,12,31),$U63+1)</f>
        <v/>
      </c>
      <c r="Z63" s="24">
        <f>IF($U63="",DATE(1900,1,1),$O63)</f>
        <v/>
      </c>
      <c r="AA63" s="20">
        <f>IF($U63="",0,$K63*$T63)</f>
        <v/>
      </c>
    </row>
    <row r="64">
      <c r="A64" s="15" t="inlineStr">
        <is>
          <t>John</t>
        </is>
      </c>
      <c r="B64" s="29">
        <f>IF($A64="","",IFERROR(INDEX(Roster!$B$2:$B$40,MATCH($A64,Roster!$A$2:$A$40,0)),"?"))</f>
        <v/>
      </c>
      <c r="C64" s="15" t="inlineStr">
        <is>
          <t>Geneseo_1</t>
        </is>
      </c>
      <c r="D64" s="29">
        <f>IF($C64="","",IFERROR(IF(INDEX(Deals!$C$2:$C$355,MATCH($C64,Deals!$A$2:$A$355,0))=0,"",INDEX(Deals!$C$2:$C$355,MATCH($C64,Deals!$A$2:$A$355,0))),"?"))</f>
        <v/>
      </c>
      <c r="E64" s="29">
        <f>IF($C64="","",IFERROR(INDEX(Deals!$F$2:$F$355,MATCH($C64,Deals!$A$2:$A$355,0)),"?"))</f>
        <v/>
      </c>
      <c r="F64" s="15" t="inlineStr">
        <is>
          <t>Partner</t>
        </is>
      </c>
      <c r="G64" s="15" t="inlineStr">
        <is>
          <t>Active</t>
        </is>
      </c>
      <c r="H64" s="27" t="n"/>
      <c r="I64" s="20">
        <f>IF(OR($A64="",$G64&lt;&gt;"Active"),0,IF($H64&lt;&gt;"",$H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</f>
        <v/>
      </c>
      <c r="J64" s="23">
        <f>IF($C64="",0,IFERROR(INDEX(Deals!$H$2:$H$355,MATCH($C64,Deals!$A$2:$A$355,0)),0))</f>
        <v/>
      </c>
      <c r="K64" s="20">
        <f>IF(Settings!$B$4="Yes",$I64*$J64,$I64)</f>
        <v/>
      </c>
      <c r="L64" s="31">
        <f>IF($C64="","",IFERROR(IF(INDEX(Deals!$I$2:$I$355,MATCH($C64,Deals!$A$2:$A$355,0))=0,"",INDEX(Deals!$I$2:$I$355,MATCH($C64,Deals!$A$2:$A$355,0))),""))</f>
        <v/>
      </c>
      <c r="M64" s="31">
        <f>IF($C64="","",IFERROR(IF(INDEX(Deals!$J$2:$J$355,MATCH($C64,Deals!$A$2:$A$355,0))=0,"",INDEX(Deals!$J$2:$J$355,MATCH($C64,Deals!$A$2:$A$355,0))),""))</f>
        <v/>
      </c>
      <c r="N64" s="24">
        <f>IF($L64="",DATE(1900,1,1),$L64)</f>
        <v/>
      </c>
      <c r="O64" s="24">
        <f>IF($M64="",DATE(2100,12,31),$M64)</f>
        <v/>
      </c>
      <c r="P64" s="16" t="inlineStr"/>
      <c r="Q64" s="16" t="inlineStr"/>
      <c r="R64" s="29">
        <f>IF($C64="","",IFERROR(IF(INDEX(Deals!$U$2:$U$355,MATCH($C64,Deals!$A$2:$A$355,0))=0,"",INDEX(Deals!$U$2:$U$355,MATCH($C64,Deals!$A$2:$A$355,0))),""))</f>
        <v/>
      </c>
      <c r="S64" s="22">
        <f>IFERROR(IF($U64="",1,INDEX(Deals!$V$2:$V$355,MATCH($C64,Deals!$A$2:$A$355,0))),1)</f>
        <v/>
      </c>
      <c r="T64" s="22">
        <f>IFERROR(IF($U64="",1,INDEX(Deals!$W$2:$W$355,MATCH($C64,Deals!$A$2:$A$355,0))),1)</f>
        <v/>
      </c>
      <c r="U64" s="31">
        <f>IF($C64="","",IFERROR(IF(INDEX(Deals!$Y$2:$Y$355,MATCH($C64,Deals!$A$2:$A$355,0))=0,"",INDEX(Deals!$Y$2:$Y$355,MATCH($C64,Deals!$A$2:$A$355,0))),""))</f>
        <v/>
      </c>
      <c r="V64" s="24">
        <f>IF($U64="",DATE(1900,1,1),$N64)</f>
        <v/>
      </c>
      <c r="W64" s="24">
        <f>IF($U64="",DATE(2100,12,31),$U64)</f>
        <v/>
      </c>
      <c r="X64" s="20">
        <f>IF($U64="",$K64,$K64*$S64)</f>
        <v/>
      </c>
      <c r="Y64" s="24">
        <f>IF($U64="",DATE(2100,12,31),$U64+1)</f>
        <v/>
      </c>
      <c r="Z64" s="24">
        <f>IF($U64="",DATE(1900,1,1),$O64)</f>
        <v/>
      </c>
      <c r="AA64" s="20">
        <f>IF($U64="",0,$K64*$T64)</f>
        <v/>
      </c>
    </row>
    <row r="65">
      <c r="A65" s="15" t="inlineStr">
        <is>
          <t>John</t>
        </is>
      </c>
      <c r="B65" s="29">
        <f>IF($A65="","",IFERROR(INDEX(Roster!$B$2:$B$40,MATCH($A65,Roster!$A$2:$A$40,0)),"?"))</f>
        <v/>
      </c>
      <c r="C65" s="15" t="inlineStr">
        <is>
          <t>Genesis_6</t>
        </is>
      </c>
      <c r="D65" s="29">
        <f>IF($C65="","",IFERROR(IF(INDEX(Deals!$C$2:$C$355,MATCH($C65,Deals!$A$2:$A$355,0))=0,"",INDEX(Deals!$C$2:$C$355,MATCH($C65,Deals!$A$2:$A$355,0))),"?"))</f>
        <v/>
      </c>
      <c r="E65" s="29">
        <f>IF($C65="","",IFERROR(INDEX(Deals!$F$2:$F$355,MATCH($C65,Deals!$A$2:$A$355,0)),"?"))</f>
        <v/>
      </c>
      <c r="F65" s="15" t="inlineStr">
        <is>
          <t>Partner</t>
        </is>
      </c>
      <c r="G65" s="15" t="inlineStr">
        <is>
          <t>Active</t>
        </is>
      </c>
      <c r="H65" s="27" t="n"/>
      <c r="I65" s="20">
        <f>IF(OR($A65="",$G65&lt;&gt;"Active"),0,IF($H65&lt;&gt;"",$H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</f>
        <v/>
      </c>
      <c r="J65" s="23">
        <f>IF($C65="",0,IFERROR(INDEX(Deals!$H$2:$H$355,MATCH($C65,Deals!$A$2:$A$355,0)),0))</f>
        <v/>
      </c>
      <c r="K65" s="20">
        <f>IF(Settings!$B$4="Yes",$I65*$J65,$I65)</f>
        <v/>
      </c>
      <c r="L65" s="31">
        <f>IF($C65="","",IFERROR(IF(INDEX(Deals!$I$2:$I$355,MATCH($C65,Deals!$A$2:$A$355,0))=0,"",INDEX(Deals!$I$2:$I$355,MATCH($C65,Deals!$A$2:$A$355,0))),""))</f>
        <v/>
      </c>
      <c r="M65" s="31">
        <f>IF($C65="","",IFERROR(IF(INDEX(Deals!$J$2:$J$355,MATCH($C65,Deals!$A$2:$A$355,0))=0,"",INDEX(Deals!$J$2:$J$355,MATCH($C65,Deals!$A$2:$A$355,0))),""))</f>
        <v/>
      </c>
      <c r="N65" s="24">
        <f>IF($L65="",DATE(1900,1,1),$L65)</f>
        <v/>
      </c>
      <c r="O65" s="24">
        <f>IF($M65="",DATE(2100,12,31),$M65)</f>
        <v/>
      </c>
      <c r="P65" s="16" t="inlineStr"/>
      <c r="Q65" s="16" t="inlineStr"/>
      <c r="R65" s="29">
        <f>IF($C65="","",IFERROR(IF(INDEX(Deals!$U$2:$U$355,MATCH($C65,Deals!$A$2:$A$355,0))=0,"",INDEX(Deals!$U$2:$U$355,MATCH($C65,Deals!$A$2:$A$355,0))),""))</f>
        <v/>
      </c>
      <c r="S65" s="22">
        <f>IFERROR(IF($U65="",1,INDEX(Deals!$V$2:$V$355,MATCH($C65,Deals!$A$2:$A$355,0))),1)</f>
        <v/>
      </c>
      <c r="T65" s="22">
        <f>IFERROR(IF($U65="",1,INDEX(Deals!$W$2:$W$355,MATCH($C65,Deals!$A$2:$A$355,0))),1)</f>
        <v/>
      </c>
      <c r="U65" s="31">
        <f>IF($C65="","",IFERROR(IF(INDEX(Deals!$Y$2:$Y$355,MATCH($C65,Deals!$A$2:$A$355,0))=0,"",INDEX(Deals!$Y$2:$Y$355,MATCH($C65,Deals!$A$2:$A$355,0))),""))</f>
        <v/>
      </c>
      <c r="V65" s="24">
        <f>IF($U65="",DATE(1900,1,1),$N65)</f>
        <v/>
      </c>
      <c r="W65" s="24">
        <f>IF($U65="",DATE(2100,12,31),$U65)</f>
        <v/>
      </c>
      <c r="X65" s="20">
        <f>IF($U65="",$K65,$K65*$S65)</f>
        <v/>
      </c>
      <c r="Y65" s="24">
        <f>IF($U65="",DATE(2100,12,31),$U65+1)</f>
        <v/>
      </c>
      <c r="Z65" s="24">
        <f>IF($U65="",DATE(1900,1,1),$O65)</f>
        <v/>
      </c>
      <c r="AA65" s="20">
        <f>IF($U65="",0,$K65*$T65)</f>
        <v/>
      </c>
    </row>
    <row r="66">
      <c r="A66" s="15" t="inlineStr">
        <is>
          <t>John</t>
        </is>
      </c>
      <c r="B66" s="29">
        <f>IF($A66="","",IFERROR(INDEX(Roster!$B$2:$B$40,MATCH($A66,Roster!$A$2:$A$40,0)),"?"))</f>
        <v/>
      </c>
      <c r="C66" s="15" t="inlineStr">
        <is>
          <t>Georgia_3</t>
        </is>
      </c>
      <c r="D66" s="29">
        <f>IF($C66="","",IFERROR(IF(INDEX(Deals!$C$2:$C$355,MATCH($C66,Deals!$A$2:$A$355,0))=0,"",INDEX(Deals!$C$2:$C$355,MATCH($C66,Deals!$A$2:$A$355,0))),"?"))</f>
        <v/>
      </c>
      <c r="E66" s="29">
        <f>IF($C66="","",IFERROR(INDEX(Deals!$F$2:$F$355,MATCH($C66,Deals!$A$2:$A$355,0)),"?"))</f>
        <v/>
      </c>
      <c r="F66" s="15" t="inlineStr">
        <is>
          <t>Partner</t>
        </is>
      </c>
      <c r="G66" s="15" t="inlineStr">
        <is>
          <t>Active</t>
        </is>
      </c>
      <c r="H66" s="27" t="n"/>
      <c r="I66" s="20">
        <f>IF(OR($A66="",$G66&lt;&gt;"Active"),0,IF($H66&lt;&gt;"",$H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</f>
        <v/>
      </c>
      <c r="J66" s="23">
        <f>IF($C66="",0,IFERROR(INDEX(Deals!$H$2:$H$355,MATCH($C66,Deals!$A$2:$A$355,0)),0))</f>
        <v/>
      </c>
      <c r="K66" s="20">
        <f>IF(Settings!$B$4="Yes",$I66*$J66,$I66)</f>
        <v/>
      </c>
      <c r="L66" s="31">
        <f>IF($C66="","",IFERROR(IF(INDEX(Deals!$I$2:$I$355,MATCH($C66,Deals!$A$2:$A$355,0))=0,"",INDEX(Deals!$I$2:$I$355,MATCH($C66,Deals!$A$2:$A$355,0))),""))</f>
        <v/>
      </c>
      <c r="M66" s="31">
        <f>IF($C66="","",IFERROR(IF(INDEX(Deals!$J$2:$J$355,MATCH($C66,Deals!$A$2:$A$355,0))=0,"",INDEX(Deals!$J$2:$J$355,MATCH($C66,Deals!$A$2:$A$355,0))),""))</f>
        <v/>
      </c>
      <c r="N66" s="24">
        <f>IF($L66="",DATE(1900,1,1),$L66)</f>
        <v/>
      </c>
      <c r="O66" s="24">
        <f>IF($M66="",DATE(2100,12,31),$M66)</f>
        <v/>
      </c>
      <c r="P66" s="16" t="inlineStr"/>
      <c r="Q66" s="16" t="inlineStr"/>
      <c r="R66" s="29">
        <f>IF($C66="","",IFERROR(IF(INDEX(Deals!$U$2:$U$355,MATCH($C66,Deals!$A$2:$A$355,0))=0,"",INDEX(Deals!$U$2:$U$355,MATCH($C66,Deals!$A$2:$A$355,0))),""))</f>
        <v/>
      </c>
      <c r="S66" s="22">
        <f>IFERROR(IF($U66="",1,INDEX(Deals!$V$2:$V$355,MATCH($C66,Deals!$A$2:$A$355,0))),1)</f>
        <v/>
      </c>
      <c r="T66" s="22">
        <f>IFERROR(IF($U66="",1,INDEX(Deals!$W$2:$W$355,MATCH($C66,Deals!$A$2:$A$355,0))),1)</f>
        <v/>
      </c>
      <c r="U66" s="31">
        <f>IF($C66="","",IFERROR(IF(INDEX(Deals!$Y$2:$Y$355,MATCH($C66,Deals!$A$2:$A$355,0))=0,"",INDEX(Deals!$Y$2:$Y$355,MATCH($C66,Deals!$A$2:$A$355,0))),""))</f>
        <v/>
      </c>
      <c r="V66" s="24">
        <f>IF($U66="",DATE(1900,1,1),$N66)</f>
        <v/>
      </c>
      <c r="W66" s="24">
        <f>IF($U66="",DATE(2100,12,31),$U66)</f>
        <v/>
      </c>
      <c r="X66" s="20">
        <f>IF($U66="",$K66,$K66*$S66)</f>
        <v/>
      </c>
      <c r="Y66" s="24">
        <f>IF($U66="",DATE(2100,12,31),$U66+1)</f>
        <v/>
      </c>
      <c r="Z66" s="24">
        <f>IF($U66="",DATE(1900,1,1),$O66)</f>
        <v/>
      </c>
      <c r="AA66" s="20">
        <f>IF($U66="",0,$K66*$T66)</f>
        <v/>
      </c>
    </row>
    <row r="67">
      <c r="A67" s="15" t="inlineStr">
        <is>
          <t>John</t>
        </is>
      </c>
      <c r="B67" s="29">
        <f>IF($A67="","",IFERROR(INDEX(Roster!$B$2:$B$40,MATCH($A67,Roster!$A$2:$A$40,0)),"?"))</f>
        <v/>
      </c>
      <c r="C67" s="15" t="inlineStr">
        <is>
          <t>Goose_1</t>
        </is>
      </c>
      <c r="D67" s="29">
        <f>IF($C67="","",IFERROR(IF(INDEX(Deals!$C$2:$C$355,MATCH($C67,Deals!$A$2:$A$355,0))=0,"",INDEX(Deals!$C$2:$C$355,MATCH($C67,Deals!$A$2:$A$355,0))),"?"))</f>
        <v/>
      </c>
      <c r="E67" s="29">
        <f>IF($C67="","",IFERROR(INDEX(Deals!$F$2:$F$355,MATCH($C67,Deals!$A$2:$A$355,0)),"?"))</f>
        <v/>
      </c>
      <c r="F67" s="15" t="inlineStr">
        <is>
          <t>Partner</t>
        </is>
      </c>
      <c r="G67" s="15" t="inlineStr">
        <is>
          <t>Active</t>
        </is>
      </c>
      <c r="H67" s="27" t="n"/>
      <c r="I67" s="20">
        <f>IF(OR($A67="",$G67&lt;&gt;"Active"),0,IF($H67&lt;&gt;"",$H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</f>
        <v/>
      </c>
      <c r="J67" s="23">
        <f>IF($C67="",0,IFERROR(INDEX(Deals!$H$2:$H$355,MATCH($C67,Deals!$A$2:$A$355,0)),0))</f>
        <v/>
      </c>
      <c r="K67" s="20">
        <f>IF(Settings!$B$4="Yes",$I67*$J67,$I67)</f>
        <v/>
      </c>
      <c r="L67" s="31">
        <f>IF($C67="","",IFERROR(IF(INDEX(Deals!$I$2:$I$355,MATCH($C67,Deals!$A$2:$A$355,0))=0,"",INDEX(Deals!$I$2:$I$355,MATCH($C67,Deals!$A$2:$A$355,0))),""))</f>
        <v/>
      </c>
      <c r="M67" s="31">
        <f>IF($C67="","",IFERROR(IF(INDEX(Deals!$J$2:$J$355,MATCH($C67,Deals!$A$2:$A$355,0))=0,"",INDEX(Deals!$J$2:$J$355,MATCH($C67,Deals!$A$2:$A$355,0))),""))</f>
        <v/>
      </c>
      <c r="N67" s="24">
        <f>IF($L67="",DATE(1900,1,1),$L67)</f>
        <v/>
      </c>
      <c r="O67" s="24">
        <f>IF($M67="",DATE(2100,12,31),$M67)</f>
        <v/>
      </c>
      <c r="P67" s="16" t="inlineStr"/>
      <c r="Q67" s="16" t="inlineStr"/>
      <c r="R67" s="29">
        <f>IF($C67="","",IFERROR(IF(INDEX(Deals!$U$2:$U$355,MATCH($C67,Deals!$A$2:$A$355,0))=0,"",INDEX(Deals!$U$2:$U$355,MATCH($C67,Deals!$A$2:$A$355,0))),""))</f>
        <v/>
      </c>
      <c r="S67" s="22">
        <f>IFERROR(IF($U67="",1,INDEX(Deals!$V$2:$V$355,MATCH($C67,Deals!$A$2:$A$355,0))),1)</f>
        <v/>
      </c>
      <c r="T67" s="22">
        <f>IFERROR(IF($U67="",1,INDEX(Deals!$W$2:$W$355,MATCH($C67,Deals!$A$2:$A$355,0))),1)</f>
        <v/>
      </c>
      <c r="U67" s="31">
        <f>IF($C67="","",IFERROR(IF(INDEX(Deals!$Y$2:$Y$355,MATCH($C67,Deals!$A$2:$A$355,0))=0,"",INDEX(Deals!$Y$2:$Y$355,MATCH($C67,Deals!$A$2:$A$355,0))),""))</f>
        <v/>
      </c>
      <c r="V67" s="24">
        <f>IF($U67="",DATE(1900,1,1),$N67)</f>
        <v/>
      </c>
      <c r="W67" s="24">
        <f>IF($U67="",DATE(2100,12,31),$U67)</f>
        <v/>
      </c>
      <c r="X67" s="20">
        <f>IF($U67="",$K67,$K67*$S67)</f>
        <v/>
      </c>
      <c r="Y67" s="24">
        <f>IF($U67="",DATE(2100,12,31),$U67+1)</f>
        <v/>
      </c>
      <c r="Z67" s="24">
        <f>IF($U67="",DATE(1900,1,1),$O67)</f>
        <v/>
      </c>
      <c r="AA67" s="20">
        <f>IF($U67="",0,$K67*$T67)</f>
        <v/>
      </c>
    </row>
    <row r="68">
      <c r="A68" s="15" t="inlineStr">
        <is>
          <t>John</t>
        </is>
      </c>
      <c r="B68" s="29">
        <f>IF($A68="","",IFERROR(INDEX(Roster!$B$2:$B$40,MATCH($A68,Roster!$A$2:$A$40,0)),"?"))</f>
        <v/>
      </c>
      <c r="C68" s="15" t="inlineStr">
        <is>
          <t>Heartland_2</t>
        </is>
      </c>
      <c r="D68" s="29">
        <f>IF($C68="","",IFERROR(IF(INDEX(Deals!$C$2:$C$355,MATCH($C68,Deals!$A$2:$A$355,0))=0,"",INDEX(Deals!$C$2:$C$355,MATCH($C68,Deals!$A$2:$A$355,0))),"?"))</f>
        <v/>
      </c>
      <c r="E68" s="29">
        <f>IF($C68="","",IFERROR(INDEX(Deals!$F$2:$F$355,MATCH($C68,Deals!$A$2:$A$355,0)),"?"))</f>
        <v/>
      </c>
      <c r="F68" s="15" t="inlineStr">
        <is>
          <t>Partner</t>
        </is>
      </c>
      <c r="G68" s="15" t="inlineStr">
        <is>
          <t>Active</t>
        </is>
      </c>
      <c r="H68" s="27" t="n"/>
      <c r="I68" s="20">
        <f>IF(OR($A68="",$G68&lt;&gt;"Active"),0,IF($H68&lt;&gt;"",$H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</f>
        <v/>
      </c>
      <c r="J68" s="23">
        <f>IF($C68="",0,IFERROR(INDEX(Deals!$H$2:$H$355,MATCH($C68,Deals!$A$2:$A$355,0)),0))</f>
        <v/>
      </c>
      <c r="K68" s="20">
        <f>IF(Settings!$B$4="Yes",$I68*$J68,$I68)</f>
        <v/>
      </c>
      <c r="L68" s="31">
        <f>IF($C68="","",IFERROR(IF(INDEX(Deals!$I$2:$I$355,MATCH($C68,Deals!$A$2:$A$355,0))=0,"",INDEX(Deals!$I$2:$I$355,MATCH($C68,Deals!$A$2:$A$355,0))),""))</f>
        <v/>
      </c>
      <c r="M68" s="31">
        <f>IF($C68="","",IFERROR(IF(INDEX(Deals!$J$2:$J$355,MATCH($C68,Deals!$A$2:$A$355,0))=0,"",INDEX(Deals!$J$2:$J$355,MATCH($C68,Deals!$A$2:$A$355,0))),""))</f>
        <v/>
      </c>
      <c r="N68" s="24">
        <f>IF($L68="",DATE(1900,1,1),$L68)</f>
        <v/>
      </c>
      <c r="O68" s="24">
        <f>IF($M68="",DATE(2100,12,31),$M68)</f>
        <v/>
      </c>
      <c r="P68" s="16" t="inlineStr"/>
      <c r="Q68" s="16" t="inlineStr"/>
      <c r="R68" s="29">
        <f>IF($C68="","",IFERROR(IF(INDEX(Deals!$U$2:$U$355,MATCH($C68,Deals!$A$2:$A$355,0))=0,"",INDEX(Deals!$U$2:$U$355,MATCH($C68,Deals!$A$2:$A$355,0))),""))</f>
        <v/>
      </c>
      <c r="S68" s="22">
        <f>IFERROR(IF($U68="",1,INDEX(Deals!$V$2:$V$355,MATCH($C68,Deals!$A$2:$A$355,0))),1)</f>
        <v/>
      </c>
      <c r="T68" s="22">
        <f>IFERROR(IF($U68="",1,INDEX(Deals!$W$2:$W$355,MATCH($C68,Deals!$A$2:$A$355,0))),1)</f>
        <v/>
      </c>
      <c r="U68" s="31">
        <f>IF($C68="","",IFERROR(IF(INDEX(Deals!$Y$2:$Y$355,MATCH($C68,Deals!$A$2:$A$355,0))=0,"",INDEX(Deals!$Y$2:$Y$355,MATCH($C68,Deals!$A$2:$A$355,0))),""))</f>
        <v/>
      </c>
      <c r="V68" s="24">
        <f>IF($U68="",DATE(1900,1,1),$N68)</f>
        <v/>
      </c>
      <c r="W68" s="24">
        <f>IF($U68="",DATE(2100,12,31),$U68)</f>
        <v/>
      </c>
      <c r="X68" s="20">
        <f>IF($U68="",$K68,$K68*$S68)</f>
        <v/>
      </c>
      <c r="Y68" s="24">
        <f>IF($U68="",DATE(2100,12,31),$U68+1)</f>
        <v/>
      </c>
      <c r="Z68" s="24">
        <f>IF($U68="",DATE(1900,1,1),$O68)</f>
        <v/>
      </c>
      <c r="AA68" s="20">
        <f>IF($U68="",0,$K68*$T68)</f>
        <v/>
      </c>
    </row>
    <row r="69">
      <c r="A69" s="15" t="inlineStr">
        <is>
          <t>John</t>
        </is>
      </c>
      <c r="B69" s="29">
        <f>IF($A69="","",IFERROR(INDEX(Roster!$B$2:$B$40,MATCH($A69,Roster!$A$2:$A$40,0)),"?"))</f>
        <v/>
      </c>
      <c r="C69" s="15" t="inlineStr">
        <is>
          <t>Horizon_3</t>
        </is>
      </c>
      <c r="D69" s="29">
        <f>IF($C69="","",IFERROR(IF(INDEX(Deals!$C$2:$C$355,MATCH($C69,Deals!$A$2:$A$355,0))=0,"",INDEX(Deals!$C$2:$C$355,MATCH($C69,Deals!$A$2:$A$355,0))),"?"))</f>
        <v/>
      </c>
      <c r="E69" s="29">
        <f>IF($C69="","",IFERROR(INDEX(Deals!$F$2:$F$355,MATCH($C69,Deals!$A$2:$A$355,0)),"?"))</f>
        <v/>
      </c>
      <c r="F69" s="15" t="inlineStr">
        <is>
          <t>Partner</t>
        </is>
      </c>
      <c r="G69" s="15" t="inlineStr">
        <is>
          <t>Active</t>
        </is>
      </c>
      <c r="H69" s="27" t="n"/>
      <c r="I69" s="20">
        <f>IF(OR($A69="",$G69&lt;&gt;"Active"),0,IF($H69&lt;&gt;"",$H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</f>
        <v/>
      </c>
      <c r="J69" s="23">
        <f>IF($C69="",0,IFERROR(INDEX(Deals!$H$2:$H$355,MATCH($C69,Deals!$A$2:$A$355,0)),0))</f>
        <v/>
      </c>
      <c r="K69" s="20">
        <f>IF(Settings!$B$4="Yes",$I69*$J69,$I69)</f>
        <v/>
      </c>
      <c r="L69" s="31">
        <f>IF($C69="","",IFERROR(IF(INDEX(Deals!$I$2:$I$355,MATCH($C69,Deals!$A$2:$A$355,0))=0,"",INDEX(Deals!$I$2:$I$355,MATCH($C69,Deals!$A$2:$A$355,0))),""))</f>
        <v/>
      </c>
      <c r="M69" s="31">
        <f>IF($C69="","",IFERROR(IF(INDEX(Deals!$J$2:$J$355,MATCH($C69,Deals!$A$2:$A$355,0))=0,"",INDEX(Deals!$J$2:$J$355,MATCH($C69,Deals!$A$2:$A$355,0))),""))</f>
        <v/>
      </c>
      <c r="N69" s="24">
        <f>IF($L69="",DATE(1900,1,1),$L69)</f>
        <v/>
      </c>
      <c r="O69" s="24">
        <f>IF($M69="",DATE(2100,12,31),$M69)</f>
        <v/>
      </c>
      <c r="P69" s="16" t="inlineStr"/>
      <c r="Q69" s="16" t="inlineStr"/>
      <c r="R69" s="29">
        <f>IF($C69="","",IFERROR(IF(INDEX(Deals!$U$2:$U$355,MATCH($C69,Deals!$A$2:$A$355,0))=0,"",INDEX(Deals!$U$2:$U$355,MATCH($C69,Deals!$A$2:$A$355,0))),""))</f>
        <v/>
      </c>
      <c r="S69" s="22">
        <f>IFERROR(IF($U69="",1,INDEX(Deals!$V$2:$V$355,MATCH($C69,Deals!$A$2:$A$355,0))),1)</f>
        <v/>
      </c>
      <c r="T69" s="22">
        <f>IFERROR(IF($U69="",1,INDEX(Deals!$W$2:$W$355,MATCH($C69,Deals!$A$2:$A$355,0))),1)</f>
        <v/>
      </c>
      <c r="U69" s="31">
        <f>IF($C69="","",IFERROR(IF(INDEX(Deals!$Y$2:$Y$355,MATCH($C69,Deals!$A$2:$A$355,0))=0,"",INDEX(Deals!$Y$2:$Y$355,MATCH($C69,Deals!$A$2:$A$355,0))),""))</f>
        <v/>
      </c>
      <c r="V69" s="24">
        <f>IF($U69="",DATE(1900,1,1),$N69)</f>
        <v/>
      </c>
      <c r="W69" s="24">
        <f>IF($U69="",DATE(2100,12,31),$U69)</f>
        <v/>
      </c>
      <c r="X69" s="20">
        <f>IF($U69="",$K69,$K69*$S69)</f>
        <v/>
      </c>
      <c r="Y69" s="24">
        <f>IF($U69="",DATE(2100,12,31),$U69+1)</f>
        <v/>
      </c>
      <c r="Z69" s="24">
        <f>IF($U69="",DATE(1900,1,1),$O69)</f>
        <v/>
      </c>
      <c r="AA69" s="20">
        <f>IF($U69="",0,$K69*$T69)</f>
        <v/>
      </c>
    </row>
    <row r="70">
      <c r="A70" s="15" t="inlineStr">
        <is>
          <t>John</t>
        </is>
      </c>
      <c r="B70" s="29">
        <f>IF($A70="","",IFERROR(INDEX(Roster!$B$2:$B$40,MATCH($A70,Roster!$A$2:$A$40,0)),"?"))</f>
        <v/>
      </c>
      <c r="C70" s="15" t="inlineStr">
        <is>
          <t>i3 Broadband _1</t>
        </is>
      </c>
      <c r="D70" s="29">
        <f>IF($C70="","",IFERROR(IF(INDEX(Deals!$C$2:$C$355,MATCH($C70,Deals!$A$2:$A$355,0))=0,"",INDEX(Deals!$C$2:$C$355,MATCH($C70,Deals!$A$2:$A$355,0))),"?"))</f>
        <v/>
      </c>
      <c r="E70" s="29">
        <f>IF($C70="","",IFERROR(INDEX(Deals!$F$2:$F$355,MATCH($C70,Deals!$A$2:$A$355,0)),"?"))</f>
        <v/>
      </c>
      <c r="F70" s="15" t="inlineStr">
        <is>
          <t>Partner</t>
        </is>
      </c>
      <c r="G70" s="15" t="inlineStr">
        <is>
          <t>Active</t>
        </is>
      </c>
      <c r="H70" s="27" t="n"/>
      <c r="I70" s="20">
        <f>IF(OR($A70="",$G70&lt;&gt;"Active"),0,IF($H70&lt;&gt;"",$H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</f>
        <v/>
      </c>
      <c r="J70" s="23">
        <f>IF($C70="",0,IFERROR(INDEX(Deals!$H$2:$H$355,MATCH($C70,Deals!$A$2:$A$355,0)),0))</f>
        <v/>
      </c>
      <c r="K70" s="20">
        <f>IF(Settings!$B$4="Yes",$I70*$J70,$I70)</f>
        <v/>
      </c>
      <c r="L70" s="31">
        <f>IF($C70="","",IFERROR(IF(INDEX(Deals!$I$2:$I$355,MATCH($C70,Deals!$A$2:$A$355,0))=0,"",INDEX(Deals!$I$2:$I$355,MATCH($C70,Deals!$A$2:$A$355,0))),""))</f>
        <v/>
      </c>
      <c r="M70" s="31">
        <f>IF($C70="","",IFERROR(IF(INDEX(Deals!$J$2:$J$355,MATCH($C70,Deals!$A$2:$A$355,0))=0,"",INDEX(Deals!$J$2:$J$355,MATCH($C70,Deals!$A$2:$A$355,0))),""))</f>
        <v/>
      </c>
      <c r="N70" s="24">
        <f>IF($L70="",DATE(1900,1,1),$L70)</f>
        <v/>
      </c>
      <c r="O70" s="24">
        <f>IF($M70="",DATE(2100,12,31),$M70)</f>
        <v/>
      </c>
      <c r="P70" s="16" t="inlineStr"/>
      <c r="Q70" s="16" t="inlineStr"/>
      <c r="R70" s="29">
        <f>IF($C70="","",IFERROR(IF(INDEX(Deals!$U$2:$U$355,MATCH($C70,Deals!$A$2:$A$355,0))=0,"",INDEX(Deals!$U$2:$U$355,MATCH($C70,Deals!$A$2:$A$355,0))),""))</f>
        <v/>
      </c>
      <c r="S70" s="22">
        <f>IFERROR(IF($U70="",1,INDEX(Deals!$V$2:$V$355,MATCH($C70,Deals!$A$2:$A$355,0))),1)</f>
        <v/>
      </c>
      <c r="T70" s="22">
        <f>IFERROR(IF($U70="",1,INDEX(Deals!$W$2:$W$355,MATCH($C70,Deals!$A$2:$A$355,0))),1)</f>
        <v/>
      </c>
      <c r="U70" s="31">
        <f>IF($C70="","",IFERROR(IF(INDEX(Deals!$Y$2:$Y$355,MATCH($C70,Deals!$A$2:$A$355,0))=0,"",INDEX(Deals!$Y$2:$Y$355,MATCH($C70,Deals!$A$2:$A$355,0))),""))</f>
        <v/>
      </c>
      <c r="V70" s="24">
        <f>IF($U70="",DATE(1900,1,1),$N70)</f>
        <v/>
      </c>
      <c r="W70" s="24">
        <f>IF($U70="",DATE(2100,12,31),$U70)</f>
        <v/>
      </c>
      <c r="X70" s="20">
        <f>IF($U70="",$K70,$K70*$S70)</f>
        <v/>
      </c>
      <c r="Y70" s="24">
        <f>IF($U70="",DATE(2100,12,31),$U70+1)</f>
        <v/>
      </c>
      <c r="Z70" s="24">
        <f>IF($U70="",DATE(1900,1,1),$O70)</f>
        <v/>
      </c>
      <c r="AA70" s="20">
        <f>IF($U70="",0,$K70*$T70)</f>
        <v/>
      </c>
    </row>
    <row r="71">
      <c r="A71" s="15" t="inlineStr">
        <is>
          <t>John</t>
        </is>
      </c>
      <c r="B71" s="29">
        <f>IF($A71="","",IFERROR(INDEX(Roster!$B$2:$B$40,MATCH($A71,Roster!$A$2:$A$40,0)),"?"))</f>
        <v/>
      </c>
      <c r="C71" s="15" t="inlineStr">
        <is>
          <t>Lafayette_2</t>
        </is>
      </c>
      <c r="D71" s="29">
        <f>IF($C71="","",IFERROR(IF(INDEX(Deals!$C$2:$C$355,MATCH($C71,Deals!$A$2:$A$355,0))=0,"",INDEX(Deals!$C$2:$C$355,MATCH($C71,Deals!$A$2:$A$355,0))),"?"))</f>
        <v/>
      </c>
      <c r="E71" s="29">
        <f>IF($C71="","",IFERROR(INDEX(Deals!$F$2:$F$355,MATCH($C71,Deals!$A$2:$A$355,0)),"?"))</f>
        <v/>
      </c>
      <c r="F71" s="15" t="inlineStr">
        <is>
          <t>Partner</t>
        </is>
      </c>
      <c r="G71" s="15" t="inlineStr">
        <is>
          <t>Active</t>
        </is>
      </c>
      <c r="H71" s="27" t="n"/>
      <c r="I71" s="20">
        <f>IF(OR($A71="",$G71&lt;&gt;"Active"),0,IF($H71&lt;&gt;"",$H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</f>
        <v/>
      </c>
      <c r="J71" s="23">
        <f>IF($C71="",0,IFERROR(INDEX(Deals!$H$2:$H$355,MATCH($C71,Deals!$A$2:$A$355,0)),0))</f>
        <v/>
      </c>
      <c r="K71" s="20">
        <f>IF(Settings!$B$4="Yes",$I71*$J71,$I71)</f>
        <v/>
      </c>
      <c r="L71" s="31">
        <f>IF($C71="","",IFERROR(IF(INDEX(Deals!$I$2:$I$355,MATCH($C71,Deals!$A$2:$A$355,0))=0,"",INDEX(Deals!$I$2:$I$355,MATCH($C71,Deals!$A$2:$A$355,0))),""))</f>
        <v/>
      </c>
      <c r="M71" s="31">
        <f>IF($C71="","",IFERROR(IF(INDEX(Deals!$J$2:$J$355,MATCH($C71,Deals!$A$2:$A$355,0))=0,"",INDEX(Deals!$J$2:$J$355,MATCH($C71,Deals!$A$2:$A$355,0))),""))</f>
        <v/>
      </c>
      <c r="N71" s="24">
        <f>IF($L71="",DATE(1900,1,1),$L71)</f>
        <v/>
      </c>
      <c r="O71" s="24">
        <f>IF($M71="",DATE(2100,12,31),$M71)</f>
        <v/>
      </c>
      <c r="P71" s="16" t="inlineStr"/>
      <c r="Q71" s="16" t="inlineStr"/>
      <c r="R71" s="29">
        <f>IF($C71="","",IFERROR(IF(INDEX(Deals!$U$2:$U$355,MATCH($C71,Deals!$A$2:$A$355,0))=0,"",INDEX(Deals!$U$2:$U$355,MATCH($C71,Deals!$A$2:$A$355,0))),""))</f>
        <v/>
      </c>
      <c r="S71" s="22">
        <f>IFERROR(IF($U71="",1,INDEX(Deals!$V$2:$V$355,MATCH($C71,Deals!$A$2:$A$355,0))),1)</f>
        <v/>
      </c>
      <c r="T71" s="22">
        <f>IFERROR(IF($U71="",1,INDEX(Deals!$W$2:$W$355,MATCH($C71,Deals!$A$2:$A$355,0))),1)</f>
        <v/>
      </c>
      <c r="U71" s="31">
        <f>IF($C71="","",IFERROR(IF(INDEX(Deals!$Y$2:$Y$355,MATCH($C71,Deals!$A$2:$A$355,0))=0,"",INDEX(Deals!$Y$2:$Y$355,MATCH($C71,Deals!$A$2:$A$355,0))),""))</f>
        <v/>
      </c>
      <c r="V71" s="24">
        <f>IF($U71="",DATE(1900,1,1),$N71)</f>
        <v/>
      </c>
      <c r="W71" s="24">
        <f>IF($U71="",DATE(2100,12,31),$U71)</f>
        <v/>
      </c>
      <c r="X71" s="20">
        <f>IF($U71="",$K71,$K71*$S71)</f>
        <v/>
      </c>
      <c r="Y71" s="24">
        <f>IF($U71="",DATE(2100,12,31),$U71+1)</f>
        <v/>
      </c>
      <c r="Z71" s="24">
        <f>IF($U71="",DATE(1900,1,1),$O71)</f>
        <v/>
      </c>
      <c r="AA71" s="20">
        <f>IF($U71="",0,$K71*$T71)</f>
        <v/>
      </c>
    </row>
    <row r="72">
      <c r="A72" s="15" t="inlineStr">
        <is>
          <t>John</t>
        </is>
      </c>
      <c r="B72" s="29">
        <f>IF($A72="","",IFERROR(INDEX(Roster!$B$2:$B$40,MATCH($A72,Roster!$A$2:$A$40,0)),"?"))</f>
        <v/>
      </c>
      <c r="C72" s="15" t="inlineStr">
        <is>
          <t>MIF_1</t>
        </is>
      </c>
      <c r="D72" s="29">
        <f>IF($C72="","",IFERROR(IF(INDEX(Deals!$C$2:$C$355,MATCH($C72,Deals!$A$2:$A$355,0))=0,"",INDEX(Deals!$C$2:$C$355,MATCH($C72,Deals!$A$2:$A$355,0))),"?"))</f>
        <v/>
      </c>
      <c r="E72" s="29">
        <f>IF($C72="","",IFERROR(INDEX(Deals!$F$2:$F$355,MATCH($C72,Deals!$A$2:$A$355,0)),"?"))</f>
        <v/>
      </c>
      <c r="F72" s="15" t="inlineStr">
        <is>
          <t>Partner</t>
        </is>
      </c>
      <c r="G72" s="15" t="inlineStr">
        <is>
          <t>Active</t>
        </is>
      </c>
      <c r="H72" s="27" t="n"/>
      <c r="I72" s="20">
        <f>IF(OR($A72="",$G72&lt;&gt;"Active"),0,IF($H72&lt;&gt;"",$H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</f>
        <v/>
      </c>
      <c r="J72" s="23">
        <f>IF($C72="",0,IFERROR(INDEX(Deals!$H$2:$H$355,MATCH($C72,Deals!$A$2:$A$355,0)),0))</f>
        <v/>
      </c>
      <c r="K72" s="20">
        <f>IF(Settings!$B$4="Yes",$I72*$J72,$I72)</f>
        <v/>
      </c>
      <c r="L72" s="31">
        <f>IF($C72="","",IFERROR(IF(INDEX(Deals!$I$2:$I$355,MATCH($C72,Deals!$A$2:$A$355,0))=0,"",INDEX(Deals!$I$2:$I$355,MATCH($C72,Deals!$A$2:$A$355,0))),""))</f>
        <v/>
      </c>
      <c r="M72" s="31">
        <f>IF($C72="","",IFERROR(IF(INDEX(Deals!$J$2:$J$355,MATCH($C72,Deals!$A$2:$A$355,0))=0,"",INDEX(Deals!$J$2:$J$355,MATCH($C72,Deals!$A$2:$A$355,0))),""))</f>
        <v/>
      </c>
      <c r="N72" s="24">
        <f>IF($L72="",DATE(1900,1,1),$L72)</f>
        <v/>
      </c>
      <c r="O72" s="24">
        <f>IF($M72="",DATE(2100,12,31),$M72)</f>
        <v/>
      </c>
      <c r="P72" s="16" t="inlineStr"/>
      <c r="Q72" s="16" t="inlineStr"/>
      <c r="R72" s="29">
        <f>IF($C72="","",IFERROR(IF(INDEX(Deals!$U$2:$U$355,MATCH($C72,Deals!$A$2:$A$355,0))=0,"",INDEX(Deals!$U$2:$U$355,MATCH($C72,Deals!$A$2:$A$355,0))),""))</f>
        <v/>
      </c>
      <c r="S72" s="22">
        <f>IFERROR(IF($U72="",1,INDEX(Deals!$V$2:$V$355,MATCH($C72,Deals!$A$2:$A$355,0))),1)</f>
        <v/>
      </c>
      <c r="T72" s="22">
        <f>IFERROR(IF($U72="",1,INDEX(Deals!$W$2:$W$355,MATCH($C72,Deals!$A$2:$A$355,0))),1)</f>
        <v/>
      </c>
      <c r="U72" s="31">
        <f>IF($C72="","",IFERROR(IF(INDEX(Deals!$Y$2:$Y$355,MATCH($C72,Deals!$A$2:$A$355,0))=0,"",INDEX(Deals!$Y$2:$Y$355,MATCH($C72,Deals!$A$2:$A$355,0))),""))</f>
        <v/>
      </c>
      <c r="V72" s="24">
        <f>IF($U72="",DATE(1900,1,1),$N72)</f>
        <v/>
      </c>
      <c r="W72" s="24">
        <f>IF($U72="",DATE(2100,12,31),$U72)</f>
        <v/>
      </c>
      <c r="X72" s="20">
        <f>IF($U72="",$K72,$K72*$S72)</f>
        <v/>
      </c>
      <c r="Y72" s="24">
        <f>IF($U72="",DATE(2100,12,31),$U72+1)</f>
        <v/>
      </c>
      <c r="Z72" s="24">
        <f>IF($U72="",DATE(1900,1,1),$O72)</f>
        <v/>
      </c>
      <c r="AA72" s="20">
        <f>IF($U72="",0,$K72*$T72)</f>
        <v/>
      </c>
    </row>
    <row r="73">
      <c r="A73" s="15" t="inlineStr">
        <is>
          <t>John</t>
        </is>
      </c>
      <c r="B73" s="29">
        <f>IF($A73="","",IFERROR(INDEX(Roster!$B$2:$B$40,MATCH($A73,Roster!$A$2:$A$40,0)),"?"))</f>
        <v/>
      </c>
      <c r="C73" s="15" t="inlineStr">
        <is>
          <t>MIP_1</t>
        </is>
      </c>
      <c r="D73" s="29">
        <f>IF($C73="","",IFERROR(IF(INDEX(Deals!$C$2:$C$355,MATCH($C73,Deals!$A$2:$A$355,0))=0,"",INDEX(Deals!$C$2:$C$355,MATCH($C73,Deals!$A$2:$A$355,0))),"?"))</f>
        <v/>
      </c>
      <c r="E73" s="29">
        <f>IF($C73="","",IFERROR(INDEX(Deals!$F$2:$F$355,MATCH($C73,Deals!$A$2:$A$355,0)),"?"))</f>
        <v/>
      </c>
      <c r="F73" s="15" t="inlineStr">
        <is>
          <t>Partner</t>
        </is>
      </c>
      <c r="G73" s="15" t="inlineStr">
        <is>
          <t>Active</t>
        </is>
      </c>
      <c r="H73" s="27" t="n"/>
      <c r="I73" s="20">
        <f>IF(OR($A73="",$G73&lt;&gt;"Active"),0,IF($H73&lt;&gt;"",$H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</f>
        <v/>
      </c>
      <c r="J73" s="23">
        <f>IF($C73="",0,IFERROR(INDEX(Deals!$H$2:$H$355,MATCH($C73,Deals!$A$2:$A$355,0)),0))</f>
        <v/>
      </c>
      <c r="K73" s="20">
        <f>IF(Settings!$B$4="Yes",$I73*$J73,$I73)</f>
        <v/>
      </c>
      <c r="L73" s="31">
        <f>IF($C73="","",IFERROR(IF(INDEX(Deals!$I$2:$I$355,MATCH($C73,Deals!$A$2:$A$355,0))=0,"",INDEX(Deals!$I$2:$I$355,MATCH($C73,Deals!$A$2:$A$355,0))),""))</f>
        <v/>
      </c>
      <c r="M73" s="31">
        <f>IF($C73="","",IFERROR(IF(INDEX(Deals!$J$2:$J$355,MATCH($C73,Deals!$A$2:$A$355,0))=0,"",INDEX(Deals!$J$2:$J$355,MATCH($C73,Deals!$A$2:$A$355,0))),""))</f>
        <v/>
      </c>
      <c r="N73" s="24">
        <f>IF($L73="",DATE(1900,1,1),$L73)</f>
        <v/>
      </c>
      <c r="O73" s="24">
        <f>IF($M73="",DATE(2100,12,31),$M73)</f>
        <v/>
      </c>
      <c r="P73" s="16" t="inlineStr"/>
      <c r="Q73" s="16" t="inlineStr"/>
      <c r="R73" s="29">
        <f>IF($C73="","",IFERROR(IF(INDEX(Deals!$U$2:$U$355,MATCH($C73,Deals!$A$2:$A$355,0))=0,"",INDEX(Deals!$U$2:$U$355,MATCH($C73,Deals!$A$2:$A$355,0))),""))</f>
        <v/>
      </c>
      <c r="S73" s="22">
        <f>IFERROR(IF($U73="",1,INDEX(Deals!$V$2:$V$355,MATCH($C73,Deals!$A$2:$A$355,0))),1)</f>
        <v/>
      </c>
      <c r="T73" s="22">
        <f>IFERROR(IF($U73="",1,INDEX(Deals!$W$2:$W$355,MATCH($C73,Deals!$A$2:$A$355,0))),1)</f>
        <v/>
      </c>
      <c r="U73" s="31">
        <f>IF($C73="","",IFERROR(IF(INDEX(Deals!$Y$2:$Y$355,MATCH($C73,Deals!$A$2:$A$355,0))=0,"",INDEX(Deals!$Y$2:$Y$355,MATCH($C73,Deals!$A$2:$A$355,0))),""))</f>
        <v/>
      </c>
      <c r="V73" s="24">
        <f>IF($U73="",DATE(1900,1,1),$N73)</f>
        <v/>
      </c>
      <c r="W73" s="24">
        <f>IF($U73="",DATE(2100,12,31),$U73)</f>
        <v/>
      </c>
      <c r="X73" s="20">
        <f>IF($U73="",$K73,$K73*$S73)</f>
        <v/>
      </c>
      <c r="Y73" s="24">
        <f>IF($U73="",DATE(2100,12,31),$U73+1)</f>
        <v/>
      </c>
      <c r="Z73" s="24">
        <f>IF($U73="",DATE(1900,1,1),$O73)</f>
        <v/>
      </c>
      <c r="AA73" s="20">
        <f>IF($U73="",0,$K73*$T73)</f>
        <v/>
      </c>
    </row>
    <row r="74">
      <c r="A74" s="15" t="inlineStr">
        <is>
          <t>John</t>
        </is>
      </c>
      <c r="B74" s="29">
        <f>IF($A74="","",IFERROR(INDEX(Roster!$B$2:$B$40,MATCH($A74,Roster!$A$2:$A$40,0)),"?"))</f>
        <v/>
      </c>
      <c r="C74" s="15" t="inlineStr">
        <is>
          <t>Mozart_2</t>
        </is>
      </c>
      <c r="D74" s="29">
        <f>IF($C74="","",IFERROR(IF(INDEX(Deals!$C$2:$C$355,MATCH($C74,Deals!$A$2:$A$355,0))=0,"",INDEX(Deals!$C$2:$C$355,MATCH($C74,Deals!$A$2:$A$355,0))),"?"))</f>
        <v/>
      </c>
      <c r="E74" s="29">
        <f>IF($C74="","",IFERROR(INDEX(Deals!$F$2:$F$355,MATCH($C74,Deals!$A$2:$A$355,0)),"?"))</f>
        <v/>
      </c>
      <c r="F74" s="15" t="inlineStr">
        <is>
          <t>Partner</t>
        </is>
      </c>
      <c r="G74" s="15" t="inlineStr">
        <is>
          <t>Active</t>
        </is>
      </c>
      <c r="H74" s="27" t="n"/>
      <c r="I74" s="20">
        <f>IF(OR($A74="",$G74&lt;&gt;"Active"),0,IF($H74&lt;&gt;"",$H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</f>
        <v/>
      </c>
      <c r="J74" s="23">
        <f>IF($C74="",0,IFERROR(INDEX(Deals!$H$2:$H$355,MATCH($C74,Deals!$A$2:$A$355,0)),0))</f>
        <v/>
      </c>
      <c r="K74" s="20">
        <f>IF(Settings!$B$4="Yes",$I74*$J74,$I74)</f>
        <v/>
      </c>
      <c r="L74" s="31">
        <f>IF($C74="","",IFERROR(IF(INDEX(Deals!$I$2:$I$355,MATCH($C74,Deals!$A$2:$A$355,0))=0,"",INDEX(Deals!$I$2:$I$355,MATCH($C74,Deals!$A$2:$A$355,0))),""))</f>
        <v/>
      </c>
      <c r="M74" s="31">
        <f>IF($C74="","",IFERROR(IF(INDEX(Deals!$J$2:$J$355,MATCH($C74,Deals!$A$2:$A$355,0))=0,"",INDEX(Deals!$J$2:$J$355,MATCH($C74,Deals!$A$2:$A$355,0))),""))</f>
        <v/>
      </c>
      <c r="N74" s="24">
        <f>IF($L74="",DATE(1900,1,1),$L74)</f>
        <v/>
      </c>
      <c r="O74" s="24">
        <f>IF($M74="",DATE(2100,12,31),$M74)</f>
        <v/>
      </c>
      <c r="P74" s="16" t="inlineStr"/>
      <c r="Q74" s="16" t="inlineStr"/>
      <c r="R74" s="29">
        <f>IF($C74="","",IFERROR(IF(INDEX(Deals!$U$2:$U$355,MATCH($C74,Deals!$A$2:$A$355,0))=0,"",INDEX(Deals!$U$2:$U$355,MATCH($C74,Deals!$A$2:$A$355,0))),""))</f>
        <v/>
      </c>
      <c r="S74" s="22">
        <f>IFERROR(IF($U74="",1,INDEX(Deals!$V$2:$V$355,MATCH($C74,Deals!$A$2:$A$355,0))),1)</f>
        <v/>
      </c>
      <c r="T74" s="22">
        <f>IFERROR(IF($U74="",1,INDEX(Deals!$W$2:$W$355,MATCH($C74,Deals!$A$2:$A$355,0))),1)</f>
        <v/>
      </c>
      <c r="U74" s="31">
        <f>IF($C74="","",IFERROR(IF(INDEX(Deals!$Y$2:$Y$355,MATCH($C74,Deals!$A$2:$A$355,0))=0,"",INDEX(Deals!$Y$2:$Y$355,MATCH($C74,Deals!$A$2:$A$355,0))),""))</f>
        <v/>
      </c>
      <c r="V74" s="24">
        <f>IF($U74="",DATE(1900,1,1),$N74)</f>
        <v/>
      </c>
      <c r="W74" s="24">
        <f>IF($U74="",DATE(2100,12,31),$U74)</f>
        <v/>
      </c>
      <c r="X74" s="20">
        <f>IF($U74="",$K74,$K74*$S74)</f>
        <v/>
      </c>
      <c r="Y74" s="24">
        <f>IF($U74="",DATE(2100,12,31),$U74+1)</f>
        <v/>
      </c>
      <c r="Z74" s="24">
        <f>IF($U74="",DATE(1900,1,1),$O74)</f>
        <v/>
      </c>
      <c r="AA74" s="20">
        <f>IF($U74="",0,$K74*$T74)</f>
        <v/>
      </c>
    </row>
    <row r="75">
      <c r="A75" s="15" t="inlineStr">
        <is>
          <t>John</t>
        </is>
      </c>
      <c r="B75" s="29">
        <f>IF($A75="","",IFERROR(INDEX(Roster!$B$2:$B$40,MATCH($A75,Roster!$A$2:$A$40,0)),"?"))</f>
        <v/>
      </c>
      <c r="C75" s="15" t="inlineStr">
        <is>
          <t>Odysee/Atlas_2</t>
        </is>
      </c>
      <c r="D75" s="29">
        <f>IF($C75="","",IFERROR(IF(INDEX(Deals!$C$2:$C$355,MATCH($C75,Deals!$A$2:$A$355,0))=0,"",INDEX(Deals!$C$2:$C$355,MATCH($C75,Deals!$A$2:$A$355,0))),"?"))</f>
        <v/>
      </c>
      <c r="E75" s="29">
        <f>IF($C75="","",IFERROR(INDEX(Deals!$F$2:$F$355,MATCH($C75,Deals!$A$2:$A$355,0)),"?"))</f>
        <v/>
      </c>
      <c r="F75" s="15" t="inlineStr">
        <is>
          <t>Partner</t>
        </is>
      </c>
      <c r="G75" s="15" t="inlineStr">
        <is>
          <t>Active</t>
        </is>
      </c>
      <c r="H75" s="27" t="n"/>
      <c r="I75" s="20">
        <f>IF(OR($A75="",$G75&lt;&gt;"Active"),0,IF($H75&lt;&gt;"",$H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</f>
        <v/>
      </c>
      <c r="J75" s="23">
        <f>IF($C75="",0,IFERROR(INDEX(Deals!$H$2:$H$355,MATCH($C75,Deals!$A$2:$A$355,0)),0))</f>
        <v/>
      </c>
      <c r="K75" s="20">
        <f>IF(Settings!$B$4="Yes",$I75*$J75,$I75)</f>
        <v/>
      </c>
      <c r="L75" s="31">
        <f>IF($C75="","",IFERROR(IF(INDEX(Deals!$I$2:$I$355,MATCH($C75,Deals!$A$2:$A$355,0))=0,"",INDEX(Deals!$I$2:$I$355,MATCH($C75,Deals!$A$2:$A$355,0))),""))</f>
        <v/>
      </c>
      <c r="M75" s="31">
        <f>IF($C75="","",IFERROR(IF(INDEX(Deals!$J$2:$J$355,MATCH($C75,Deals!$A$2:$A$355,0))=0,"",INDEX(Deals!$J$2:$J$355,MATCH($C75,Deals!$A$2:$A$355,0))),""))</f>
        <v/>
      </c>
      <c r="N75" s="24">
        <f>IF($L75="",DATE(1900,1,1),$L75)</f>
        <v/>
      </c>
      <c r="O75" s="24">
        <f>IF($M75="",DATE(2100,12,31),$M75)</f>
        <v/>
      </c>
      <c r="P75" s="16" t="inlineStr"/>
      <c r="Q75" s="16" t="inlineStr"/>
      <c r="R75" s="29">
        <f>IF($C75="","",IFERROR(IF(INDEX(Deals!$U$2:$U$355,MATCH($C75,Deals!$A$2:$A$355,0))=0,"",INDEX(Deals!$U$2:$U$355,MATCH($C75,Deals!$A$2:$A$355,0))),""))</f>
        <v/>
      </c>
      <c r="S75" s="22">
        <f>IFERROR(IF($U75="",1,INDEX(Deals!$V$2:$V$355,MATCH($C75,Deals!$A$2:$A$355,0))),1)</f>
        <v/>
      </c>
      <c r="T75" s="22">
        <f>IFERROR(IF($U75="",1,INDEX(Deals!$W$2:$W$355,MATCH($C75,Deals!$A$2:$A$355,0))),1)</f>
        <v/>
      </c>
      <c r="U75" s="31">
        <f>IF($C75="","",IFERROR(IF(INDEX(Deals!$Y$2:$Y$355,MATCH($C75,Deals!$A$2:$A$355,0))=0,"",INDEX(Deals!$Y$2:$Y$355,MATCH($C75,Deals!$A$2:$A$355,0))),""))</f>
        <v/>
      </c>
      <c r="V75" s="24">
        <f>IF($U75="",DATE(1900,1,1),$N75)</f>
        <v/>
      </c>
      <c r="W75" s="24">
        <f>IF($U75="",DATE(2100,12,31),$U75)</f>
        <v/>
      </c>
      <c r="X75" s="20">
        <f>IF($U75="",$K75,$K75*$S75)</f>
        <v/>
      </c>
      <c r="Y75" s="24">
        <f>IF($U75="",DATE(2100,12,31),$U75+1)</f>
        <v/>
      </c>
      <c r="Z75" s="24">
        <f>IF($U75="",DATE(1900,1,1),$O75)</f>
        <v/>
      </c>
      <c r="AA75" s="20">
        <f>IF($U75="",0,$K75*$T75)</f>
        <v/>
      </c>
    </row>
    <row r="76">
      <c r="A76" s="15" t="inlineStr">
        <is>
          <t>John</t>
        </is>
      </c>
      <c r="B76" s="29">
        <f>IF($A76="","",IFERROR(INDEX(Roster!$B$2:$B$40,MATCH($A76,Roster!$A$2:$A$40,0)),"?"))</f>
        <v/>
      </c>
      <c r="C76" s="15" t="inlineStr">
        <is>
          <t>Orange_4</t>
        </is>
      </c>
      <c r="D76" s="29">
        <f>IF($C76="","",IFERROR(IF(INDEX(Deals!$C$2:$C$355,MATCH($C76,Deals!$A$2:$A$355,0))=0,"",INDEX(Deals!$C$2:$C$355,MATCH($C76,Deals!$A$2:$A$355,0))),"?"))</f>
        <v/>
      </c>
      <c r="E76" s="29">
        <f>IF($C76="","",IFERROR(INDEX(Deals!$F$2:$F$355,MATCH($C76,Deals!$A$2:$A$355,0)),"?"))</f>
        <v/>
      </c>
      <c r="F76" s="15" t="inlineStr">
        <is>
          <t>Partner</t>
        </is>
      </c>
      <c r="G76" s="15" t="inlineStr">
        <is>
          <t>Active</t>
        </is>
      </c>
      <c r="H76" s="27" t="n"/>
      <c r="I76" s="20">
        <f>IF(OR($A76="",$G76&lt;&gt;"Active"),0,IF($H76&lt;&gt;"",$H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</f>
        <v/>
      </c>
      <c r="J76" s="23">
        <f>IF($C76="",0,IFERROR(INDEX(Deals!$H$2:$H$355,MATCH($C76,Deals!$A$2:$A$355,0)),0))</f>
        <v/>
      </c>
      <c r="K76" s="20">
        <f>IF(Settings!$B$4="Yes",$I76*$J76,$I76)</f>
        <v/>
      </c>
      <c r="L76" s="31">
        <f>IF($C76="","",IFERROR(IF(INDEX(Deals!$I$2:$I$355,MATCH($C76,Deals!$A$2:$A$355,0))=0,"",INDEX(Deals!$I$2:$I$355,MATCH($C76,Deals!$A$2:$A$355,0))),""))</f>
        <v/>
      </c>
      <c r="M76" s="31">
        <f>IF($C76="","",IFERROR(IF(INDEX(Deals!$J$2:$J$355,MATCH($C76,Deals!$A$2:$A$355,0))=0,"",INDEX(Deals!$J$2:$J$355,MATCH($C76,Deals!$A$2:$A$355,0))),""))</f>
        <v/>
      </c>
      <c r="N76" s="24">
        <f>IF($L76="",DATE(1900,1,1),$L76)</f>
        <v/>
      </c>
      <c r="O76" s="24">
        <f>IF($M76="",DATE(2100,12,31),$M76)</f>
        <v/>
      </c>
      <c r="P76" s="16" t="inlineStr"/>
      <c r="Q76" s="16" t="inlineStr"/>
      <c r="R76" s="29">
        <f>IF($C76="","",IFERROR(IF(INDEX(Deals!$U$2:$U$355,MATCH($C76,Deals!$A$2:$A$355,0))=0,"",INDEX(Deals!$U$2:$U$355,MATCH($C76,Deals!$A$2:$A$355,0))),""))</f>
        <v/>
      </c>
      <c r="S76" s="22">
        <f>IFERROR(IF($U76="",1,INDEX(Deals!$V$2:$V$355,MATCH($C76,Deals!$A$2:$A$355,0))),1)</f>
        <v/>
      </c>
      <c r="T76" s="22">
        <f>IFERROR(IF($U76="",1,INDEX(Deals!$W$2:$W$355,MATCH($C76,Deals!$A$2:$A$355,0))),1)</f>
        <v/>
      </c>
      <c r="U76" s="31">
        <f>IF($C76="","",IFERROR(IF(INDEX(Deals!$Y$2:$Y$355,MATCH($C76,Deals!$A$2:$A$355,0))=0,"",INDEX(Deals!$Y$2:$Y$355,MATCH($C76,Deals!$A$2:$A$355,0))),""))</f>
        <v/>
      </c>
      <c r="V76" s="24">
        <f>IF($U76="",DATE(1900,1,1),$N76)</f>
        <v/>
      </c>
      <c r="W76" s="24">
        <f>IF($U76="",DATE(2100,12,31),$U76)</f>
        <v/>
      </c>
      <c r="X76" s="20">
        <f>IF($U76="",$K76,$K76*$S76)</f>
        <v/>
      </c>
      <c r="Y76" s="24">
        <f>IF($U76="",DATE(2100,12,31),$U76+1)</f>
        <v/>
      </c>
      <c r="Z76" s="24">
        <f>IF($U76="",DATE(1900,1,1),$O76)</f>
        <v/>
      </c>
      <c r="AA76" s="20">
        <f>IF($U76="",0,$K76*$T76)</f>
        <v/>
      </c>
    </row>
    <row r="77">
      <c r="A77" s="15" t="inlineStr">
        <is>
          <t>John</t>
        </is>
      </c>
      <c r="B77" s="29">
        <f>IF($A77="","",IFERROR(INDEX(Roster!$B$2:$B$40,MATCH($A77,Roster!$A$2:$A$40,0)),"?"))</f>
        <v/>
      </c>
      <c r="C77" s="15" t="inlineStr">
        <is>
          <t>Orca_1</t>
        </is>
      </c>
      <c r="D77" s="29">
        <f>IF($C77="","",IFERROR(IF(INDEX(Deals!$C$2:$C$355,MATCH($C77,Deals!$A$2:$A$355,0))=0,"",INDEX(Deals!$C$2:$C$355,MATCH($C77,Deals!$A$2:$A$355,0))),"?"))</f>
        <v/>
      </c>
      <c r="E77" s="29">
        <f>IF($C77="","",IFERROR(INDEX(Deals!$F$2:$F$355,MATCH($C77,Deals!$A$2:$A$355,0)),"?"))</f>
        <v/>
      </c>
      <c r="F77" s="15" t="inlineStr">
        <is>
          <t>Partner</t>
        </is>
      </c>
      <c r="G77" s="15" t="inlineStr">
        <is>
          <t>Active</t>
        </is>
      </c>
      <c r="H77" s="27" t="n"/>
      <c r="I77" s="20">
        <f>IF(OR($A77="",$G77&lt;&gt;"Active"),0,IF($H77&lt;&gt;"",$H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</f>
        <v/>
      </c>
      <c r="J77" s="23">
        <f>IF($C77="",0,IFERROR(INDEX(Deals!$H$2:$H$355,MATCH($C77,Deals!$A$2:$A$355,0)),0))</f>
        <v/>
      </c>
      <c r="K77" s="20">
        <f>IF(Settings!$B$4="Yes",$I77*$J77,$I77)</f>
        <v/>
      </c>
      <c r="L77" s="31">
        <f>IF($C77="","",IFERROR(IF(INDEX(Deals!$I$2:$I$355,MATCH($C77,Deals!$A$2:$A$355,0))=0,"",INDEX(Deals!$I$2:$I$355,MATCH($C77,Deals!$A$2:$A$355,0))),""))</f>
        <v/>
      </c>
      <c r="M77" s="31">
        <f>IF($C77="","",IFERROR(IF(INDEX(Deals!$J$2:$J$355,MATCH($C77,Deals!$A$2:$A$355,0))=0,"",INDEX(Deals!$J$2:$J$355,MATCH($C77,Deals!$A$2:$A$355,0))),""))</f>
        <v/>
      </c>
      <c r="N77" s="24">
        <f>IF($L77="",DATE(1900,1,1),$L77)</f>
        <v/>
      </c>
      <c r="O77" s="24">
        <f>IF($M77="",DATE(2100,12,31),$M77)</f>
        <v/>
      </c>
      <c r="P77" s="16" t="inlineStr"/>
      <c r="Q77" s="16" t="inlineStr"/>
      <c r="R77" s="29">
        <f>IF($C77="","",IFERROR(IF(INDEX(Deals!$U$2:$U$355,MATCH($C77,Deals!$A$2:$A$355,0))=0,"",INDEX(Deals!$U$2:$U$355,MATCH($C77,Deals!$A$2:$A$355,0))),""))</f>
        <v/>
      </c>
      <c r="S77" s="22">
        <f>IFERROR(IF($U77="",1,INDEX(Deals!$V$2:$V$355,MATCH($C77,Deals!$A$2:$A$355,0))),1)</f>
        <v/>
      </c>
      <c r="T77" s="22">
        <f>IFERROR(IF($U77="",1,INDEX(Deals!$W$2:$W$355,MATCH($C77,Deals!$A$2:$A$355,0))),1)</f>
        <v/>
      </c>
      <c r="U77" s="31">
        <f>IF($C77="","",IFERROR(IF(INDEX(Deals!$Y$2:$Y$355,MATCH($C77,Deals!$A$2:$A$355,0))=0,"",INDEX(Deals!$Y$2:$Y$355,MATCH($C77,Deals!$A$2:$A$355,0))),""))</f>
        <v/>
      </c>
      <c r="V77" s="24">
        <f>IF($U77="",DATE(1900,1,1),$N77)</f>
        <v/>
      </c>
      <c r="W77" s="24">
        <f>IF($U77="",DATE(2100,12,31),$U77)</f>
        <v/>
      </c>
      <c r="X77" s="20">
        <f>IF($U77="",$K77,$K77*$S77)</f>
        <v/>
      </c>
      <c r="Y77" s="24">
        <f>IF($U77="",DATE(2100,12,31),$U77+1)</f>
        <v/>
      </c>
      <c r="Z77" s="24">
        <f>IF($U77="",DATE(1900,1,1),$O77)</f>
        <v/>
      </c>
      <c r="AA77" s="20">
        <f>IF($U77="",0,$K77*$T77)</f>
        <v/>
      </c>
    </row>
    <row r="78">
      <c r="A78" s="15" t="inlineStr">
        <is>
          <t>John</t>
        </is>
      </c>
      <c r="B78" s="29">
        <f>IF($A78="","",IFERROR(INDEX(Roster!$B$2:$B$40,MATCH($A78,Roster!$A$2:$A$40,0)),"?"))</f>
        <v/>
      </c>
      <c r="C78" s="15" t="inlineStr">
        <is>
          <t>Pennsylvania_1</t>
        </is>
      </c>
      <c r="D78" s="29">
        <f>IF($C78="","",IFERROR(IF(INDEX(Deals!$C$2:$C$355,MATCH($C78,Deals!$A$2:$A$355,0))=0,"",INDEX(Deals!$C$2:$C$355,MATCH($C78,Deals!$A$2:$A$355,0))),"?"))</f>
        <v/>
      </c>
      <c r="E78" s="29">
        <f>IF($C78="","",IFERROR(INDEX(Deals!$F$2:$F$355,MATCH($C78,Deals!$A$2:$A$355,0)),"?"))</f>
        <v/>
      </c>
      <c r="F78" s="15" t="inlineStr">
        <is>
          <t>Partner</t>
        </is>
      </c>
      <c r="G78" s="15" t="inlineStr">
        <is>
          <t>Active</t>
        </is>
      </c>
      <c r="H78" s="27" t="n"/>
      <c r="I78" s="20">
        <f>IF(OR($A78="",$G78&lt;&gt;"Active"),0,IF($H78&lt;&gt;"",$H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</f>
        <v/>
      </c>
      <c r="J78" s="23">
        <f>IF($C78="",0,IFERROR(INDEX(Deals!$H$2:$H$355,MATCH($C78,Deals!$A$2:$A$355,0)),0))</f>
        <v/>
      </c>
      <c r="K78" s="20">
        <f>IF(Settings!$B$4="Yes",$I78*$J78,$I78)</f>
        <v/>
      </c>
      <c r="L78" s="31">
        <f>IF($C78="","",IFERROR(IF(INDEX(Deals!$I$2:$I$355,MATCH($C78,Deals!$A$2:$A$355,0))=0,"",INDEX(Deals!$I$2:$I$355,MATCH($C78,Deals!$A$2:$A$355,0))),""))</f>
        <v/>
      </c>
      <c r="M78" s="31">
        <f>IF($C78="","",IFERROR(IF(INDEX(Deals!$J$2:$J$355,MATCH($C78,Deals!$A$2:$A$355,0))=0,"",INDEX(Deals!$J$2:$J$355,MATCH($C78,Deals!$A$2:$A$355,0))),""))</f>
        <v/>
      </c>
      <c r="N78" s="24">
        <f>IF($L78="",DATE(1900,1,1),$L78)</f>
        <v/>
      </c>
      <c r="O78" s="24">
        <f>IF($M78="",DATE(2100,12,31),$M78)</f>
        <v/>
      </c>
      <c r="P78" s="16" t="inlineStr"/>
      <c r="Q78" s="16" t="inlineStr"/>
      <c r="R78" s="29">
        <f>IF($C78="","",IFERROR(IF(INDEX(Deals!$U$2:$U$355,MATCH($C78,Deals!$A$2:$A$355,0))=0,"",INDEX(Deals!$U$2:$U$355,MATCH($C78,Deals!$A$2:$A$355,0))),""))</f>
        <v/>
      </c>
      <c r="S78" s="22">
        <f>IFERROR(IF($U78="",1,INDEX(Deals!$V$2:$V$355,MATCH($C78,Deals!$A$2:$A$355,0))),1)</f>
        <v/>
      </c>
      <c r="T78" s="22">
        <f>IFERROR(IF($U78="",1,INDEX(Deals!$W$2:$W$355,MATCH($C78,Deals!$A$2:$A$355,0))),1)</f>
        <v/>
      </c>
      <c r="U78" s="31">
        <f>IF($C78="","",IFERROR(IF(INDEX(Deals!$Y$2:$Y$355,MATCH($C78,Deals!$A$2:$A$355,0))=0,"",INDEX(Deals!$Y$2:$Y$355,MATCH($C78,Deals!$A$2:$A$355,0))),""))</f>
        <v/>
      </c>
      <c r="V78" s="24">
        <f>IF($U78="",DATE(1900,1,1),$N78)</f>
        <v/>
      </c>
      <c r="W78" s="24">
        <f>IF($U78="",DATE(2100,12,31),$U78)</f>
        <v/>
      </c>
      <c r="X78" s="20">
        <f>IF($U78="",$K78,$K78*$S78)</f>
        <v/>
      </c>
      <c r="Y78" s="24">
        <f>IF($U78="",DATE(2100,12,31),$U78+1)</f>
        <v/>
      </c>
      <c r="Z78" s="24">
        <f>IF($U78="",DATE(1900,1,1),$O78)</f>
        <v/>
      </c>
      <c r="AA78" s="20">
        <f>IF($U78="",0,$K78*$T78)</f>
        <v/>
      </c>
    </row>
    <row r="79">
      <c r="A79" s="15" t="inlineStr">
        <is>
          <t>John</t>
        </is>
      </c>
      <c r="B79" s="29">
        <f>IF($A79="","",IFERROR(INDEX(Roster!$B$2:$B$40,MATCH($A79,Roster!$A$2:$A$40,0)),"?"))</f>
        <v/>
      </c>
      <c r="C79" s="15" t="inlineStr">
        <is>
          <t>Pocket_1</t>
        </is>
      </c>
      <c r="D79" s="29">
        <f>IF($C79="","",IFERROR(IF(INDEX(Deals!$C$2:$C$355,MATCH($C79,Deals!$A$2:$A$355,0))=0,"",INDEX(Deals!$C$2:$C$355,MATCH($C79,Deals!$A$2:$A$355,0))),"?"))</f>
        <v/>
      </c>
      <c r="E79" s="29">
        <f>IF($C79="","",IFERROR(INDEX(Deals!$F$2:$F$355,MATCH($C79,Deals!$A$2:$A$355,0)),"?"))</f>
        <v/>
      </c>
      <c r="F79" s="15" t="inlineStr">
        <is>
          <t>Partner</t>
        </is>
      </c>
      <c r="G79" s="15" t="inlineStr">
        <is>
          <t>Active</t>
        </is>
      </c>
      <c r="H79" s="27" t="n"/>
      <c r="I79" s="20">
        <f>IF(OR($A79="",$G79&lt;&gt;"Active"),0,IF($H79&lt;&gt;"",$H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</f>
        <v/>
      </c>
      <c r="J79" s="23">
        <f>IF($C79="",0,IFERROR(INDEX(Deals!$H$2:$H$355,MATCH($C79,Deals!$A$2:$A$355,0)),0))</f>
        <v/>
      </c>
      <c r="K79" s="20">
        <f>IF(Settings!$B$4="Yes",$I79*$J79,$I79)</f>
        <v/>
      </c>
      <c r="L79" s="31">
        <f>IF($C79="","",IFERROR(IF(INDEX(Deals!$I$2:$I$355,MATCH($C79,Deals!$A$2:$A$355,0))=0,"",INDEX(Deals!$I$2:$I$355,MATCH($C79,Deals!$A$2:$A$355,0))),""))</f>
        <v/>
      </c>
      <c r="M79" s="31">
        <f>IF($C79="","",IFERROR(IF(INDEX(Deals!$J$2:$J$355,MATCH($C79,Deals!$A$2:$A$355,0))=0,"",INDEX(Deals!$J$2:$J$355,MATCH($C79,Deals!$A$2:$A$355,0))),""))</f>
        <v/>
      </c>
      <c r="N79" s="24">
        <f>IF($L79="",DATE(1900,1,1),$L79)</f>
        <v/>
      </c>
      <c r="O79" s="24">
        <f>IF($M79="",DATE(2100,12,31),$M79)</f>
        <v/>
      </c>
      <c r="P79" s="16" t="inlineStr"/>
      <c r="Q79" s="16" t="inlineStr"/>
      <c r="R79" s="29">
        <f>IF($C79="","",IFERROR(IF(INDEX(Deals!$U$2:$U$355,MATCH($C79,Deals!$A$2:$A$355,0))=0,"",INDEX(Deals!$U$2:$U$355,MATCH($C79,Deals!$A$2:$A$355,0))),""))</f>
        <v/>
      </c>
      <c r="S79" s="22">
        <f>IFERROR(IF($U79="",1,INDEX(Deals!$V$2:$V$355,MATCH($C79,Deals!$A$2:$A$355,0))),1)</f>
        <v/>
      </c>
      <c r="T79" s="22">
        <f>IFERROR(IF($U79="",1,INDEX(Deals!$W$2:$W$355,MATCH($C79,Deals!$A$2:$A$355,0))),1)</f>
        <v/>
      </c>
      <c r="U79" s="31">
        <f>IF($C79="","",IFERROR(IF(INDEX(Deals!$Y$2:$Y$355,MATCH($C79,Deals!$A$2:$A$355,0))=0,"",INDEX(Deals!$Y$2:$Y$355,MATCH($C79,Deals!$A$2:$A$355,0))),""))</f>
        <v/>
      </c>
      <c r="V79" s="24">
        <f>IF($U79="",DATE(1900,1,1),$N79)</f>
        <v/>
      </c>
      <c r="W79" s="24">
        <f>IF($U79="",DATE(2100,12,31),$U79)</f>
        <v/>
      </c>
      <c r="X79" s="20">
        <f>IF($U79="",$K79,$K79*$S79)</f>
        <v/>
      </c>
      <c r="Y79" s="24">
        <f>IF($U79="",DATE(2100,12,31),$U79+1)</f>
        <v/>
      </c>
      <c r="Z79" s="24">
        <f>IF($U79="",DATE(1900,1,1),$O79)</f>
        <v/>
      </c>
      <c r="AA79" s="20">
        <f>IF($U79="",0,$K79*$T79)</f>
        <v/>
      </c>
    </row>
    <row r="80">
      <c r="A80" s="15" t="inlineStr">
        <is>
          <t>John</t>
        </is>
      </c>
      <c r="B80" s="29">
        <f>IF($A80="","",IFERROR(INDEX(Roster!$B$2:$B$40,MATCH($A80,Roster!$A$2:$A$40,0)),"?"))</f>
        <v/>
      </c>
      <c r="C80" s="15" t="inlineStr">
        <is>
          <t>Railcar_1</t>
        </is>
      </c>
      <c r="D80" s="29">
        <f>IF($C80="","",IFERROR(IF(INDEX(Deals!$C$2:$C$355,MATCH($C80,Deals!$A$2:$A$355,0))=0,"",INDEX(Deals!$C$2:$C$355,MATCH($C80,Deals!$A$2:$A$355,0))),"?"))</f>
        <v/>
      </c>
      <c r="E80" s="29">
        <f>IF($C80="","",IFERROR(INDEX(Deals!$F$2:$F$355,MATCH($C80,Deals!$A$2:$A$355,0)),"?"))</f>
        <v/>
      </c>
      <c r="F80" s="15" t="inlineStr">
        <is>
          <t>Partner</t>
        </is>
      </c>
      <c r="G80" s="15" t="inlineStr">
        <is>
          <t>Active</t>
        </is>
      </c>
      <c r="H80" s="27" t="n"/>
      <c r="I80" s="20">
        <f>IF(OR($A80="",$G80&lt;&gt;"Active"),0,IF($H80&lt;&gt;"",$H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</f>
        <v/>
      </c>
      <c r="J80" s="23">
        <f>IF($C80="",0,IFERROR(INDEX(Deals!$H$2:$H$355,MATCH($C80,Deals!$A$2:$A$355,0)),0))</f>
        <v/>
      </c>
      <c r="K80" s="20">
        <f>IF(Settings!$B$4="Yes",$I80*$J80,$I80)</f>
        <v/>
      </c>
      <c r="L80" s="31">
        <f>IF($C80="","",IFERROR(IF(INDEX(Deals!$I$2:$I$355,MATCH($C80,Deals!$A$2:$A$355,0))=0,"",INDEX(Deals!$I$2:$I$355,MATCH($C80,Deals!$A$2:$A$355,0))),""))</f>
        <v/>
      </c>
      <c r="M80" s="31">
        <f>IF($C80="","",IFERROR(IF(INDEX(Deals!$J$2:$J$355,MATCH($C80,Deals!$A$2:$A$355,0))=0,"",INDEX(Deals!$J$2:$J$355,MATCH($C80,Deals!$A$2:$A$355,0))),""))</f>
        <v/>
      </c>
      <c r="N80" s="24">
        <f>IF($L80="",DATE(1900,1,1),$L80)</f>
        <v/>
      </c>
      <c r="O80" s="24">
        <f>IF($M80="",DATE(2100,12,31),$M80)</f>
        <v/>
      </c>
      <c r="P80" s="16" t="inlineStr"/>
      <c r="Q80" s="16" t="inlineStr"/>
      <c r="R80" s="29">
        <f>IF($C80="","",IFERROR(IF(INDEX(Deals!$U$2:$U$355,MATCH($C80,Deals!$A$2:$A$355,0))=0,"",INDEX(Deals!$U$2:$U$355,MATCH($C80,Deals!$A$2:$A$355,0))),""))</f>
        <v/>
      </c>
      <c r="S80" s="22">
        <f>IFERROR(IF($U80="",1,INDEX(Deals!$V$2:$V$355,MATCH($C80,Deals!$A$2:$A$355,0))),1)</f>
        <v/>
      </c>
      <c r="T80" s="22">
        <f>IFERROR(IF($U80="",1,INDEX(Deals!$W$2:$W$355,MATCH($C80,Deals!$A$2:$A$355,0))),1)</f>
        <v/>
      </c>
      <c r="U80" s="31">
        <f>IF($C80="","",IFERROR(IF(INDEX(Deals!$Y$2:$Y$355,MATCH($C80,Deals!$A$2:$A$355,0))=0,"",INDEX(Deals!$Y$2:$Y$355,MATCH($C80,Deals!$A$2:$A$355,0))),""))</f>
        <v/>
      </c>
      <c r="V80" s="24">
        <f>IF($U80="",DATE(1900,1,1),$N80)</f>
        <v/>
      </c>
      <c r="W80" s="24">
        <f>IF($U80="",DATE(2100,12,31),$U80)</f>
        <v/>
      </c>
      <c r="X80" s="20">
        <f>IF($U80="",$K80,$K80*$S80)</f>
        <v/>
      </c>
      <c r="Y80" s="24">
        <f>IF($U80="",DATE(2100,12,31),$U80+1)</f>
        <v/>
      </c>
      <c r="Z80" s="24">
        <f>IF($U80="",DATE(1900,1,1),$O80)</f>
        <v/>
      </c>
      <c r="AA80" s="20">
        <f>IF($U80="",0,$K80*$T80)</f>
        <v/>
      </c>
    </row>
    <row r="81">
      <c r="A81" s="15" t="inlineStr">
        <is>
          <t>John</t>
        </is>
      </c>
      <c r="B81" s="29">
        <f>IF($A81="","",IFERROR(INDEX(Roster!$B$2:$B$40,MATCH($A81,Roster!$A$2:$A$40,0)),"?"))</f>
        <v/>
      </c>
      <c r="C81" s="15" t="inlineStr">
        <is>
          <t>Rosa_1</t>
        </is>
      </c>
      <c r="D81" s="29">
        <f>IF($C81="","",IFERROR(IF(INDEX(Deals!$C$2:$C$355,MATCH($C81,Deals!$A$2:$A$355,0))=0,"",INDEX(Deals!$C$2:$C$355,MATCH($C81,Deals!$A$2:$A$355,0))),"?"))</f>
        <v/>
      </c>
      <c r="E81" s="29">
        <f>IF($C81="","",IFERROR(INDEX(Deals!$F$2:$F$355,MATCH($C81,Deals!$A$2:$A$355,0)),"?"))</f>
        <v/>
      </c>
      <c r="F81" s="15" t="inlineStr">
        <is>
          <t>Partner</t>
        </is>
      </c>
      <c r="G81" s="15" t="inlineStr">
        <is>
          <t>Active</t>
        </is>
      </c>
      <c r="H81" s="27" t="n"/>
      <c r="I81" s="20">
        <f>IF(OR($A81="",$G81&lt;&gt;"Active"),0,IF($H81&lt;&gt;"",$H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</f>
        <v/>
      </c>
      <c r="J81" s="23">
        <f>IF($C81="",0,IFERROR(INDEX(Deals!$H$2:$H$355,MATCH($C81,Deals!$A$2:$A$355,0)),0))</f>
        <v/>
      </c>
      <c r="K81" s="20">
        <f>IF(Settings!$B$4="Yes",$I81*$J81,$I81)</f>
        <v/>
      </c>
      <c r="L81" s="31">
        <f>IF($C81="","",IFERROR(IF(INDEX(Deals!$I$2:$I$355,MATCH($C81,Deals!$A$2:$A$355,0))=0,"",INDEX(Deals!$I$2:$I$355,MATCH($C81,Deals!$A$2:$A$355,0))),""))</f>
        <v/>
      </c>
      <c r="M81" s="31">
        <f>IF($C81="","",IFERROR(IF(INDEX(Deals!$J$2:$J$355,MATCH($C81,Deals!$A$2:$A$355,0))=0,"",INDEX(Deals!$J$2:$J$355,MATCH($C81,Deals!$A$2:$A$355,0))),""))</f>
        <v/>
      </c>
      <c r="N81" s="24">
        <f>IF($L81="",DATE(1900,1,1),$L81)</f>
        <v/>
      </c>
      <c r="O81" s="24">
        <f>IF($M81="",DATE(2100,12,31),$M81)</f>
        <v/>
      </c>
      <c r="P81" s="16" t="inlineStr"/>
      <c r="Q81" s="16" t="inlineStr"/>
      <c r="R81" s="29">
        <f>IF($C81="","",IFERROR(IF(INDEX(Deals!$U$2:$U$355,MATCH($C81,Deals!$A$2:$A$355,0))=0,"",INDEX(Deals!$U$2:$U$355,MATCH($C81,Deals!$A$2:$A$355,0))),""))</f>
        <v/>
      </c>
      <c r="S81" s="22">
        <f>IFERROR(IF($U81="",1,INDEX(Deals!$V$2:$V$355,MATCH($C81,Deals!$A$2:$A$355,0))),1)</f>
        <v/>
      </c>
      <c r="T81" s="22">
        <f>IFERROR(IF($U81="",1,INDEX(Deals!$W$2:$W$355,MATCH($C81,Deals!$A$2:$A$355,0))),1)</f>
        <v/>
      </c>
      <c r="U81" s="31">
        <f>IF($C81="","",IFERROR(IF(INDEX(Deals!$Y$2:$Y$355,MATCH($C81,Deals!$A$2:$A$355,0))=0,"",INDEX(Deals!$Y$2:$Y$355,MATCH($C81,Deals!$A$2:$A$355,0))),""))</f>
        <v/>
      </c>
      <c r="V81" s="24">
        <f>IF($U81="",DATE(1900,1,1),$N81)</f>
        <v/>
      </c>
      <c r="W81" s="24">
        <f>IF($U81="",DATE(2100,12,31),$U81)</f>
        <v/>
      </c>
      <c r="X81" s="20">
        <f>IF($U81="",$K81,$K81*$S81)</f>
        <v/>
      </c>
      <c r="Y81" s="24">
        <f>IF($U81="",DATE(2100,12,31),$U81+1)</f>
        <v/>
      </c>
      <c r="Z81" s="24">
        <f>IF($U81="",DATE(1900,1,1),$O81)</f>
        <v/>
      </c>
      <c r="AA81" s="20">
        <f>IF($U81="",0,$K81*$T81)</f>
        <v/>
      </c>
    </row>
    <row r="82">
      <c r="A82" s="15" t="inlineStr">
        <is>
          <t>John</t>
        </is>
      </c>
      <c r="B82" s="29">
        <f>IF($A82="","",IFERROR(INDEX(Roster!$B$2:$B$40,MATCH($A82,Roster!$A$2:$A$40,0)),"?"))</f>
        <v/>
      </c>
      <c r="C82" s="15" t="inlineStr">
        <is>
          <t>Rover_3</t>
        </is>
      </c>
      <c r="D82" s="29">
        <f>IF($C82="","",IFERROR(IF(INDEX(Deals!$C$2:$C$355,MATCH($C82,Deals!$A$2:$A$355,0))=0,"",INDEX(Deals!$C$2:$C$355,MATCH($C82,Deals!$A$2:$A$355,0))),"?"))</f>
        <v/>
      </c>
      <c r="E82" s="29">
        <f>IF($C82="","",IFERROR(INDEX(Deals!$F$2:$F$355,MATCH($C82,Deals!$A$2:$A$355,0)),"?"))</f>
        <v/>
      </c>
      <c r="F82" s="15" t="inlineStr">
        <is>
          <t>Partner</t>
        </is>
      </c>
      <c r="G82" s="15" t="inlineStr">
        <is>
          <t>Active</t>
        </is>
      </c>
      <c r="H82" s="27" t="n"/>
      <c r="I82" s="20">
        <f>IF(OR($A82="",$G82&lt;&gt;"Active"),0,IF($H82&lt;&gt;"",$H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</f>
        <v/>
      </c>
      <c r="J82" s="23">
        <f>IF($C82="",0,IFERROR(INDEX(Deals!$H$2:$H$355,MATCH($C82,Deals!$A$2:$A$355,0)),0))</f>
        <v/>
      </c>
      <c r="K82" s="20">
        <f>IF(Settings!$B$4="Yes",$I82*$J82,$I82)</f>
        <v/>
      </c>
      <c r="L82" s="31">
        <f>IF($C82="","",IFERROR(IF(INDEX(Deals!$I$2:$I$355,MATCH($C82,Deals!$A$2:$A$355,0))=0,"",INDEX(Deals!$I$2:$I$355,MATCH($C82,Deals!$A$2:$A$355,0))),""))</f>
        <v/>
      </c>
      <c r="M82" s="31">
        <f>IF($C82="","",IFERROR(IF(INDEX(Deals!$J$2:$J$355,MATCH($C82,Deals!$A$2:$A$355,0))=0,"",INDEX(Deals!$J$2:$J$355,MATCH($C82,Deals!$A$2:$A$355,0))),""))</f>
        <v/>
      </c>
      <c r="N82" s="24">
        <f>IF($L82="",DATE(1900,1,1),$L82)</f>
        <v/>
      </c>
      <c r="O82" s="24">
        <f>IF($M82="",DATE(2100,12,31),$M82)</f>
        <v/>
      </c>
      <c r="P82" s="16" t="inlineStr"/>
      <c r="Q82" s="16" t="inlineStr"/>
      <c r="R82" s="29">
        <f>IF($C82="","",IFERROR(IF(INDEX(Deals!$U$2:$U$355,MATCH($C82,Deals!$A$2:$A$355,0))=0,"",INDEX(Deals!$U$2:$U$355,MATCH($C82,Deals!$A$2:$A$355,0))),""))</f>
        <v/>
      </c>
      <c r="S82" s="22">
        <f>IFERROR(IF($U82="",1,INDEX(Deals!$V$2:$V$355,MATCH($C82,Deals!$A$2:$A$355,0))),1)</f>
        <v/>
      </c>
      <c r="T82" s="22">
        <f>IFERROR(IF($U82="",1,INDEX(Deals!$W$2:$W$355,MATCH($C82,Deals!$A$2:$A$355,0))),1)</f>
        <v/>
      </c>
      <c r="U82" s="31">
        <f>IF($C82="","",IFERROR(IF(INDEX(Deals!$Y$2:$Y$355,MATCH($C82,Deals!$A$2:$A$355,0))=0,"",INDEX(Deals!$Y$2:$Y$355,MATCH($C82,Deals!$A$2:$A$355,0))),""))</f>
        <v/>
      </c>
      <c r="V82" s="24">
        <f>IF($U82="",DATE(1900,1,1),$N82)</f>
        <v/>
      </c>
      <c r="W82" s="24">
        <f>IF($U82="",DATE(2100,12,31),$U82)</f>
        <v/>
      </c>
      <c r="X82" s="20">
        <f>IF($U82="",$K82,$K82*$S82)</f>
        <v/>
      </c>
      <c r="Y82" s="24">
        <f>IF($U82="",DATE(2100,12,31),$U82+1)</f>
        <v/>
      </c>
      <c r="Z82" s="24">
        <f>IF($U82="",DATE(1900,1,1),$O82)</f>
        <v/>
      </c>
      <c r="AA82" s="20">
        <f>IF($U82="",0,$K82*$T82)</f>
        <v/>
      </c>
    </row>
    <row r="83">
      <c r="A83" s="15" t="inlineStr">
        <is>
          <t>John</t>
        </is>
      </c>
      <c r="B83" s="29">
        <f>IF($A83="","",IFERROR(INDEX(Roster!$B$2:$B$40,MATCH($A83,Roster!$A$2:$A$40,0)),"?"))</f>
        <v/>
      </c>
      <c r="C83" s="15" t="inlineStr">
        <is>
          <t>Scion_1</t>
        </is>
      </c>
      <c r="D83" s="29">
        <f>IF($C83="","",IFERROR(IF(INDEX(Deals!$C$2:$C$355,MATCH($C83,Deals!$A$2:$A$355,0))=0,"",INDEX(Deals!$C$2:$C$355,MATCH($C83,Deals!$A$2:$A$355,0))),"?"))</f>
        <v/>
      </c>
      <c r="E83" s="29">
        <f>IF($C83="","",IFERROR(INDEX(Deals!$F$2:$F$355,MATCH($C83,Deals!$A$2:$A$355,0)),"?"))</f>
        <v/>
      </c>
      <c r="F83" s="15" t="inlineStr">
        <is>
          <t>Partner</t>
        </is>
      </c>
      <c r="G83" s="15" t="inlineStr">
        <is>
          <t>Active</t>
        </is>
      </c>
      <c r="H83" s="27" t="n"/>
      <c r="I83" s="20">
        <f>IF(OR($A83="",$G83&lt;&gt;"Active"),0,IF($H83&lt;&gt;"",$H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</f>
        <v/>
      </c>
      <c r="J83" s="23">
        <f>IF($C83="",0,IFERROR(INDEX(Deals!$H$2:$H$355,MATCH($C83,Deals!$A$2:$A$355,0)),0))</f>
        <v/>
      </c>
      <c r="K83" s="20">
        <f>IF(Settings!$B$4="Yes",$I83*$J83,$I83)</f>
        <v/>
      </c>
      <c r="L83" s="31">
        <f>IF($C83="","",IFERROR(IF(INDEX(Deals!$I$2:$I$355,MATCH($C83,Deals!$A$2:$A$355,0))=0,"",INDEX(Deals!$I$2:$I$355,MATCH($C83,Deals!$A$2:$A$355,0))),""))</f>
        <v/>
      </c>
      <c r="M83" s="31">
        <f>IF($C83="","",IFERROR(IF(INDEX(Deals!$J$2:$J$355,MATCH($C83,Deals!$A$2:$A$355,0))=0,"",INDEX(Deals!$J$2:$J$355,MATCH($C83,Deals!$A$2:$A$355,0))),""))</f>
        <v/>
      </c>
      <c r="N83" s="24">
        <f>IF($L83="",DATE(1900,1,1),$L83)</f>
        <v/>
      </c>
      <c r="O83" s="24">
        <f>IF($M83="",DATE(2100,12,31),$M83)</f>
        <v/>
      </c>
      <c r="P83" s="16" t="inlineStr"/>
      <c r="Q83" s="16" t="inlineStr"/>
      <c r="R83" s="29">
        <f>IF($C83="","",IFERROR(IF(INDEX(Deals!$U$2:$U$355,MATCH($C83,Deals!$A$2:$A$355,0))=0,"",INDEX(Deals!$U$2:$U$355,MATCH($C83,Deals!$A$2:$A$355,0))),""))</f>
        <v/>
      </c>
      <c r="S83" s="22">
        <f>IFERROR(IF($U83="",1,INDEX(Deals!$V$2:$V$355,MATCH($C83,Deals!$A$2:$A$355,0))),1)</f>
        <v/>
      </c>
      <c r="T83" s="22">
        <f>IFERROR(IF($U83="",1,INDEX(Deals!$W$2:$W$355,MATCH($C83,Deals!$A$2:$A$355,0))),1)</f>
        <v/>
      </c>
      <c r="U83" s="31">
        <f>IF($C83="","",IFERROR(IF(INDEX(Deals!$Y$2:$Y$355,MATCH($C83,Deals!$A$2:$A$355,0))=0,"",INDEX(Deals!$Y$2:$Y$355,MATCH($C83,Deals!$A$2:$A$355,0))),""))</f>
        <v/>
      </c>
      <c r="V83" s="24">
        <f>IF($U83="",DATE(1900,1,1),$N83)</f>
        <v/>
      </c>
      <c r="W83" s="24">
        <f>IF($U83="",DATE(2100,12,31),$U83)</f>
        <v/>
      </c>
      <c r="X83" s="20">
        <f>IF($U83="",$K83,$K83*$S83)</f>
        <v/>
      </c>
      <c r="Y83" s="24">
        <f>IF($U83="",DATE(2100,12,31),$U83+1)</f>
        <v/>
      </c>
      <c r="Z83" s="24">
        <f>IF($U83="",DATE(1900,1,1),$O83)</f>
        <v/>
      </c>
      <c r="AA83" s="20">
        <f>IF($U83="",0,$K83*$T83)</f>
        <v/>
      </c>
    </row>
    <row r="84">
      <c r="A84" s="15" t="inlineStr">
        <is>
          <t>John</t>
        </is>
      </c>
      <c r="B84" s="29">
        <f>IF($A84="","",IFERROR(INDEX(Roster!$B$2:$B$40,MATCH($A84,Roster!$A$2:$A$40,0)),"?"))</f>
        <v/>
      </c>
      <c r="C84" s="15" t="inlineStr">
        <is>
          <t>Sunrise_5</t>
        </is>
      </c>
      <c r="D84" s="29">
        <f>IF($C84="","",IFERROR(IF(INDEX(Deals!$C$2:$C$355,MATCH($C84,Deals!$A$2:$A$355,0))=0,"",INDEX(Deals!$C$2:$C$355,MATCH($C84,Deals!$A$2:$A$355,0))),"?"))</f>
        <v/>
      </c>
      <c r="E84" s="29">
        <f>IF($C84="","",IFERROR(INDEX(Deals!$F$2:$F$355,MATCH($C84,Deals!$A$2:$A$355,0)),"?"))</f>
        <v/>
      </c>
      <c r="F84" s="15" t="inlineStr">
        <is>
          <t>Partner</t>
        </is>
      </c>
      <c r="G84" s="15" t="inlineStr">
        <is>
          <t>Active</t>
        </is>
      </c>
      <c r="H84" s="27" t="n"/>
      <c r="I84" s="20">
        <f>IF(OR($A84="",$G84&lt;&gt;"Active"),0,IF($H84&lt;&gt;"",$H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</f>
        <v/>
      </c>
      <c r="J84" s="23">
        <f>IF($C84="",0,IFERROR(INDEX(Deals!$H$2:$H$355,MATCH($C84,Deals!$A$2:$A$355,0)),0))</f>
        <v/>
      </c>
      <c r="K84" s="20">
        <f>IF(Settings!$B$4="Yes",$I84*$J84,$I84)</f>
        <v/>
      </c>
      <c r="L84" s="31">
        <f>IF($C84="","",IFERROR(IF(INDEX(Deals!$I$2:$I$355,MATCH($C84,Deals!$A$2:$A$355,0))=0,"",INDEX(Deals!$I$2:$I$355,MATCH($C84,Deals!$A$2:$A$355,0))),""))</f>
        <v/>
      </c>
      <c r="M84" s="31">
        <f>IF($C84="","",IFERROR(IF(INDEX(Deals!$J$2:$J$355,MATCH($C84,Deals!$A$2:$A$355,0))=0,"",INDEX(Deals!$J$2:$J$355,MATCH($C84,Deals!$A$2:$A$355,0))),""))</f>
        <v/>
      </c>
      <c r="N84" s="24">
        <f>IF($L84="",DATE(1900,1,1),$L84)</f>
        <v/>
      </c>
      <c r="O84" s="24">
        <f>IF($M84="",DATE(2100,12,31),$M84)</f>
        <v/>
      </c>
      <c r="P84" s="16" t="inlineStr"/>
      <c r="Q84" s="16" t="inlineStr"/>
      <c r="R84" s="29">
        <f>IF($C84="","",IFERROR(IF(INDEX(Deals!$U$2:$U$355,MATCH($C84,Deals!$A$2:$A$355,0))=0,"",INDEX(Deals!$U$2:$U$355,MATCH($C84,Deals!$A$2:$A$355,0))),""))</f>
        <v/>
      </c>
      <c r="S84" s="22">
        <f>IFERROR(IF($U84="",1,INDEX(Deals!$V$2:$V$355,MATCH($C84,Deals!$A$2:$A$355,0))),1)</f>
        <v/>
      </c>
      <c r="T84" s="22">
        <f>IFERROR(IF($U84="",1,INDEX(Deals!$W$2:$W$355,MATCH($C84,Deals!$A$2:$A$355,0))),1)</f>
        <v/>
      </c>
      <c r="U84" s="31">
        <f>IF($C84="","",IFERROR(IF(INDEX(Deals!$Y$2:$Y$355,MATCH($C84,Deals!$A$2:$A$355,0))=0,"",INDEX(Deals!$Y$2:$Y$355,MATCH($C84,Deals!$A$2:$A$355,0))),""))</f>
        <v/>
      </c>
      <c r="V84" s="24">
        <f>IF($U84="",DATE(1900,1,1),$N84)</f>
        <v/>
      </c>
      <c r="W84" s="24">
        <f>IF($U84="",DATE(2100,12,31),$U84)</f>
        <v/>
      </c>
      <c r="X84" s="20">
        <f>IF($U84="",$K84,$K84*$S84)</f>
        <v/>
      </c>
      <c r="Y84" s="24">
        <f>IF($U84="",DATE(2100,12,31),$U84+1)</f>
        <v/>
      </c>
      <c r="Z84" s="24">
        <f>IF($U84="",DATE(1900,1,1),$O84)</f>
        <v/>
      </c>
      <c r="AA84" s="20">
        <f>IF($U84="",0,$K84*$T84)</f>
        <v/>
      </c>
    </row>
    <row r="85">
      <c r="A85" s="15" t="inlineStr">
        <is>
          <t>John</t>
        </is>
      </c>
      <c r="B85" s="29">
        <f>IF($A85="","",IFERROR(INDEX(Roster!$B$2:$B$40,MATCH($A85,Roster!$A$2:$A$40,0)),"?"))</f>
        <v/>
      </c>
      <c r="C85" s="15" t="inlineStr">
        <is>
          <t>Sunshine_4</t>
        </is>
      </c>
      <c r="D85" s="29">
        <f>IF($C85="","",IFERROR(IF(INDEX(Deals!$C$2:$C$355,MATCH($C85,Deals!$A$2:$A$355,0))=0,"",INDEX(Deals!$C$2:$C$355,MATCH($C85,Deals!$A$2:$A$355,0))),"?"))</f>
        <v/>
      </c>
      <c r="E85" s="29">
        <f>IF($C85="","",IFERROR(INDEX(Deals!$F$2:$F$355,MATCH($C85,Deals!$A$2:$A$355,0)),"?"))</f>
        <v/>
      </c>
      <c r="F85" s="15" t="inlineStr">
        <is>
          <t>Partner</t>
        </is>
      </c>
      <c r="G85" s="15" t="inlineStr">
        <is>
          <t>Active</t>
        </is>
      </c>
      <c r="H85" s="27" t="n"/>
      <c r="I85" s="20">
        <f>IF(OR($A85="",$G85&lt;&gt;"Active"),0,IF($H85&lt;&gt;"",$H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</f>
        <v/>
      </c>
      <c r="J85" s="23">
        <f>IF($C85="",0,IFERROR(INDEX(Deals!$H$2:$H$355,MATCH($C85,Deals!$A$2:$A$355,0)),0))</f>
        <v/>
      </c>
      <c r="K85" s="20">
        <f>IF(Settings!$B$4="Yes",$I85*$J85,$I85)</f>
        <v/>
      </c>
      <c r="L85" s="31">
        <f>IF($C85="","",IFERROR(IF(INDEX(Deals!$I$2:$I$355,MATCH($C85,Deals!$A$2:$A$355,0))=0,"",INDEX(Deals!$I$2:$I$355,MATCH($C85,Deals!$A$2:$A$355,0))),""))</f>
        <v/>
      </c>
      <c r="M85" s="31">
        <f>IF($C85="","",IFERROR(IF(INDEX(Deals!$J$2:$J$355,MATCH($C85,Deals!$A$2:$A$355,0))=0,"",INDEX(Deals!$J$2:$J$355,MATCH($C85,Deals!$A$2:$A$355,0))),""))</f>
        <v/>
      </c>
      <c r="N85" s="24">
        <f>IF($L85="",DATE(1900,1,1),$L85)</f>
        <v/>
      </c>
      <c r="O85" s="24">
        <f>IF($M85="",DATE(2100,12,31),$M85)</f>
        <v/>
      </c>
      <c r="P85" s="16" t="inlineStr"/>
      <c r="Q85" s="16" t="inlineStr"/>
      <c r="R85" s="29">
        <f>IF($C85="","",IFERROR(IF(INDEX(Deals!$U$2:$U$355,MATCH($C85,Deals!$A$2:$A$355,0))=0,"",INDEX(Deals!$U$2:$U$355,MATCH($C85,Deals!$A$2:$A$355,0))),""))</f>
        <v/>
      </c>
      <c r="S85" s="22">
        <f>IFERROR(IF($U85="",1,INDEX(Deals!$V$2:$V$355,MATCH($C85,Deals!$A$2:$A$355,0))),1)</f>
        <v/>
      </c>
      <c r="T85" s="22">
        <f>IFERROR(IF($U85="",1,INDEX(Deals!$W$2:$W$355,MATCH($C85,Deals!$A$2:$A$355,0))),1)</f>
        <v/>
      </c>
      <c r="U85" s="31">
        <f>IF($C85="","",IFERROR(IF(INDEX(Deals!$Y$2:$Y$355,MATCH($C85,Deals!$A$2:$A$355,0))=0,"",INDEX(Deals!$Y$2:$Y$355,MATCH($C85,Deals!$A$2:$A$355,0))),""))</f>
        <v/>
      </c>
      <c r="V85" s="24">
        <f>IF($U85="",DATE(1900,1,1),$N85)</f>
        <v/>
      </c>
      <c r="W85" s="24">
        <f>IF($U85="",DATE(2100,12,31),$U85)</f>
        <v/>
      </c>
      <c r="X85" s="20">
        <f>IF($U85="",$K85,$K85*$S85)</f>
        <v/>
      </c>
      <c r="Y85" s="24">
        <f>IF($U85="",DATE(2100,12,31),$U85+1)</f>
        <v/>
      </c>
      <c r="Z85" s="24">
        <f>IF($U85="",DATE(1900,1,1),$O85)</f>
        <v/>
      </c>
      <c r="AA85" s="20">
        <f>IF($U85="",0,$K85*$T85)</f>
        <v/>
      </c>
    </row>
    <row r="86">
      <c r="A86" s="15" t="inlineStr">
        <is>
          <t>John</t>
        </is>
      </c>
      <c r="B86" s="29">
        <f>IF($A86="","",IFERROR(INDEX(Roster!$B$2:$B$40,MATCH($A86,Roster!$A$2:$A$40,0)),"?"))</f>
        <v/>
      </c>
      <c r="C86" s="15" t="inlineStr">
        <is>
          <t>Ursa_1</t>
        </is>
      </c>
      <c r="D86" s="29">
        <f>IF($C86="","",IFERROR(IF(INDEX(Deals!$C$2:$C$355,MATCH($C86,Deals!$A$2:$A$355,0))=0,"",INDEX(Deals!$C$2:$C$355,MATCH($C86,Deals!$A$2:$A$355,0))),"?"))</f>
        <v/>
      </c>
      <c r="E86" s="29">
        <f>IF($C86="","",IFERROR(INDEX(Deals!$F$2:$F$355,MATCH($C86,Deals!$A$2:$A$355,0)),"?"))</f>
        <v/>
      </c>
      <c r="F86" s="15" t="inlineStr">
        <is>
          <t>Partner</t>
        </is>
      </c>
      <c r="G86" s="15" t="inlineStr">
        <is>
          <t>Active</t>
        </is>
      </c>
      <c r="H86" s="27" t="n"/>
      <c r="I86" s="20">
        <f>IF(OR($A86="",$G86&lt;&gt;"Active"),0,IF($H86&lt;&gt;"",$H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</f>
        <v/>
      </c>
      <c r="J86" s="23">
        <f>IF($C86="",0,IFERROR(INDEX(Deals!$H$2:$H$355,MATCH($C86,Deals!$A$2:$A$355,0)),0))</f>
        <v/>
      </c>
      <c r="K86" s="20">
        <f>IF(Settings!$B$4="Yes",$I86*$J86,$I86)</f>
        <v/>
      </c>
      <c r="L86" s="31">
        <f>IF($C86="","",IFERROR(IF(INDEX(Deals!$I$2:$I$355,MATCH($C86,Deals!$A$2:$A$355,0))=0,"",INDEX(Deals!$I$2:$I$355,MATCH($C86,Deals!$A$2:$A$355,0))),""))</f>
        <v/>
      </c>
      <c r="M86" s="31">
        <f>IF($C86="","",IFERROR(IF(INDEX(Deals!$J$2:$J$355,MATCH($C86,Deals!$A$2:$A$355,0))=0,"",INDEX(Deals!$J$2:$J$355,MATCH($C86,Deals!$A$2:$A$355,0))),""))</f>
        <v/>
      </c>
      <c r="N86" s="24">
        <f>IF($L86="",DATE(1900,1,1),$L86)</f>
        <v/>
      </c>
      <c r="O86" s="24">
        <f>IF($M86="",DATE(2100,12,31),$M86)</f>
        <v/>
      </c>
      <c r="P86" s="16" t="inlineStr"/>
      <c r="Q86" s="16" t="inlineStr"/>
      <c r="R86" s="29">
        <f>IF($C86="","",IFERROR(IF(INDEX(Deals!$U$2:$U$355,MATCH($C86,Deals!$A$2:$A$355,0))=0,"",INDEX(Deals!$U$2:$U$355,MATCH($C86,Deals!$A$2:$A$355,0))),""))</f>
        <v/>
      </c>
      <c r="S86" s="22">
        <f>IFERROR(IF($U86="",1,INDEX(Deals!$V$2:$V$355,MATCH($C86,Deals!$A$2:$A$355,0))),1)</f>
        <v/>
      </c>
      <c r="T86" s="22">
        <f>IFERROR(IF($U86="",1,INDEX(Deals!$W$2:$W$355,MATCH($C86,Deals!$A$2:$A$355,0))),1)</f>
        <v/>
      </c>
      <c r="U86" s="31">
        <f>IF($C86="","",IFERROR(IF(INDEX(Deals!$Y$2:$Y$355,MATCH($C86,Deals!$A$2:$A$355,0))=0,"",INDEX(Deals!$Y$2:$Y$355,MATCH($C86,Deals!$A$2:$A$355,0))),""))</f>
        <v/>
      </c>
      <c r="V86" s="24">
        <f>IF($U86="",DATE(1900,1,1),$N86)</f>
        <v/>
      </c>
      <c r="W86" s="24">
        <f>IF($U86="",DATE(2100,12,31),$U86)</f>
        <v/>
      </c>
      <c r="X86" s="20">
        <f>IF($U86="",$K86,$K86*$S86)</f>
        <v/>
      </c>
      <c r="Y86" s="24">
        <f>IF($U86="",DATE(2100,12,31),$U86+1)</f>
        <v/>
      </c>
      <c r="Z86" s="24">
        <f>IF($U86="",DATE(1900,1,1),$O86)</f>
        <v/>
      </c>
      <c r="AA86" s="20">
        <f>IF($U86="",0,$K86*$T86)</f>
        <v/>
      </c>
    </row>
    <row r="87">
      <c r="A87" s="15" t="inlineStr">
        <is>
          <t>John</t>
        </is>
      </c>
      <c r="B87" s="29">
        <f>IF($A87="","",IFERROR(INDEX(Roster!$B$2:$B$40,MATCH($A87,Roster!$A$2:$A$40,0)),"?"))</f>
        <v/>
      </c>
      <c r="C87" s="15" t="inlineStr">
        <is>
          <t>ValorC3_1</t>
        </is>
      </c>
      <c r="D87" s="29">
        <f>IF($C87="","",IFERROR(IF(INDEX(Deals!$C$2:$C$355,MATCH($C87,Deals!$A$2:$A$355,0))=0,"",INDEX(Deals!$C$2:$C$355,MATCH($C87,Deals!$A$2:$A$355,0))),"?"))</f>
        <v/>
      </c>
      <c r="E87" s="29">
        <f>IF($C87="","",IFERROR(INDEX(Deals!$F$2:$F$355,MATCH($C87,Deals!$A$2:$A$355,0)),"?"))</f>
        <v/>
      </c>
      <c r="F87" s="15" t="inlineStr">
        <is>
          <t>Partner</t>
        </is>
      </c>
      <c r="G87" s="15" t="inlineStr">
        <is>
          <t>Active</t>
        </is>
      </c>
      <c r="H87" s="27" t="n"/>
      <c r="I87" s="20">
        <f>IF(OR($A87="",$G87&lt;&gt;"Active"),0,IF($H87&lt;&gt;"",$H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</f>
        <v/>
      </c>
      <c r="J87" s="23">
        <f>IF($C87="",0,IFERROR(INDEX(Deals!$H$2:$H$355,MATCH($C87,Deals!$A$2:$A$355,0)),0))</f>
        <v/>
      </c>
      <c r="K87" s="20">
        <f>IF(Settings!$B$4="Yes",$I87*$J87,$I87)</f>
        <v/>
      </c>
      <c r="L87" s="31">
        <f>IF($C87="","",IFERROR(IF(INDEX(Deals!$I$2:$I$355,MATCH($C87,Deals!$A$2:$A$355,0))=0,"",INDEX(Deals!$I$2:$I$355,MATCH($C87,Deals!$A$2:$A$355,0))),""))</f>
        <v/>
      </c>
      <c r="M87" s="31">
        <f>IF($C87="","",IFERROR(IF(INDEX(Deals!$J$2:$J$355,MATCH($C87,Deals!$A$2:$A$355,0))=0,"",INDEX(Deals!$J$2:$J$355,MATCH($C87,Deals!$A$2:$A$355,0))),""))</f>
        <v/>
      </c>
      <c r="N87" s="24">
        <f>IF($L87="",DATE(1900,1,1),$L87)</f>
        <v/>
      </c>
      <c r="O87" s="24">
        <f>IF($M87="",DATE(2100,12,31),$M87)</f>
        <v/>
      </c>
      <c r="P87" s="16" t="inlineStr"/>
      <c r="Q87" s="16" t="inlineStr"/>
      <c r="R87" s="29">
        <f>IF($C87="","",IFERROR(IF(INDEX(Deals!$U$2:$U$355,MATCH($C87,Deals!$A$2:$A$355,0))=0,"",INDEX(Deals!$U$2:$U$355,MATCH($C87,Deals!$A$2:$A$355,0))),""))</f>
        <v/>
      </c>
      <c r="S87" s="22">
        <f>IFERROR(IF($U87="",1,INDEX(Deals!$V$2:$V$355,MATCH($C87,Deals!$A$2:$A$355,0))),1)</f>
        <v/>
      </c>
      <c r="T87" s="22">
        <f>IFERROR(IF($U87="",1,INDEX(Deals!$W$2:$W$355,MATCH($C87,Deals!$A$2:$A$355,0))),1)</f>
        <v/>
      </c>
      <c r="U87" s="31">
        <f>IF($C87="","",IFERROR(IF(INDEX(Deals!$Y$2:$Y$355,MATCH($C87,Deals!$A$2:$A$355,0))=0,"",INDEX(Deals!$Y$2:$Y$355,MATCH($C87,Deals!$A$2:$A$355,0))),""))</f>
        <v/>
      </c>
      <c r="V87" s="24">
        <f>IF($U87="",DATE(1900,1,1),$N87)</f>
        <v/>
      </c>
      <c r="W87" s="24">
        <f>IF($U87="",DATE(2100,12,31),$U87)</f>
        <v/>
      </c>
      <c r="X87" s="20">
        <f>IF($U87="",$K87,$K87*$S87)</f>
        <v/>
      </c>
      <c r="Y87" s="24">
        <f>IF($U87="",DATE(2100,12,31),$U87+1)</f>
        <v/>
      </c>
      <c r="Z87" s="24">
        <f>IF($U87="",DATE(1900,1,1),$O87)</f>
        <v/>
      </c>
      <c r="AA87" s="20">
        <f>IF($U87="",0,$K87*$T87)</f>
        <v/>
      </c>
    </row>
    <row r="88">
      <c r="A88" s="15" t="inlineStr">
        <is>
          <t>John</t>
        </is>
      </c>
      <c r="B88" s="29">
        <f>IF($A88="","",IFERROR(INDEX(Roster!$B$2:$B$40,MATCH($A88,Roster!$A$2:$A$40,0)),"?"))</f>
        <v/>
      </c>
      <c r="C88" s="15" t="inlineStr">
        <is>
          <t>Voyager_1</t>
        </is>
      </c>
      <c r="D88" s="29">
        <f>IF($C88="","",IFERROR(IF(INDEX(Deals!$C$2:$C$355,MATCH($C88,Deals!$A$2:$A$355,0))=0,"",INDEX(Deals!$C$2:$C$355,MATCH($C88,Deals!$A$2:$A$355,0))),"?"))</f>
        <v/>
      </c>
      <c r="E88" s="29">
        <f>IF($C88="","",IFERROR(INDEX(Deals!$F$2:$F$355,MATCH($C88,Deals!$A$2:$A$355,0)),"?"))</f>
        <v/>
      </c>
      <c r="F88" s="15" t="inlineStr">
        <is>
          <t>Partner</t>
        </is>
      </c>
      <c r="G88" s="15" t="inlineStr">
        <is>
          <t>Active</t>
        </is>
      </c>
      <c r="H88" s="27" t="n"/>
      <c r="I88" s="20">
        <f>IF(OR($A88="",$G88&lt;&gt;"Active"),0,IF($H88&lt;&gt;"",$H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</f>
        <v/>
      </c>
      <c r="J88" s="23">
        <f>IF($C88="",0,IFERROR(INDEX(Deals!$H$2:$H$355,MATCH($C88,Deals!$A$2:$A$355,0)),0))</f>
        <v/>
      </c>
      <c r="K88" s="20">
        <f>IF(Settings!$B$4="Yes",$I88*$J88,$I88)</f>
        <v/>
      </c>
      <c r="L88" s="31">
        <f>IF($C88="","",IFERROR(IF(INDEX(Deals!$I$2:$I$355,MATCH($C88,Deals!$A$2:$A$355,0))=0,"",INDEX(Deals!$I$2:$I$355,MATCH($C88,Deals!$A$2:$A$355,0))),""))</f>
        <v/>
      </c>
      <c r="M88" s="31">
        <f>IF($C88="","",IFERROR(IF(INDEX(Deals!$J$2:$J$355,MATCH($C88,Deals!$A$2:$A$355,0))=0,"",INDEX(Deals!$J$2:$J$355,MATCH($C88,Deals!$A$2:$A$355,0))),""))</f>
        <v/>
      </c>
      <c r="N88" s="24">
        <f>IF($L88="",DATE(1900,1,1),$L88)</f>
        <v/>
      </c>
      <c r="O88" s="24">
        <f>IF($M88="",DATE(2100,12,31),$M88)</f>
        <v/>
      </c>
      <c r="P88" s="16" t="inlineStr"/>
      <c r="Q88" s="16" t="inlineStr"/>
      <c r="R88" s="29">
        <f>IF($C88="","",IFERROR(IF(INDEX(Deals!$U$2:$U$355,MATCH($C88,Deals!$A$2:$A$355,0))=0,"",INDEX(Deals!$U$2:$U$355,MATCH($C88,Deals!$A$2:$A$355,0))),""))</f>
        <v/>
      </c>
      <c r="S88" s="22">
        <f>IFERROR(IF($U88="",1,INDEX(Deals!$V$2:$V$355,MATCH($C88,Deals!$A$2:$A$355,0))),1)</f>
        <v/>
      </c>
      <c r="T88" s="22">
        <f>IFERROR(IF($U88="",1,INDEX(Deals!$W$2:$W$355,MATCH($C88,Deals!$A$2:$A$355,0))),1)</f>
        <v/>
      </c>
      <c r="U88" s="31">
        <f>IF($C88="","",IFERROR(IF(INDEX(Deals!$Y$2:$Y$355,MATCH($C88,Deals!$A$2:$A$355,0))=0,"",INDEX(Deals!$Y$2:$Y$355,MATCH($C88,Deals!$A$2:$A$355,0))),""))</f>
        <v/>
      </c>
      <c r="V88" s="24">
        <f>IF($U88="",DATE(1900,1,1),$N88)</f>
        <v/>
      </c>
      <c r="W88" s="24">
        <f>IF($U88="",DATE(2100,12,31),$U88)</f>
        <v/>
      </c>
      <c r="X88" s="20">
        <f>IF($U88="",$K88,$K88*$S88)</f>
        <v/>
      </c>
      <c r="Y88" s="24">
        <f>IF($U88="",DATE(2100,12,31),$U88+1)</f>
        <v/>
      </c>
      <c r="Z88" s="24">
        <f>IF($U88="",DATE(1900,1,1),$O88)</f>
        <v/>
      </c>
      <c r="AA88" s="20">
        <f>IF($U88="",0,$K88*$T88)</f>
        <v/>
      </c>
    </row>
    <row r="89">
      <c r="A89" s="15" t="inlineStr">
        <is>
          <t>John</t>
        </is>
      </c>
      <c r="B89" s="29">
        <f>IF($A89="","",IFERROR(INDEX(Roster!$B$2:$B$40,MATCH($A89,Roster!$A$2:$A$40,0)),"?"))</f>
        <v/>
      </c>
      <c r="C89" s="15" t="inlineStr">
        <is>
          <t>Zora_1</t>
        </is>
      </c>
      <c r="D89" s="29">
        <f>IF($C89="","",IFERROR(IF(INDEX(Deals!$C$2:$C$355,MATCH($C89,Deals!$A$2:$A$355,0))=0,"",INDEX(Deals!$C$2:$C$355,MATCH($C89,Deals!$A$2:$A$355,0))),"?"))</f>
        <v/>
      </c>
      <c r="E89" s="29">
        <f>IF($C89="","",IFERROR(INDEX(Deals!$F$2:$F$355,MATCH($C89,Deals!$A$2:$A$355,0)),"?"))</f>
        <v/>
      </c>
      <c r="F89" s="15" t="inlineStr">
        <is>
          <t>Partner</t>
        </is>
      </c>
      <c r="G89" s="15" t="inlineStr">
        <is>
          <t>Active</t>
        </is>
      </c>
      <c r="H89" s="27" t="n"/>
      <c r="I89" s="20">
        <f>IF(OR($A89="",$G89&lt;&gt;"Active"),0,IF($H89&lt;&gt;"",$H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</f>
        <v/>
      </c>
      <c r="J89" s="23">
        <f>IF($C89="",0,IFERROR(INDEX(Deals!$H$2:$H$355,MATCH($C89,Deals!$A$2:$A$355,0)),0))</f>
        <v/>
      </c>
      <c r="K89" s="20">
        <f>IF(Settings!$B$4="Yes",$I89*$J89,$I89)</f>
        <v/>
      </c>
      <c r="L89" s="31">
        <f>IF($C89="","",IFERROR(IF(INDEX(Deals!$I$2:$I$355,MATCH($C89,Deals!$A$2:$A$355,0))=0,"",INDEX(Deals!$I$2:$I$355,MATCH($C89,Deals!$A$2:$A$355,0))),""))</f>
        <v/>
      </c>
      <c r="M89" s="31">
        <f>IF($C89="","",IFERROR(IF(INDEX(Deals!$J$2:$J$355,MATCH($C89,Deals!$A$2:$A$355,0))=0,"",INDEX(Deals!$J$2:$J$355,MATCH($C89,Deals!$A$2:$A$355,0))),""))</f>
        <v/>
      </c>
      <c r="N89" s="24">
        <f>IF($L89="",DATE(1900,1,1),$L89)</f>
        <v/>
      </c>
      <c r="O89" s="24">
        <f>IF($M89="",DATE(2100,12,31),$M89)</f>
        <v/>
      </c>
      <c r="P89" s="16" t="inlineStr"/>
      <c r="Q89" s="16" t="inlineStr"/>
      <c r="R89" s="29">
        <f>IF($C89="","",IFERROR(IF(INDEX(Deals!$U$2:$U$355,MATCH($C89,Deals!$A$2:$A$355,0))=0,"",INDEX(Deals!$U$2:$U$355,MATCH($C89,Deals!$A$2:$A$355,0))),""))</f>
        <v/>
      </c>
      <c r="S89" s="22">
        <f>IFERROR(IF($U89="",1,INDEX(Deals!$V$2:$V$355,MATCH($C89,Deals!$A$2:$A$355,0))),1)</f>
        <v/>
      </c>
      <c r="T89" s="22">
        <f>IFERROR(IF($U89="",1,INDEX(Deals!$W$2:$W$355,MATCH($C89,Deals!$A$2:$A$355,0))),1)</f>
        <v/>
      </c>
      <c r="U89" s="31">
        <f>IF($C89="","",IFERROR(IF(INDEX(Deals!$Y$2:$Y$355,MATCH($C89,Deals!$A$2:$A$355,0))=0,"",INDEX(Deals!$Y$2:$Y$355,MATCH($C89,Deals!$A$2:$A$355,0))),""))</f>
        <v/>
      </c>
      <c r="V89" s="24">
        <f>IF($U89="",DATE(1900,1,1),$N89)</f>
        <v/>
      </c>
      <c r="W89" s="24">
        <f>IF($U89="",DATE(2100,12,31),$U89)</f>
        <v/>
      </c>
      <c r="X89" s="20">
        <f>IF($U89="",$K89,$K89*$S89)</f>
        <v/>
      </c>
      <c r="Y89" s="24">
        <f>IF($U89="",DATE(2100,12,31),$U89+1)</f>
        <v/>
      </c>
      <c r="Z89" s="24">
        <f>IF($U89="",DATE(1900,1,1),$O89)</f>
        <v/>
      </c>
      <c r="AA89" s="20">
        <f>IF($U89="",0,$K89*$T89)</f>
        <v/>
      </c>
    </row>
    <row r="90">
      <c r="A90" s="15" t="inlineStr">
        <is>
          <t>Will B. W.</t>
        </is>
      </c>
      <c r="B90" s="29">
        <f>IF($A90="","",IFERROR(INDEX(Roster!$B$2:$B$40,MATCH($A90,Roster!$A$2:$A$40,0)),"?"))</f>
        <v/>
      </c>
      <c r="C90" s="15" t="inlineStr">
        <is>
          <t>Apple_2</t>
        </is>
      </c>
      <c r="D90" s="29">
        <f>IF($C90="","",IFERROR(IF(INDEX(Deals!$C$2:$C$355,MATCH($C90,Deals!$A$2:$A$355,0))=0,"",INDEX(Deals!$C$2:$C$355,MATCH($C90,Deals!$A$2:$A$355,0))),"?"))</f>
        <v/>
      </c>
      <c r="E90" s="29">
        <f>IF($C90="","",IFERROR(INDEX(Deals!$F$2:$F$355,MATCH($C90,Deals!$A$2:$A$355,0)),"?"))</f>
        <v/>
      </c>
      <c r="F90" s="15" t="inlineStr">
        <is>
          <t>Partner</t>
        </is>
      </c>
      <c r="G90" s="15" t="inlineStr">
        <is>
          <t>Active</t>
        </is>
      </c>
      <c r="H90" s="27" t="n"/>
      <c r="I90" s="20">
        <f>IF(OR($A90="",$G90&lt;&gt;"Active"),0,IF($H90&lt;&gt;"",$H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</f>
        <v/>
      </c>
      <c r="J90" s="23">
        <f>IF($C90="",0,IFERROR(INDEX(Deals!$H$2:$H$355,MATCH($C90,Deals!$A$2:$A$355,0)),0))</f>
        <v/>
      </c>
      <c r="K90" s="20">
        <f>IF(Settings!$B$4="Yes",$I90*$J90,$I90)</f>
        <v/>
      </c>
      <c r="L90" s="31">
        <f>IF($C90="","",IFERROR(IF(INDEX(Deals!$I$2:$I$355,MATCH($C90,Deals!$A$2:$A$355,0))=0,"",INDEX(Deals!$I$2:$I$355,MATCH($C90,Deals!$A$2:$A$355,0))),""))</f>
        <v/>
      </c>
      <c r="M90" s="31">
        <f>IF($C90="","",IFERROR(IF(INDEX(Deals!$J$2:$J$355,MATCH($C90,Deals!$A$2:$A$355,0))=0,"",INDEX(Deals!$J$2:$J$355,MATCH($C90,Deals!$A$2:$A$355,0))),""))</f>
        <v/>
      </c>
      <c r="N90" s="24">
        <f>IF($L90="",DATE(1900,1,1),$L90)</f>
        <v/>
      </c>
      <c r="O90" s="24">
        <f>IF($M90="",DATE(2100,12,31),$M90)</f>
        <v/>
      </c>
      <c r="P90" s="16" t="inlineStr"/>
      <c r="Q90" s="16" t="inlineStr"/>
      <c r="R90" s="29">
        <f>IF($C90="","",IFERROR(IF(INDEX(Deals!$U$2:$U$355,MATCH($C90,Deals!$A$2:$A$355,0))=0,"",INDEX(Deals!$U$2:$U$355,MATCH($C90,Deals!$A$2:$A$355,0))),""))</f>
        <v/>
      </c>
      <c r="S90" s="22">
        <f>IFERROR(IF($U90="",1,INDEX(Deals!$V$2:$V$355,MATCH($C90,Deals!$A$2:$A$355,0))),1)</f>
        <v/>
      </c>
      <c r="T90" s="22">
        <f>IFERROR(IF($U90="",1,INDEX(Deals!$W$2:$W$355,MATCH($C90,Deals!$A$2:$A$355,0))),1)</f>
        <v/>
      </c>
      <c r="U90" s="31">
        <f>IF($C90="","",IFERROR(IF(INDEX(Deals!$Y$2:$Y$355,MATCH($C90,Deals!$A$2:$A$355,0))=0,"",INDEX(Deals!$Y$2:$Y$355,MATCH($C90,Deals!$A$2:$A$355,0))),""))</f>
        <v/>
      </c>
      <c r="V90" s="24">
        <f>IF($U90="",DATE(1900,1,1),$N90)</f>
        <v/>
      </c>
      <c r="W90" s="24">
        <f>IF($U90="",DATE(2100,12,31),$U90)</f>
        <v/>
      </c>
      <c r="X90" s="20">
        <f>IF($U90="",$K90,$K90*$S90)</f>
        <v/>
      </c>
      <c r="Y90" s="24">
        <f>IF($U90="",DATE(2100,12,31),$U90+1)</f>
        <v/>
      </c>
      <c r="Z90" s="24">
        <f>IF($U90="",DATE(1900,1,1),$O90)</f>
        <v/>
      </c>
      <c r="AA90" s="20">
        <f>IF($U90="",0,$K90*$T90)</f>
        <v/>
      </c>
    </row>
    <row r="91">
      <c r="A91" s="15" t="inlineStr">
        <is>
          <t>Will B. W.</t>
        </is>
      </c>
      <c r="B91" s="29">
        <f>IF($A91="","",IFERROR(INDEX(Roster!$B$2:$B$40,MATCH($A91,Roster!$A$2:$A$40,0)),"?"))</f>
        <v/>
      </c>
      <c r="C91" s="15" t="inlineStr">
        <is>
          <t>DCLI Sellside_1</t>
        </is>
      </c>
      <c r="D91" s="29">
        <f>IF($C91="","",IFERROR(IF(INDEX(Deals!$C$2:$C$355,MATCH($C91,Deals!$A$2:$A$355,0))=0,"",INDEX(Deals!$C$2:$C$355,MATCH($C91,Deals!$A$2:$A$355,0))),"?"))</f>
        <v/>
      </c>
      <c r="E91" s="29">
        <f>IF($C91="","",IFERROR(INDEX(Deals!$F$2:$F$355,MATCH($C91,Deals!$A$2:$A$355,0)),"?"))</f>
        <v/>
      </c>
      <c r="F91" s="15" t="inlineStr">
        <is>
          <t>Partner</t>
        </is>
      </c>
      <c r="G91" s="15" t="inlineStr">
        <is>
          <t>Active</t>
        </is>
      </c>
      <c r="H91" s="27" t="n"/>
      <c r="I91" s="20">
        <f>IF(OR($A91="",$G91&lt;&gt;"Active"),0,IF($H91&lt;&gt;"",$H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</f>
        <v/>
      </c>
      <c r="J91" s="23">
        <f>IF($C91="",0,IFERROR(INDEX(Deals!$H$2:$H$355,MATCH($C91,Deals!$A$2:$A$355,0)),0))</f>
        <v/>
      </c>
      <c r="K91" s="20">
        <f>IF(Settings!$B$4="Yes",$I91*$J91,$I91)</f>
        <v/>
      </c>
      <c r="L91" s="31">
        <f>IF($C91="","",IFERROR(IF(INDEX(Deals!$I$2:$I$355,MATCH($C91,Deals!$A$2:$A$355,0))=0,"",INDEX(Deals!$I$2:$I$355,MATCH($C91,Deals!$A$2:$A$355,0))),""))</f>
        <v/>
      </c>
      <c r="M91" s="31">
        <f>IF($C91="","",IFERROR(IF(INDEX(Deals!$J$2:$J$355,MATCH($C91,Deals!$A$2:$A$355,0))=0,"",INDEX(Deals!$J$2:$J$355,MATCH($C91,Deals!$A$2:$A$355,0))),""))</f>
        <v/>
      </c>
      <c r="N91" s="24">
        <f>IF($L91="",DATE(1900,1,1),$L91)</f>
        <v/>
      </c>
      <c r="O91" s="24">
        <f>IF($M91="",DATE(2100,12,31),$M91)</f>
        <v/>
      </c>
      <c r="P91" s="16" t="inlineStr"/>
      <c r="Q91" s="16" t="inlineStr"/>
      <c r="R91" s="29">
        <f>IF($C91="","",IFERROR(IF(INDEX(Deals!$U$2:$U$355,MATCH($C91,Deals!$A$2:$A$355,0))=0,"",INDEX(Deals!$U$2:$U$355,MATCH($C91,Deals!$A$2:$A$355,0))),""))</f>
        <v/>
      </c>
      <c r="S91" s="22">
        <f>IFERROR(IF($U91="",1,INDEX(Deals!$V$2:$V$355,MATCH($C91,Deals!$A$2:$A$355,0))),1)</f>
        <v/>
      </c>
      <c r="T91" s="22">
        <f>IFERROR(IF($U91="",1,INDEX(Deals!$W$2:$W$355,MATCH($C91,Deals!$A$2:$A$355,0))),1)</f>
        <v/>
      </c>
      <c r="U91" s="31">
        <f>IF($C91="","",IFERROR(IF(INDEX(Deals!$Y$2:$Y$355,MATCH($C91,Deals!$A$2:$A$355,0))=0,"",INDEX(Deals!$Y$2:$Y$355,MATCH($C91,Deals!$A$2:$A$355,0))),""))</f>
        <v/>
      </c>
      <c r="V91" s="24">
        <f>IF($U91="",DATE(1900,1,1),$N91)</f>
        <v/>
      </c>
      <c r="W91" s="24">
        <f>IF($U91="",DATE(2100,12,31),$U91)</f>
        <v/>
      </c>
      <c r="X91" s="20">
        <f>IF($U91="",$K91,$K91*$S91)</f>
        <v/>
      </c>
      <c r="Y91" s="24">
        <f>IF($U91="",DATE(2100,12,31),$U91+1)</f>
        <v/>
      </c>
      <c r="Z91" s="24">
        <f>IF($U91="",DATE(1900,1,1),$O91)</f>
        <v/>
      </c>
      <c r="AA91" s="20">
        <f>IF($U91="",0,$K91*$T91)</f>
        <v/>
      </c>
    </row>
    <row r="92">
      <c r="A92" s="15" t="inlineStr">
        <is>
          <t>Will B. W.</t>
        </is>
      </c>
      <c r="B92" s="29">
        <f>IF($A92="","",IFERROR(INDEX(Roster!$B$2:$B$40,MATCH($A92,Roster!$A$2:$A$40,0)),"?"))</f>
        <v/>
      </c>
      <c r="C92" s="15" t="inlineStr">
        <is>
          <t>Gemini</t>
        </is>
      </c>
      <c r="D92" s="29">
        <f>IF($C92="","",IFERROR(IF(INDEX(Deals!$C$2:$C$355,MATCH($C92,Deals!$A$2:$A$355,0))=0,"",INDEX(Deals!$C$2:$C$355,MATCH($C92,Deals!$A$2:$A$355,0))),"?"))</f>
        <v/>
      </c>
      <c r="E92" s="29">
        <f>IF($C92="","",IFERROR(INDEX(Deals!$F$2:$F$355,MATCH($C92,Deals!$A$2:$A$355,0)),"?"))</f>
        <v/>
      </c>
      <c r="F92" s="15" t="inlineStr">
        <is>
          <t>Partner</t>
        </is>
      </c>
      <c r="G92" s="15" t="inlineStr">
        <is>
          <t>Active</t>
        </is>
      </c>
      <c r="H92" s="27" t="n"/>
      <c r="I92" s="20">
        <f>IF(OR($A92="",$G92&lt;&gt;"Active"),0,IF($H92&lt;&gt;"",$H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</f>
        <v/>
      </c>
      <c r="J92" s="23">
        <f>IF($C92="",0,IFERROR(INDEX(Deals!$H$2:$H$355,MATCH($C92,Deals!$A$2:$A$355,0)),0))</f>
        <v/>
      </c>
      <c r="K92" s="20">
        <f>IF(Settings!$B$4="Yes",$I92*$J92,$I92)</f>
        <v/>
      </c>
      <c r="L92" s="31">
        <f>IF($C92="","",IFERROR(IF(INDEX(Deals!$I$2:$I$355,MATCH($C92,Deals!$A$2:$A$355,0))=0,"",INDEX(Deals!$I$2:$I$355,MATCH($C92,Deals!$A$2:$A$355,0))),""))</f>
        <v/>
      </c>
      <c r="M92" s="31">
        <f>IF($C92="","",IFERROR(IF(INDEX(Deals!$J$2:$J$355,MATCH($C92,Deals!$A$2:$A$355,0))=0,"",INDEX(Deals!$J$2:$J$355,MATCH($C92,Deals!$A$2:$A$355,0))),""))</f>
        <v/>
      </c>
      <c r="N92" s="24">
        <f>IF($L92="",DATE(1900,1,1),$L92)</f>
        <v/>
      </c>
      <c r="O92" s="24">
        <f>IF($M92="",DATE(2100,12,31),$M92)</f>
        <v/>
      </c>
      <c r="P92" s="16" t="inlineStr"/>
      <c r="Q92" s="16" t="inlineStr"/>
      <c r="R92" s="29">
        <f>IF($C92="","",IFERROR(IF(INDEX(Deals!$U$2:$U$355,MATCH($C92,Deals!$A$2:$A$355,0))=0,"",INDEX(Deals!$U$2:$U$355,MATCH($C92,Deals!$A$2:$A$355,0))),""))</f>
        <v/>
      </c>
      <c r="S92" s="22">
        <f>IFERROR(IF($U92="",1,INDEX(Deals!$V$2:$V$355,MATCH($C92,Deals!$A$2:$A$355,0))),1)</f>
        <v/>
      </c>
      <c r="T92" s="22">
        <f>IFERROR(IF($U92="",1,INDEX(Deals!$W$2:$W$355,MATCH($C92,Deals!$A$2:$A$355,0))),1)</f>
        <v/>
      </c>
      <c r="U92" s="31">
        <f>IF($C92="","",IFERROR(IF(INDEX(Deals!$Y$2:$Y$355,MATCH($C92,Deals!$A$2:$A$355,0))=0,"",INDEX(Deals!$Y$2:$Y$355,MATCH($C92,Deals!$A$2:$A$355,0))),""))</f>
        <v/>
      </c>
      <c r="V92" s="24">
        <f>IF($U92="",DATE(1900,1,1),$N92)</f>
        <v/>
      </c>
      <c r="W92" s="24">
        <f>IF($U92="",DATE(2100,12,31),$U92)</f>
        <v/>
      </c>
      <c r="X92" s="20">
        <f>IF($U92="",$K92,$K92*$S92)</f>
        <v/>
      </c>
      <c r="Y92" s="24">
        <f>IF($U92="",DATE(2100,12,31),$U92+1)</f>
        <v/>
      </c>
      <c r="Z92" s="24">
        <f>IF($U92="",DATE(1900,1,1),$O92)</f>
        <v/>
      </c>
      <c r="AA92" s="20">
        <f>IF($U92="",0,$K92*$T92)</f>
        <v/>
      </c>
    </row>
    <row r="93">
      <c r="A93" s="15" t="inlineStr">
        <is>
          <t>Will B. W.</t>
        </is>
      </c>
      <c r="B93" s="29">
        <f>IF($A93="","",IFERROR(INDEX(Roster!$B$2:$B$40,MATCH($A93,Roster!$A$2:$A$40,0)),"?"))</f>
        <v/>
      </c>
      <c r="C93" s="15" t="inlineStr">
        <is>
          <t>Graitec Reorg_2</t>
        </is>
      </c>
      <c r="D93" s="29">
        <f>IF($C93="","",IFERROR(IF(INDEX(Deals!$C$2:$C$355,MATCH($C93,Deals!$A$2:$A$355,0))=0,"",INDEX(Deals!$C$2:$C$355,MATCH($C93,Deals!$A$2:$A$355,0))),"?"))</f>
        <v/>
      </c>
      <c r="E93" s="29">
        <f>IF($C93="","",IFERROR(INDEX(Deals!$F$2:$F$355,MATCH($C93,Deals!$A$2:$A$355,0)),"?"))</f>
        <v/>
      </c>
      <c r="F93" s="15" t="inlineStr">
        <is>
          <t>Partner</t>
        </is>
      </c>
      <c r="G93" s="15" t="inlineStr">
        <is>
          <t>Active</t>
        </is>
      </c>
      <c r="H93" s="27" t="n"/>
      <c r="I93" s="20">
        <f>IF(OR($A93="",$G93&lt;&gt;"Active"),0,IF($H93&lt;&gt;"",$H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</f>
        <v/>
      </c>
      <c r="J93" s="23">
        <f>IF($C93="",0,IFERROR(INDEX(Deals!$H$2:$H$355,MATCH($C93,Deals!$A$2:$A$355,0)),0))</f>
        <v/>
      </c>
      <c r="K93" s="20">
        <f>IF(Settings!$B$4="Yes",$I93*$J93,$I93)</f>
        <v/>
      </c>
      <c r="L93" s="31">
        <f>IF($C93="","",IFERROR(IF(INDEX(Deals!$I$2:$I$355,MATCH($C93,Deals!$A$2:$A$355,0))=0,"",INDEX(Deals!$I$2:$I$355,MATCH($C93,Deals!$A$2:$A$355,0))),""))</f>
        <v/>
      </c>
      <c r="M93" s="31">
        <f>IF($C93="","",IFERROR(IF(INDEX(Deals!$J$2:$J$355,MATCH($C93,Deals!$A$2:$A$355,0))=0,"",INDEX(Deals!$J$2:$J$355,MATCH($C93,Deals!$A$2:$A$355,0))),""))</f>
        <v/>
      </c>
      <c r="N93" s="24">
        <f>IF($L93="",DATE(1900,1,1),$L93)</f>
        <v/>
      </c>
      <c r="O93" s="24">
        <f>IF($M93="",DATE(2100,12,31),$M93)</f>
        <v/>
      </c>
      <c r="P93" s="16" t="inlineStr"/>
      <c r="Q93" s="16" t="inlineStr"/>
      <c r="R93" s="29">
        <f>IF($C93="","",IFERROR(IF(INDEX(Deals!$U$2:$U$355,MATCH($C93,Deals!$A$2:$A$355,0))=0,"",INDEX(Deals!$U$2:$U$355,MATCH($C93,Deals!$A$2:$A$355,0))),""))</f>
        <v/>
      </c>
      <c r="S93" s="22">
        <f>IFERROR(IF($U93="",1,INDEX(Deals!$V$2:$V$355,MATCH($C93,Deals!$A$2:$A$355,0))),1)</f>
        <v/>
      </c>
      <c r="T93" s="22">
        <f>IFERROR(IF($U93="",1,INDEX(Deals!$W$2:$W$355,MATCH($C93,Deals!$A$2:$A$355,0))),1)</f>
        <v/>
      </c>
      <c r="U93" s="31">
        <f>IF($C93="","",IFERROR(IF(INDEX(Deals!$Y$2:$Y$355,MATCH($C93,Deals!$A$2:$A$355,0))=0,"",INDEX(Deals!$Y$2:$Y$355,MATCH($C93,Deals!$A$2:$A$355,0))),""))</f>
        <v/>
      </c>
      <c r="V93" s="24">
        <f>IF($U93="",DATE(1900,1,1),$N93)</f>
        <v/>
      </c>
      <c r="W93" s="24">
        <f>IF($U93="",DATE(2100,12,31),$U93)</f>
        <v/>
      </c>
      <c r="X93" s="20">
        <f>IF($U93="",$K93,$K93*$S93)</f>
        <v/>
      </c>
      <c r="Y93" s="24">
        <f>IF($U93="",DATE(2100,12,31),$U93+1)</f>
        <v/>
      </c>
      <c r="Z93" s="24">
        <f>IF($U93="",DATE(1900,1,1),$O93)</f>
        <v/>
      </c>
      <c r="AA93" s="20">
        <f>IF($U93="",0,$K93*$T93)</f>
        <v/>
      </c>
    </row>
    <row r="94">
      <c r="A94" s="15" t="inlineStr">
        <is>
          <t>Will B. W.</t>
        </is>
      </c>
      <c r="B94" s="29">
        <f>IF($A94="","",IFERROR(INDEX(Roster!$B$2:$B$40,MATCH($A94,Roster!$A$2:$A$40,0)),"?"))</f>
        <v/>
      </c>
      <c r="C94" s="15" t="inlineStr">
        <is>
          <t>Kentucky_1</t>
        </is>
      </c>
      <c r="D94" s="29">
        <f>IF($C94="","",IFERROR(IF(INDEX(Deals!$C$2:$C$355,MATCH($C94,Deals!$A$2:$A$355,0))=0,"",INDEX(Deals!$C$2:$C$355,MATCH($C94,Deals!$A$2:$A$355,0))),"?"))</f>
        <v/>
      </c>
      <c r="E94" s="29">
        <f>IF($C94="","",IFERROR(INDEX(Deals!$F$2:$F$355,MATCH($C94,Deals!$A$2:$A$355,0)),"?"))</f>
        <v/>
      </c>
      <c r="F94" s="15" t="inlineStr">
        <is>
          <t>Partner</t>
        </is>
      </c>
      <c r="G94" s="15" t="inlineStr">
        <is>
          <t>Active</t>
        </is>
      </c>
      <c r="H94" s="27" t="n"/>
      <c r="I94" s="20">
        <f>IF(OR($A94="",$G94&lt;&gt;"Active"),0,IF($H94&lt;&gt;"",$H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</f>
        <v/>
      </c>
      <c r="J94" s="23">
        <f>IF($C94="",0,IFERROR(INDEX(Deals!$H$2:$H$355,MATCH($C94,Deals!$A$2:$A$355,0)),0))</f>
        <v/>
      </c>
      <c r="K94" s="20">
        <f>IF(Settings!$B$4="Yes",$I94*$J94,$I94)</f>
        <v/>
      </c>
      <c r="L94" s="31">
        <f>IF($C94="","",IFERROR(IF(INDEX(Deals!$I$2:$I$355,MATCH($C94,Deals!$A$2:$A$355,0))=0,"",INDEX(Deals!$I$2:$I$355,MATCH($C94,Deals!$A$2:$A$355,0))),""))</f>
        <v/>
      </c>
      <c r="M94" s="31">
        <f>IF($C94="","",IFERROR(IF(INDEX(Deals!$J$2:$J$355,MATCH($C94,Deals!$A$2:$A$355,0))=0,"",INDEX(Deals!$J$2:$J$355,MATCH($C94,Deals!$A$2:$A$355,0))),""))</f>
        <v/>
      </c>
      <c r="N94" s="24">
        <f>IF($L94="",DATE(1900,1,1),$L94)</f>
        <v/>
      </c>
      <c r="O94" s="24">
        <f>IF($M94="",DATE(2100,12,31),$M94)</f>
        <v/>
      </c>
      <c r="P94" s="16" t="inlineStr"/>
      <c r="Q94" s="16" t="inlineStr"/>
      <c r="R94" s="29">
        <f>IF($C94="","",IFERROR(IF(INDEX(Deals!$U$2:$U$355,MATCH($C94,Deals!$A$2:$A$355,0))=0,"",INDEX(Deals!$U$2:$U$355,MATCH($C94,Deals!$A$2:$A$355,0))),""))</f>
        <v/>
      </c>
      <c r="S94" s="22">
        <f>IFERROR(IF($U94="",1,INDEX(Deals!$V$2:$V$355,MATCH($C94,Deals!$A$2:$A$355,0))),1)</f>
        <v/>
      </c>
      <c r="T94" s="22">
        <f>IFERROR(IF($U94="",1,INDEX(Deals!$W$2:$W$355,MATCH($C94,Deals!$A$2:$A$355,0))),1)</f>
        <v/>
      </c>
      <c r="U94" s="31">
        <f>IF($C94="","",IFERROR(IF(INDEX(Deals!$Y$2:$Y$355,MATCH($C94,Deals!$A$2:$A$355,0))=0,"",INDEX(Deals!$Y$2:$Y$355,MATCH($C94,Deals!$A$2:$A$355,0))),""))</f>
        <v/>
      </c>
      <c r="V94" s="24">
        <f>IF($U94="",DATE(1900,1,1),$N94)</f>
        <v/>
      </c>
      <c r="W94" s="24">
        <f>IF($U94="",DATE(2100,12,31),$U94)</f>
        <v/>
      </c>
      <c r="X94" s="20">
        <f>IF($U94="",$K94,$K94*$S94)</f>
        <v/>
      </c>
      <c r="Y94" s="24">
        <f>IF($U94="",DATE(2100,12,31),$U94+1)</f>
        <v/>
      </c>
      <c r="Z94" s="24">
        <f>IF($U94="",DATE(1900,1,1),$O94)</f>
        <v/>
      </c>
      <c r="AA94" s="20">
        <f>IF($U94="",0,$K94*$T94)</f>
        <v/>
      </c>
    </row>
    <row r="95">
      <c r="A95" s="15" t="inlineStr">
        <is>
          <t>Will B. W.</t>
        </is>
      </c>
      <c r="B95" s="29">
        <f>IF($A95="","",IFERROR(INDEX(Roster!$B$2:$B$40,MATCH($A95,Roster!$A$2:$A$40,0)),"?"))</f>
        <v/>
      </c>
      <c r="C95" s="15" t="inlineStr">
        <is>
          <t>Nexus_6</t>
        </is>
      </c>
      <c r="D95" s="29">
        <f>IF($C95="","",IFERROR(IF(INDEX(Deals!$C$2:$C$355,MATCH($C95,Deals!$A$2:$A$355,0))=0,"",INDEX(Deals!$C$2:$C$355,MATCH($C95,Deals!$A$2:$A$355,0))),"?"))</f>
        <v/>
      </c>
      <c r="E95" s="29">
        <f>IF($C95="","",IFERROR(INDEX(Deals!$F$2:$F$355,MATCH($C95,Deals!$A$2:$A$355,0)),"?"))</f>
        <v/>
      </c>
      <c r="F95" s="15" t="inlineStr">
        <is>
          <t>Partner</t>
        </is>
      </c>
      <c r="G95" s="15" t="inlineStr">
        <is>
          <t>Active</t>
        </is>
      </c>
      <c r="H95" s="27" t="n"/>
      <c r="I95" s="20">
        <f>IF(OR($A95="",$G95&lt;&gt;"Active"),0,IF($H95&lt;&gt;"",$H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</f>
        <v/>
      </c>
      <c r="J95" s="23">
        <f>IF($C95="",0,IFERROR(INDEX(Deals!$H$2:$H$355,MATCH($C95,Deals!$A$2:$A$355,0)),0))</f>
        <v/>
      </c>
      <c r="K95" s="20">
        <f>IF(Settings!$B$4="Yes",$I95*$J95,$I95)</f>
        <v/>
      </c>
      <c r="L95" s="31">
        <f>IF($C95="","",IFERROR(IF(INDEX(Deals!$I$2:$I$355,MATCH($C95,Deals!$A$2:$A$355,0))=0,"",INDEX(Deals!$I$2:$I$355,MATCH($C95,Deals!$A$2:$A$355,0))),""))</f>
        <v/>
      </c>
      <c r="M95" s="31">
        <f>IF($C95="","",IFERROR(IF(INDEX(Deals!$J$2:$J$355,MATCH($C95,Deals!$A$2:$A$355,0))=0,"",INDEX(Deals!$J$2:$J$355,MATCH($C95,Deals!$A$2:$A$355,0))),""))</f>
        <v/>
      </c>
      <c r="N95" s="24">
        <f>IF($L95="",DATE(1900,1,1),$L95)</f>
        <v/>
      </c>
      <c r="O95" s="24">
        <f>IF($M95="",DATE(2100,12,31),$M95)</f>
        <v/>
      </c>
      <c r="P95" s="16" t="inlineStr"/>
      <c r="Q95" s="16" t="inlineStr"/>
      <c r="R95" s="29">
        <f>IF($C95="","",IFERROR(IF(INDEX(Deals!$U$2:$U$355,MATCH($C95,Deals!$A$2:$A$355,0))=0,"",INDEX(Deals!$U$2:$U$355,MATCH($C95,Deals!$A$2:$A$355,0))),""))</f>
        <v/>
      </c>
      <c r="S95" s="22">
        <f>IFERROR(IF($U95="",1,INDEX(Deals!$V$2:$V$355,MATCH($C95,Deals!$A$2:$A$355,0))),1)</f>
        <v/>
      </c>
      <c r="T95" s="22">
        <f>IFERROR(IF($U95="",1,INDEX(Deals!$W$2:$W$355,MATCH($C95,Deals!$A$2:$A$355,0))),1)</f>
        <v/>
      </c>
      <c r="U95" s="31">
        <f>IF($C95="","",IFERROR(IF(INDEX(Deals!$Y$2:$Y$355,MATCH($C95,Deals!$A$2:$A$355,0))=0,"",INDEX(Deals!$Y$2:$Y$355,MATCH($C95,Deals!$A$2:$A$355,0))),""))</f>
        <v/>
      </c>
      <c r="V95" s="24">
        <f>IF($U95="",DATE(1900,1,1),$N95)</f>
        <v/>
      </c>
      <c r="W95" s="24">
        <f>IF($U95="",DATE(2100,12,31),$U95)</f>
        <v/>
      </c>
      <c r="X95" s="20">
        <f>IF($U95="",$K95,$K95*$S95)</f>
        <v/>
      </c>
      <c r="Y95" s="24">
        <f>IF($U95="",DATE(2100,12,31),$U95+1)</f>
        <v/>
      </c>
      <c r="Z95" s="24">
        <f>IF($U95="",DATE(1900,1,1),$O95)</f>
        <v/>
      </c>
      <c r="AA95" s="20">
        <f>IF($U95="",0,$K95*$T95)</f>
        <v/>
      </c>
    </row>
    <row r="96">
      <c r="A96" s="15" t="inlineStr">
        <is>
          <t>Will B. W.</t>
        </is>
      </c>
      <c r="B96" s="29">
        <f>IF($A96="","",IFERROR(INDEX(Roster!$B$2:$B$40,MATCH($A96,Roster!$A$2:$A$40,0)),"?"))</f>
        <v/>
      </c>
      <c r="C96" s="15" t="inlineStr">
        <is>
          <t>Pisces 2_1</t>
        </is>
      </c>
      <c r="D96" s="29">
        <f>IF($C96="","",IFERROR(IF(INDEX(Deals!$C$2:$C$355,MATCH($C96,Deals!$A$2:$A$355,0))=0,"",INDEX(Deals!$C$2:$C$355,MATCH($C96,Deals!$A$2:$A$355,0))),"?"))</f>
        <v/>
      </c>
      <c r="E96" s="29">
        <f>IF($C96="","",IFERROR(INDEX(Deals!$F$2:$F$355,MATCH($C96,Deals!$A$2:$A$355,0)),"?"))</f>
        <v/>
      </c>
      <c r="F96" s="15" t="inlineStr">
        <is>
          <t>Partner</t>
        </is>
      </c>
      <c r="G96" s="15" t="inlineStr">
        <is>
          <t>Active</t>
        </is>
      </c>
      <c r="H96" s="27" t="n"/>
      <c r="I96" s="20">
        <f>IF(OR($A96="",$G96&lt;&gt;"Active"),0,IF($H96&lt;&gt;"",$H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</f>
        <v/>
      </c>
      <c r="J96" s="23">
        <f>IF($C96="",0,IFERROR(INDEX(Deals!$H$2:$H$355,MATCH($C96,Deals!$A$2:$A$355,0)),0))</f>
        <v/>
      </c>
      <c r="K96" s="20">
        <f>IF(Settings!$B$4="Yes",$I96*$J96,$I96)</f>
        <v/>
      </c>
      <c r="L96" s="31">
        <f>IF($C96="","",IFERROR(IF(INDEX(Deals!$I$2:$I$355,MATCH($C96,Deals!$A$2:$A$355,0))=0,"",INDEX(Deals!$I$2:$I$355,MATCH($C96,Deals!$A$2:$A$355,0))),""))</f>
        <v/>
      </c>
      <c r="M96" s="31">
        <f>IF($C96="","",IFERROR(IF(INDEX(Deals!$J$2:$J$355,MATCH($C96,Deals!$A$2:$A$355,0))=0,"",INDEX(Deals!$J$2:$J$355,MATCH($C96,Deals!$A$2:$A$355,0))),""))</f>
        <v/>
      </c>
      <c r="N96" s="24">
        <f>IF($L96="",DATE(1900,1,1),$L96)</f>
        <v/>
      </c>
      <c r="O96" s="24">
        <f>IF($M96="",DATE(2100,12,31),$M96)</f>
        <v/>
      </c>
      <c r="P96" s="16" t="inlineStr"/>
      <c r="Q96" s="16" t="inlineStr"/>
      <c r="R96" s="29">
        <f>IF($C96="","",IFERROR(IF(INDEX(Deals!$U$2:$U$355,MATCH($C96,Deals!$A$2:$A$355,0))=0,"",INDEX(Deals!$U$2:$U$355,MATCH($C96,Deals!$A$2:$A$355,0))),""))</f>
        <v/>
      </c>
      <c r="S96" s="22">
        <f>IFERROR(IF($U96="",1,INDEX(Deals!$V$2:$V$355,MATCH($C96,Deals!$A$2:$A$355,0))),1)</f>
        <v/>
      </c>
      <c r="T96" s="22">
        <f>IFERROR(IF($U96="",1,INDEX(Deals!$W$2:$W$355,MATCH($C96,Deals!$A$2:$A$355,0))),1)</f>
        <v/>
      </c>
      <c r="U96" s="31">
        <f>IF($C96="","",IFERROR(IF(INDEX(Deals!$Y$2:$Y$355,MATCH($C96,Deals!$A$2:$A$355,0))=0,"",INDEX(Deals!$Y$2:$Y$355,MATCH($C96,Deals!$A$2:$A$355,0))),""))</f>
        <v/>
      </c>
      <c r="V96" s="24">
        <f>IF($U96="",DATE(1900,1,1),$N96)</f>
        <v/>
      </c>
      <c r="W96" s="24">
        <f>IF($U96="",DATE(2100,12,31),$U96)</f>
        <v/>
      </c>
      <c r="X96" s="20">
        <f>IF($U96="",$K96,$K96*$S96)</f>
        <v/>
      </c>
      <c r="Y96" s="24">
        <f>IF($U96="",DATE(2100,12,31),$U96+1)</f>
        <v/>
      </c>
      <c r="Z96" s="24">
        <f>IF($U96="",DATE(1900,1,1),$O96)</f>
        <v/>
      </c>
      <c r="AA96" s="20">
        <f>IF($U96="",0,$K96*$T96)</f>
        <v/>
      </c>
    </row>
    <row r="97">
      <c r="A97" s="15" t="inlineStr">
        <is>
          <t>Will B. W.</t>
        </is>
      </c>
      <c r="B97" s="29">
        <f>IF($A97="","",IFERROR(INDEX(Roster!$B$2:$B$40,MATCH($A97,Roster!$A$2:$A$40,0)),"?"))</f>
        <v/>
      </c>
      <c r="C97" s="15" t="inlineStr">
        <is>
          <t>PMD_1</t>
        </is>
      </c>
      <c r="D97" s="29">
        <f>IF($C97="","",IFERROR(IF(INDEX(Deals!$C$2:$C$355,MATCH($C97,Deals!$A$2:$A$355,0))=0,"",INDEX(Deals!$C$2:$C$355,MATCH($C97,Deals!$A$2:$A$355,0))),"?"))</f>
        <v/>
      </c>
      <c r="E97" s="29">
        <f>IF($C97="","",IFERROR(INDEX(Deals!$F$2:$F$355,MATCH($C97,Deals!$A$2:$A$355,0)),"?"))</f>
        <v/>
      </c>
      <c r="F97" s="15" t="inlineStr">
        <is>
          <t>Partner</t>
        </is>
      </c>
      <c r="G97" s="15" t="inlineStr">
        <is>
          <t>Active</t>
        </is>
      </c>
      <c r="H97" s="27" t="n"/>
      <c r="I97" s="20">
        <f>IF(OR($A97="",$G97&lt;&gt;"Active"),0,IF($H97&lt;&gt;"",$H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</f>
        <v/>
      </c>
      <c r="J97" s="23">
        <f>IF($C97="",0,IFERROR(INDEX(Deals!$H$2:$H$355,MATCH($C97,Deals!$A$2:$A$355,0)),0))</f>
        <v/>
      </c>
      <c r="K97" s="20">
        <f>IF(Settings!$B$4="Yes",$I97*$J97,$I97)</f>
        <v/>
      </c>
      <c r="L97" s="31">
        <f>IF($C97="","",IFERROR(IF(INDEX(Deals!$I$2:$I$355,MATCH($C97,Deals!$A$2:$A$355,0))=0,"",INDEX(Deals!$I$2:$I$355,MATCH($C97,Deals!$A$2:$A$355,0))),""))</f>
        <v/>
      </c>
      <c r="M97" s="31">
        <f>IF($C97="","",IFERROR(IF(INDEX(Deals!$J$2:$J$355,MATCH($C97,Deals!$A$2:$A$355,0))=0,"",INDEX(Deals!$J$2:$J$355,MATCH($C97,Deals!$A$2:$A$355,0))),""))</f>
        <v/>
      </c>
      <c r="N97" s="24">
        <f>IF($L97="",DATE(1900,1,1),$L97)</f>
        <v/>
      </c>
      <c r="O97" s="24">
        <f>IF($M97="",DATE(2100,12,31),$M97)</f>
        <v/>
      </c>
      <c r="P97" s="16" t="inlineStr"/>
      <c r="Q97" s="16" t="inlineStr"/>
      <c r="R97" s="29">
        <f>IF($C97="","",IFERROR(IF(INDEX(Deals!$U$2:$U$355,MATCH($C97,Deals!$A$2:$A$355,0))=0,"",INDEX(Deals!$U$2:$U$355,MATCH($C97,Deals!$A$2:$A$355,0))),""))</f>
        <v/>
      </c>
      <c r="S97" s="22">
        <f>IFERROR(IF($U97="",1,INDEX(Deals!$V$2:$V$355,MATCH($C97,Deals!$A$2:$A$355,0))),1)</f>
        <v/>
      </c>
      <c r="T97" s="22">
        <f>IFERROR(IF($U97="",1,INDEX(Deals!$W$2:$W$355,MATCH($C97,Deals!$A$2:$A$355,0))),1)</f>
        <v/>
      </c>
      <c r="U97" s="31">
        <f>IF($C97="","",IFERROR(IF(INDEX(Deals!$Y$2:$Y$355,MATCH($C97,Deals!$A$2:$A$355,0))=0,"",INDEX(Deals!$Y$2:$Y$355,MATCH($C97,Deals!$A$2:$A$355,0))),""))</f>
        <v/>
      </c>
      <c r="V97" s="24">
        <f>IF($U97="",DATE(1900,1,1),$N97)</f>
        <v/>
      </c>
      <c r="W97" s="24">
        <f>IF($U97="",DATE(2100,12,31),$U97)</f>
        <v/>
      </c>
      <c r="X97" s="20">
        <f>IF($U97="",$K97,$K97*$S97)</f>
        <v/>
      </c>
      <c r="Y97" s="24">
        <f>IF($U97="",DATE(2100,12,31),$U97+1)</f>
        <v/>
      </c>
      <c r="Z97" s="24">
        <f>IF($U97="",DATE(1900,1,1),$O97)</f>
        <v/>
      </c>
      <c r="AA97" s="20">
        <f>IF($U97="",0,$K97*$T97)</f>
        <v/>
      </c>
    </row>
    <row r="98">
      <c r="A98" s="15" t="inlineStr">
        <is>
          <t>Will B. W.</t>
        </is>
      </c>
      <c r="B98" s="29">
        <f>IF($A98="","",IFERROR(INDEX(Roster!$B$2:$B$40,MATCH($A98,Roster!$A$2:$A$40,0)),"?"))</f>
        <v/>
      </c>
      <c r="C98" s="15" t="inlineStr">
        <is>
          <t>Prolydian_1</t>
        </is>
      </c>
      <c r="D98" s="29">
        <f>IF($C98="","",IFERROR(IF(INDEX(Deals!$C$2:$C$355,MATCH($C98,Deals!$A$2:$A$355,0))=0,"",INDEX(Deals!$C$2:$C$355,MATCH($C98,Deals!$A$2:$A$355,0))),"?"))</f>
        <v/>
      </c>
      <c r="E98" s="29">
        <f>IF($C98="","",IFERROR(INDEX(Deals!$F$2:$F$355,MATCH($C98,Deals!$A$2:$A$355,0)),"?"))</f>
        <v/>
      </c>
      <c r="F98" s="15" t="inlineStr">
        <is>
          <t>Partner</t>
        </is>
      </c>
      <c r="G98" s="15" t="inlineStr">
        <is>
          <t>Active</t>
        </is>
      </c>
      <c r="H98" s="27" t="n"/>
      <c r="I98" s="20">
        <f>IF(OR($A98="",$G98&lt;&gt;"Active"),0,IF($H98&lt;&gt;"",$H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</f>
        <v/>
      </c>
      <c r="J98" s="23">
        <f>IF($C98="",0,IFERROR(INDEX(Deals!$H$2:$H$355,MATCH($C98,Deals!$A$2:$A$355,0)),0))</f>
        <v/>
      </c>
      <c r="K98" s="20">
        <f>IF(Settings!$B$4="Yes",$I98*$J98,$I98)</f>
        <v/>
      </c>
      <c r="L98" s="31">
        <f>IF($C98="","",IFERROR(IF(INDEX(Deals!$I$2:$I$355,MATCH($C98,Deals!$A$2:$A$355,0))=0,"",INDEX(Deals!$I$2:$I$355,MATCH($C98,Deals!$A$2:$A$355,0))),""))</f>
        <v/>
      </c>
      <c r="M98" s="31">
        <f>IF($C98="","",IFERROR(IF(INDEX(Deals!$J$2:$J$355,MATCH($C98,Deals!$A$2:$A$355,0))=0,"",INDEX(Deals!$J$2:$J$355,MATCH($C98,Deals!$A$2:$A$355,0))),""))</f>
        <v/>
      </c>
      <c r="N98" s="24">
        <f>IF($L98="",DATE(1900,1,1),$L98)</f>
        <v/>
      </c>
      <c r="O98" s="24">
        <f>IF($M98="",DATE(2100,12,31),$M98)</f>
        <v/>
      </c>
      <c r="P98" s="16" t="inlineStr"/>
      <c r="Q98" s="16" t="inlineStr"/>
      <c r="R98" s="29">
        <f>IF($C98="","",IFERROR(IF(INDEX(Deals!$U$2:$U$355,MATCH($C98,Deals!$A$2:$A$355,0))=0,"",INDEX(Deals!$U$2:$U$355,MATCH($C98,Deals!$A$2:$A$355,0))),""))</f>
        <v/>
      </c>
      <c r="S98" s="22">
        <f>IFERROR(IF($U98="",1,INDEX(Deals!$V$2:$V$355,MATCH($C98,Deals!$A$2:$A$355,0))),1)</f>
        <v/>
      </c>
      <c r="T98" s="22">
        <f>IFERROR(IF($U98="",1,INDEX(Deals!$W$2:$W$355,MATCH($C98,Deals!$A$2:$A$355,0))),1)</f>
        <v/>
      </c>
      <c r="U98" s="31">
        <f>IF($C98="","",IFERROR(IF(INDEX(Deals!$Y$2:$Y$355,MATCH($C98,Deals!$A$2:$A$355,0))=0,"",INDEX(Deals!$Y$2:$Y$355,MATCH($C98,Deals!$A$2:$A$355,0))),""))</f>
        <v/>
      </c>
      <c r="V98" s="24">
        <f>IF($U98="",DATE(1900,1,1),$N98)</f>
        <v/>
      </c>
      <c r="W98" s="24">
        <f>IF($U98="",DATE(2100,12,31),$U98)</f>
        <v/>
      </c>
      <c r="X98" s="20">
        <f>IF($U98="",$K98,$K98*$S98)</f>
        <v/>
      </c>
      <c r="Y98" s="24">
        <f>IF($U98="",DATE(2100,12,31),$U98+1)</f>
        <v/>
      </c>
      <c r="Z98" s="24">
        <f>IF($U98="",DATE(1900,1,1),$O98)</f>
        <v/>
      </c>
      <c r="AA98" s="20">
        <f>IF($U98="",0,$K98*$T98)</f>
        <v/>
      </c>
    </row>
    <row r="99">
      <c r="A99" s="15" t="inlineStr">
        <is>
          <t>Will B. W.</t>
        </is>
      </c>
      <c r="B99" s="29">
        <f>IF($A99="","",IFERROR(INDEX(Roster!$B$2:$B$40,MATCH($A99,Roster!$A$2:$A$40,0)),"?"))</f>
        <v/>
      </c>
      <c r="C99" s="15" t="inlineStr">
        <is>
          <t>Scale_4</t>
        </is>
      </c>
      <c r="D99" s="29">
        <f>IF($C99="","",IFERROR(IF(INDEX(Deals!$C$2:$C$355,MATCH($C99,Deals!$A$2:$A$355,0))=0,"",INDEX(Deals!$C$2:$C$355,MATCH($C99,Deals!$A$2:$A$355,0))),"?"))</f>
        <v/>
      </c>
      <c r="E99" s="29">
        <f>IF($C99="","",IFERROR(INDEX(Deals!$F$2:$F$355,MATCH($C99,Deals!$A$2:$A$355,0)),"?"))</f>
        <v/>
      </c>
      <c r="F99" s="15" t="inlineStr">
        <is>
          <t>Partner</t>
        </is>
      </c>
      <c r="G99" s="15" t="inlineStr">
        <is>
          <t>Active</t>
        </is>
      </c>
      <c r="H99" s="27" t="n"/>
      <c r="I99" s="20">
        <f>IF(OR($A99="",$G99&lt;&gt;"Active"),0,IF($H99&lt;&gt;"",$H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</f>
        <v/>
      </c>
      <c r="J99" s="23">
        <f>IF($C99="",0,IFERROR(INDEX(Deals!$H$2:$H$355,MATCH($C99,Deals!$A$2:$A$355,0)),0))</f>
        <v/>
      </c>
      <c r="K99" s="20">
        <f>IF(Settings!$B$4="Yes",$I99*$J99,$I99)</f>
        <v/>
      </c>
      <c r="L99" s="31">
        <f>IF($C99="","",IFERROR(IF(INDEX(Deals!$I$2:$I$355,MATCH($C99,Deals!$A$2:$A$355,0))=0,"",INDEX(Deals!$I$2:$I$355,MATCH($C99,Deals!$A$2:$A$355,0))),""))</f>
        <v/>
      </c>
      <c r="M99" s="31">
        <f>IF($C99="","",IFERROR(IF(INDEX(Deals!$J$2:$J$355,MATCH($C99,Deals!$A$2:$A$355,0))=0,"",INDEX(Deals!$J$2:$J$355,MATCH($C99,Deals!$A$2:$A$355,0))),""))</f>
        <v/>
      </c>
      <c r="N99" s="24">
        <f>IF($L99="",DATE(1900,1,1),$L99)</f>
        <v/>
      </c>
      <c r="O99" s="24">
        <f>IF($M99="",DATE(2100,12,31),$M99)</f>
        <v/>
      </c>
      <c r="P99" s="16" t="inlineStr"/>
      <c r="Q99" s="16" t="inlineStr"/>
      <c r="R99" s="29">
        <f>IF($C99="","",IFERROR(IF(INDEX(Deals!$U$2:$U$355,MATCH($C99,Deals!$A$2:$A$355,0))=0,"",INDEX(Deals!$U$2:$U$355,MATCH($C99,Deals!$A$2:$A$355,0))),""))</f>
        <v/>
      </c>
      <c r="S99" s="22">
        <f>IFERROR(IF($U99="",1,INDEX(Deals!$V$2:$V$355,MATCH($C99,Deals!$A$2:$A$355,0))),1)</f>
        <v/>
      </c>
      <c r="T99" s="22">
        <f>IFERROR(IF($U99="",1,INDEX(Deals!$W$2:$W$355,MATCH($C99,Deals!$A$2:$A$355,0))),1)</f>
        <v/>
      </c>
      <c r="U99" s="31">
        <f>IF($C99="","",IFERROR(IF(INDEX(Deals!$Y$2:$Y$355,MATCH($C99,Deals!$A$2:$A$355,0))=0,"",INDEX(Deals!$Y$2:$Y$355,MATCH($C99,Deals!$A$2:$A$355,0))),""))</f>
        <v/>
      </c>
      <c r="V99" s="24">
        <f>IF($U99="",DATE(1900,1,1),$N99)</f>
        <v/>
      </c>
      <c r="W99" s="24">
        <f>IF($U99="",DATE(2100,12,31),$U99)</f>
        <v/>
      </c>
      <c r="X99" s="20">
        <f>IF($U99="",$K99,$K99*$S99)</f>
        <v/>
      </c>
      <c r="Y99" s="24">
        <f>IF($U99="",DATE(2100,12,31),$U99+1)</f>
        <v/>
      </c>
      <c r="Z99" s="24">
        <f>IF($U99="",DATE(1900,1,1),$O99)</f>
        <v/>
      </c>
      <c r="AA99" s="20">
        <f>IF($U99="",0,$K99*$T99)</f>
        <v/>
      </c>
    </row>
    <row r="100">
      <c r="A100" s="15" t="inlineStr">
        <is>
          <t>Will B. W.</t>
        </is>
      </c>
      <c r="B100" s="29">
        <f>IF($A100="","",IFERROR(INDEX(Roster!$B$2:$B$40,MATCH($A100,Roster!$A$2:$A$40,0)),"?"))</f>
        <v/>
      </c>
      <c r="C100" s="15" t="inlineStr">
        <is>
          <t>Scan_1</t>
        </is>
      </c>
      <c r="D100" s="29">
        <f>IF($C100="","",IFERROR(IF(INDEX(Deals!$C$2:$C$355,MATCH($C100,Deals!$A$2:$A$355,0))=0,"",INDEX(Deals!$C$2:$C$355,MATCH($C100,Deals!$A$2:$A$355,0))),"?"))</f>
        <v/>
      </c>
      <c r="E100" s="29">
        <f>IF($C100="","",IFERROR(INDEX(Deals!$F$2:$F$355,MATCH($C100,Deals!$A$2:$A$355,0)),"?"))</f>
        <v/>
      </c>
      <c r="F100" s="15" t="inlineStr">
        <is>
          <t>Partner</t>
        </is>
      </c>
      <c r="G100" s="15" t="inlineStr">
        <is>
          <t>Active</t>
        </is>
      </c>
      <c r="H100" s="27" t="n"/>
      <c r="I100" s="20">
        <f>IF(OR($A100="",$G100&lt;&gt;"Active"),0,IF($H100&lt;&gt;"",$H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</f>
        <v/>
      </c>
      <c r="J100" s="23">
        <f>IF($C100="",0,IFERROR(INDEX(Deals!$H$2:$H$355,MATCH($C100,Deals!$A$2:$A$355,0)),0))</f>
        <v/>
      </c>
      <c r="K100" s="20">
        <f>IF(Settings!$B$4="Yes",$I100*$J100,$I100)</f>
        <v/>
      </c>
      <c r="L100" s="31">
        <f>IF($C100="","",IFERROR(IF(INDEX(Deals!$I$2:$I$355,MATCH($C100,Deals!$A$2:$A$355,0))=0,"",INDEX(Deals!$I$2:$I$355,MATCH($C100,Deals!$A$2:$A$355,0))),""))</f>
        <v/>
      </c>
      <c r="M100" s="31">
        <f>IF($C100="","",IFERROR(IF(INDEX(Deals!$J$2:$J$355,MATCH($C100,Deals!$A$2:$A$355,0))=0,"",INDEX(Deals!$J$2:$J$355,MATCH($C100,Deals!$A$2:$A$355,0))),""))</f>
        <v/>
      </c>
      <c r="N100" s="24">
        <f>IF($L100="",DATE(1900,1,1),$L100)</f>
        <v/>
      </c>
      <c r="O100" s="24">
        <f>IF($M100="",DATE(2100,12,31),$M100)</f>
        <v/>
      </c>
      <c r="P100" s="16" t="inlineStr"/>
      <c r="Q100" s="16" t="inlineStr"/>
      <c r="R100" s="29">
        <f>IF($C100="","",IFERROR(IF(INDEX(Deals!$U$2:$U$355,MATCH($C100,Deals!$A$2:$A$355,0))=0,"",INDEX(Deals!$U$2:$U$355,MATCH($C100,Deals!$A$2:$A$355,0))),""))</f>
        <v/>
      </c>
      <c r="S100" s="22">
        <f>IFERROR(IF($U100="",1,INDEX(Deals!$V$2:$V$355,MATCH($C100,Deals!$A$2:$A$355,0))),1)</f>
        <v/>
      </c>
      <c r="T100" s="22">
        <f>IFERROR(IF($U100="",1,INDEX(Deals!$W$2:$W$355,MATCH($C100,Deals!$A$2:$A$355,0))),1)</f>
        <v/>
      </c>
      <c r="U100" s="31">
        <f>IF($C100="","",IFERROR(IF(INDEX(Deals!$Y$2:$Y$355,MATCH($C100,Deals!$A$2:$A$355,0))=0,"",INDEX(Deals!$Y$2:$Y$355,MATCH($C100,Deals!$A$2:$A$355,0))),""))</f>
        <v/>
      </c>
      <c r="V100" s="24">
        <f>IF($U100="",DATE(1900,1,1),$N100)</f>
        <v/>
      </c>
      <c r="W100" s="24">
        <f>IF($U100="",DATE(2100,12,31),$U100)</f>
        <v/>
      </c>
      <c r="X100" s="20">
        <f>IF($U100="",$K100,$K100*$S100)</f>
        <v/>
      </c>
      <c r="Y100" s="24">
        <f>IF($U100="",DATE(2100,12,31),$U100+1)</f>
        <v/>
      </c>
      <c r="Z100" s="24">
        <f>IF($U100="",DATE(1900,1,1),$O100)</f>
        <v/>
      </c>
      <c r="AA100" s="20">
        <f>IF($U100="",0,$K100*$T100)</f>
        <v/>
      </c>
    </row>
    <row r="101">
      <c r="A101" s="15" t="inlineStr">
        <is>
          <t>Will B. W.</t>
        </is>
      </c>
      <c r="B101" s="29">
        <f>IF($A101="","",IFERROR(INDEX(Roster!$B$2:$B$40,MATCH($A101,Roster!$A$2:$A$40,0)),"?"))</f>
        <v/>
      </c>
      <c r="C101" s="15" t="inlineStr">
        <is>
          <t>Spark_1</t>
        </is>
      </c>
      <c r="D101" s="29">
        <f>IF($C101="","",IFERROR(IF(INDEX(Deals!$C$2:$C$355,MATCH($C101,Deals!$A$2:$A$355,0))=0,"",INDEX(Deals!$C$2:$C$355,MATCH($C101,Deals!$A$2:$A$355,0))),"?"))</f>
        <v/>
      </c>
      <c r="E101" s="29">
        <f>IF($C101="","",IFERROR(INDEX(Deals!$F$2:$F$355,MATCH($C101,Deals!$A$2:$A$355,0)),"?"))</f>
        <v/>
      </c>
      <c r="F101" s="15" t="inlineStr">
        <is>
          <t>Partner</t>
        </is>
      </c>
      <c r="G101" s="15" t="inlineStr">
        <is>
          <t>Active</t>
        </is>
      </c>
      <c r="H101" s="27" t="n"/>
      <c r="I101" s="20">
        <f>IF(OR($A101="",$G101&lt;&gt;"Active"),0,IF($H101&lt;&gt;"",$H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</f>
        <v/>
      </c>
      <c r="J101" s="23">
        <f>IF($C101="",0,IFERROR(INDEX(Deals!$H$2:$H$355,MATCH($C101,Deals!$A$2:$A$355,0)),0))</f>
        <v/>
      </c>
      <c r="K101" s="20">
        <f>IF(Settings!$B$4="Yes",$I101*$J101,$I101)</f>
        <v/>
      </c>
      <c r="L101" s="31">
        <f>IF($C101="","",IFERROR(IF(INDEX(Deals!$I$2:$I$355,MATCH($C101,Deals!$A$2:$A$355,0))=0,"",INDEX(Deals!$I$2:$I$355,MATCH($C101,Deals!$A$2:$A$355,0))),""))</f>
        <v/>
      </c>
      <c r="M101" s="31">
        <f>IF($C101="","",IFERROR(IF(INDEX(Deals!$J$2:$J$355,MATCH($C101,Deals!$A$2:$A$355,0))=0,"",INDEX(Deals!$J$2:$J$355,MATCH($C101,Deals!$A$2:$A$355,0))),""))</f>
        <v/>
      </c>
      <c r="N101" s="24">
        <f>IF($L101="",DATE(1900,1,1),$L101)</f>
        <v/>
      </c>
      <c r="O101" s="24">
        <f>IF($M101="",DATE(2100,12,31),$M101)</f>
        <v/>
      </c>
      <c r="P101" s="16" t="inlineStr"/>
      <c r="Q101" s="16" t="inlineStr"/>
      <c r="R101" s="29">
        <f>IF($C101="","",IFERROR(IF(INDEX(Deals!$U$2:$U$355,MATCH($C101,Deals!$A$2:$A$355,0))=0,"",INDEX(Deals!$U$2:$U$355,MATCH($C101,Deals!$A$2:$A$355,0))),""))</f>
        <v/>
      </c>
      <c r="S101" s="22">
        <f>IFERROR(IF($U101="",1,INDEX(Deals!$V$2:$V$355,MATCH($C101,Deals!$A$2:$A$355,0))),1)</f>
        <v/>
      </c>
      <c r="T101" s="22">
        <f>IFERROR(IF($U101="",1,INDEX(Deals!$W$2:$W$355,MATCH($C101,Deals!$A$2:$A$355,0))),1)</f>
        <v/>
      </c>
      <c r="U101" s="31">
        <f>IF($C101="","",IFERROR(IF(INDEX(Deals!$Y$2:$Y$355,MATCH($C101,Deals!$A$2:$A$355,0))=0,"",INDEX(Deals!$Y$2:$Y$355,MATCH($C101,Deals!$A$2:$A$355,0))),""))</f>
        <v/>
      </c>
      <c r="V101" s="24">
        <f>IF($U101="",DATE(1900,1,1),$N101)</f>
        <v/>
      </c>
      <c r="W101" s="24">
        <f>IF($U101="",DATE(2100,12,31),$U101)</f>
        <v/>
      </c>
      <c r="X101" s="20">
        <f>IF($U101="",$K101,$K101*$S101)</f>
        <v/>
      </c>
      <c r="Y101" s="24">
        <f>IF($U101="",DATE(2100,12,31),$U101+1)</f>
        <v/>
      </c>
      <c r="Z101" s="24">
        <f>IF($U101="",DATE(1900,1,1),$O101)</f>
        <v/>
      </c>
      <c r="AA101" s="20">
        <f>IF($U101="",0,$K101*$T101)</f>
        <v/>
      </c>
    </row>
    <row r="102">
      <c r="A102" s="15" t="inlineStr">
        <is>
          <t>Kyle Kidd</t>
        </is>
      </c>
      <c r="B102" s="29">
        <f>IF($A102="","",IFERROR(INDEX(Roster!$B$2:$B$40,MATCH($A102,Roster!$A$2:$A$40,0)),"?"))</f>
        <v/>
      </c>
      <c r="C102" s="15" t="inlineStr">
        <is>
          <t>5C Ocean_1</t>
        </is>
      </c>
      <c r="D102" s="29">
        <f>IF($C102="","",IFERROR(IF(INDEX(Deals!$C$2:$C$355,MATCH($C102,Deals!$A$2:$A$355,0))=0,"",INDEX(Deals!$C$2:$C$355,MATCH($C102,Deals!$A$2:$A$355,0))),"?"))</f>
        <v/>
      </c>
      <c r="E102" s="29">
        <f>IF($C102="","",IFERROR(INDEX(Deals!$F$2:$F$355,MATCH($C102,Deals!$A$2:$A$355,0)),"?"))</f>
        <v/>
      </c>
      <c r="F102" s="15" t="inlineStr">
        <is>
          <t>Partner</t>
        </is>
      </c>
      <c r="G102" s="15" t="inlineStr">
        <is>
          <t>Active</t>
        </is>
      </c>
      <c r="H102" s="27" t="n"/>
      <c r="I102" s="20">
        <f>IF(OR($A102="",$G102&lt;&gt;"Active"),0,IF($H102&lt;&gt;"",$H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</f>
        <v/>
      </c>
      <c r="J102" s="23">
        <f>IF($C102="",0,IFERROR(INDEX(Deals!$H$2:$H$355,MATCH($C102,Deals!$A$2:$A$355,0)),0))</f>
        <v/>
      </c>
      <c r="K102" s="20">
        <f>IF(Settings!$B$4="Yes",$I102*$J102,$I102)</f>
        <v/>
      </c>
      <c r="L102" s="31">
        <f>IF($C102="","",IFERROR(IF(INDEX(Deals!$I$2:$I$355,MATCH($C102,Deals!$A$2:$A$355,0))=0,"",INDEX(Deals!$I$2:$I$355,MATCH($C102,Deals!$A$2:$A$355,0))),""))</f>
        <v/>
      </c>
      <c r="M102" s="31">
        <f>IF($C102="","",IFERROR(IF(INDEX(Deals!$J$2:$J$355,MATCH($C102,Deals!$A$2:$A$355,0))=0,"",INDEX(Deals!$J$2:$J$355,MATCH($C102,Deals!$A$2:$A$355,0))),""))</f>
        <v/>
      </c>
      <c r="N102" s="24">
        <f>IF($L102="",DATE(1900,1,1),$L102)</f>
        <v/>
      </c>
      <c r="O102" s="24">
        <f>IF($M102="",DATE(2100,12,31),$M102)</f>
        <v/>
      </c>
      <c r="P102" s="16" t="inlineStr"/>
      <c r="Q102" s="16" t="inlineStr"/>
      <c r="R102" s="29">
        <f>IF($C102="","",IFERROR(IF(INDEX(Deals!$U$2:$U$355,MATCH($C102,Deals!$A$2:$A$355,0))=0,"",INDEX(Deals!$U$2:$U$355,MATCH($C102,Deals!$A$2:$A$355,0))),""))</f>
        <v/>
      </c>
      <c r="S102" s="22">
        <f>IFERROR(IF($U102="",1,INDEX(Deals!$V$2:$V$355,MATCH($C102,Deals!$A$2:$A$355,0))),1)</f>
        <v/>
      </c>
      <c r="T102" s="22">
        <f>IFERROR(IF($U102="",1,INDEX(Deals!$W$2:$W$355,MATCH($C102,Deals!$A$2:$A$355,0))),1)</f>
        <v/>
      </c>
      <c r="U102" s="31">
        <f>IF($C102="","",IFERROR(IF(INDEX(Deals!$Y$2:$Y$355,MATCH($C102,Deals!$A$2:$A$355,0))=0,"",INDEX(Deals!$Y$2:$Y$355,MATCH($C102,Deals!$A$2:$A$355,0))),""))</f>
        <v/>
      </c>
      <c r="V102" s="24">
        <f>IF($U102="",DATE(1900,1,1),$N102)</f>
        <v/>
      </c>
      <c r="W102" s="24">
        <f>IF($U102="",DATE(2100,12,31),$U102)</f>
        <v/>
      </c>
      <c r="X102" s="20">
        <f>IF($U102="",$K102,$K102*$S102)</f>
        <v/>
      </c>
      <c r="Y102" s="24">
        <f>IF($U102="",DATE(2100,12,31),$U102+1)</f>
        <v/>
      </c>
      <c r="Z102" s="24">
        <f>IF($U102="",DATE(1900,1,1),$O102)</f>
        <v/>
      </c>
      <c r="AA102" s="20">
        <f>IF($U102="",0,$K102*$T102)</f>
        <v/>
      </c>
    </row>
    <row r="103">
      <c r="A103" s="15" t="inlineStr">
        <is>
          <t>Kyle Kidd</t>
        </is>
      </c>
      <c r="B103" s="29">
        <f>IF($A103="","",IFERROR(INDEX(Roster!$B$2:$B$40,MATCH($A103,Roster!$A$2:$A$40,0)),"?"))</f>
        <v/>
      </c>
      <c r="C103" s="15" t="inlineStr">
        <is>
          <t>Ad-Hoc_1</t>
        </is>
      </c>
      <c r="D103" s="29">
        <f>IF($C103="","",IFERROR(IF(INDEX(Deals!$C$2:$C$355,MATCH($C103,Deals!$A$2:$A$355,0))=0,"",INDEX(Deals!$C$2:$C$355,MATCH($C103,Deals!$A$2:$A$355,0))),"?"))</f>
        <v/>
      </c>
      <c r="E103" s="29">
        <f>IF($C103="","",IFERROR(INDEX(Deals!$F$2:$F$355,MATCH($C103,Deals!$A$2:$A$355,0)),"?"))</f>
        <v/>
      </c>
      <c r="F103" s="15" t="inlineStr">
        <is>
          <t>Partner</t>
        </is>
      </c>
      <c r="G103" s="15" t="inlineStr">
        <is>
          <t>Active</t>
        </is>
      </c>
      <c r="H103" s="27" t="n"/>
      <c r="I103" s="20">
        <f>IF(OR($A103="",$G103&lt;&gt;"Active"),0,IF($H103&lt;&gt;"",$H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</f>
        <v/>
      </c>
      <c r="J103" s="23">
        <f>IF($C103="",0,IFERROR(INDEX(Deals!$H$2:$H$355,MATCH($C103,Deals!$A$2:$A$355,0)),0))</f>
        <v/>
      </c>
      <c r="K103" s="20">
        <f>IF(Settings!$B$4="Yes",$I103*$J103,$I103)</f>
        <v/>
      </c>
      <c r="L103" s="31">
        <f>IF($C103="","",IFERROR(IF(INDEX(Deals!$I$2:$I$355,MATCH($C103,Deals!$A$2:$A$355,0))=0,"",INDEX(Deals!$I$2:$I$355,MATCH($C103,Deals!$A$2:$A$355,0))),""))</f>
        <v/>
      </c>
      <c r="M103" s="31">
        <f>IF($C103="","",IFERROR(IF(INDEX(Deals!$J$2:$J$355,MATCH($C103,Deals!$A$2:$A$355,0))=0,"",INDEX(Deals!$J$2:$J$355,MATCH($C103,Deals!$A$2:$A$355,0))),""))</f>
        <v/>
      </c>
      <c r="N103" s="24">
        <f>IF($L103="",DATE(1900,1,1),$L103)</f>
        <v/>
      </c>
      <c r="O103" s="24">
        <f>IF($M103="",DATE(2100,12,31),$M103)</f>
        <v/>
      </c>
      <c r="P103" s="16" t="inlineStr"/>
      <c r="Q103" s="16" t="inlineStr"/>
      <c r="R103" s="29">
        <f>IF($C103="","",IFERROR(IF(INDEX(Deals!$U$2:$U$355,MATCH($C103,Deals!$A$2:$A$355,0))=0,"",INDEX(Deals!$U$2:$U$355,MATCH($C103,Deals!$A$2:$A$355,0))),""))</f>
        <v/>
      </c>
      <c r="S103" s="22">
        <f>IFERROR(IF($U103="",1,INDEX(Deals!$V$2:$V$355,MATCH($C103,Deals!$A$2:$A$355,0))),1)</f>
        <v/>
      </c>
      <c r="T103" s="22">
        <f>IFERROR(IF($U103="",1,INDEX(Deals!$W$2:$W$355,MATCH($C103,Deals!$A$2:$A$355,0))),1)</f>
        <v/>
      </c>
      <c r="U103" s="31">
        <f>IF($C103="","",IFERROR(IF(INDEX(Deals!$Y$2:$Y$355,MATCH($C103,Deals!$A$2:$A$355,0))=0,"",INDEX(Deals!$Y$2:$Y$355,MATCH($C103,Deals!$A$2:$A$355,0))),""))</f>
        <v/>
      </c>
      <c r="V103" s="24">
        <f>IF($U103="",DATE(1900,1,1),$N103)</f>
        <v/>
      </c>
      <c r="W103" s="24">
        <f>IF($U103="",DATE(2100,12,31),$U103)</f>
        <v/>
      </c>
      <c r="X103" s="20">
        <f>IF($U103="",$K103,$K103*$S103)</f>
        <v/>
      </c>
      <c r="Y103" s="24">
        <f>IF($U103="",DATE(2100,12,31),$U103+1)</f>
        <v/>
      </c>
      <c r="Z103" s="24">
        <f>IF($U103="",DATE(1900,1,1),$O103)</f>
        <v/>
      </c>
      <c r="AA103" s="20">
        <f>IF($U103="",0,$K103*$T103)</f>
        <v/>
      </c>
    </row>
    <row r="104">
      <c r="A104" s="15" t="inlineStr">
        <is>
          <t>Kyle Kidd</t>
        </is>
      </c>
      <c r="B104" s="29">
        <f>IF($A104="","",IFERROR(INDEX(Roster!$B$2:$B$40,MATCH($A104,Roster!$A$2:$A$40,0)),"?"))</f>
        <v/>
      </c>
      <c r="C104" s="15" t="inlineStr">
        <is>
          <t>AOP Model_1</t>
        </is>
      </c>
      <c r="D104" s="29">
        <f>IF($C104="","",IFERROR(IF(INDEX(Deals!$C$2:$C$355,MATCH($C104,Deals!$A$2:$A$355,0))=0,"",INDEX(Deals!$C$2:$C$355,MATCH($C104,Deals!$A$2:$A$355,0))),"?"))</f>
        <v/>
      </c>
      <c r="E104" s="29">
        <f>IF($C104="","",IFERROR(INDEX(Deals!$F$2:$F$355,MATCH($C104,Deals!$A$2:$A$355,0)),"?"))</f>
        <v/>
      </c>
      <c r="F104" s="15" t="inlineStr">
        <is>
          <t>Partner</t>
        </is>
      </c>
      <c r="G104" s="15" t="inlineStr">
        <is>
          <t>Active</t>
        </is>
      </c>
      <c r="H104" s="27" t="n"/>
      <c r="I104" s="20">
        <f>IF(OR($A104="",$G104&lt;&gt;"Active"),0,IF($H104&lt;&gt;"",$H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</f>
        <v/>
      </c>
      <c r="J104" s="23">
        <f>IF($C104="",0,IFERROR(INDEX(Deals!$H$2:$H$355,MATCH($C104,Deals!$A$2:$A$355,0)),0))</f>
        <v/>
      </c>
      <c r="K104" s="20">
        <f>IF(Settings!$B$4="Yes",$I104*$J104,$I104)</f>
        <v/>
      </c>
      <c r="L104" s="31">
        <f>IF($C104="","",IFERROR(IF(INDEX(Deals!$I$2:$I$355,MATCH($C104,Deals!$A$2:$A$355,0))=0,"",INDEX(Deals!$I$2:$I$355,MATCH($C104,Deals!$A$2:$A$355,0))),""))</f>
        <v/>
      </c>
      <c r="M104" s="31">
        <f>IF($C104="","",IFERROR(IF(INDEX(Deals!$J$2:$J$355,MATCH($C104,Deals!$A$2:$A$355,0))=0,"",INDEX(Deals!$J$2:$J$355,MATCH($C104,Deals!$A$2:$A$355,0))),""))</f>
        <v/>
      </c>
      <c r="N104" s="24">
        <f>IF($L104="",DATE(1900,1,1),$L104)</f>
        <v/>
      </c>
      <c r="O104" s="24">
        <f>IF($M104="",DATE(2100,12,31),$M104)</f>
        <v/>
      </c>
      <c r="P104" s="16" t="inlineStr"/>
      <c r="Q104" s="16" t="inlineStr"/>
      <c r="R104" s="29">
        <f>IF($C104="","",IFERROR(IF(INDEX(Deals!$U$2:$U$355,MATCH($C104,Deals!$A$2:$A$355,0))=0,"",INDEX(Deals!$U$2:$U$355,MATCH($C104,Deals!$A$2:$A$355,0))),""))</f>
        <v/>
      </c>
      <c r="S104" s="22">
        <f>IFERROR(IF($U104="",1,INDEX(Deals!$V$2:$V$355,MATCH($C104,Deals!$A$2:$A$355,0))),1)</f>
        <v/>
      </c>
      <c r="T104" s="22">
        <f>IFERROR(IF($U104="",1,INDEX(Deals!$W$2:$W$355,MATCH($C104,Deals!$A$2:$A$355,0))),1)</f>
        <v/>
      </c>
      <c r="U104" s="31">
        <f>IF($C104="","",IFERROR(IF(INDEX(Deals!$Y$2:$Y$355,MATCH($C104,Deals!$A$2:$A$355,0))=0,"",INDEX(Deals!$Y$2:$Y$355,MATCH($C104,Deals!$A$2:$A$355,0))),""))</f>
        <v/>
      </c>
      <c r="V104" s="24">
        <f>IF($U104="",DATE(1900,1,1),$N104)</f>
        <v/>
      </c>
      <c r="W104" s="24">
        <f>IF($U104="",DATE(2100,12,31),$U104)</f>
        <v/>
      </c>
      <c r="X104" s="20">
        <f>IF($U104="",$K104,$K104*$S104)</f>
        <v/>
      </c>
      <c r="Y104" s="24">
        <f>IF($U104="",DATE(2100,12,31),$U104+1)</f>
        <v/>
      </c>
      <c r="Z104" s="24">
        <f>IF($U104="",DATE(1900,1,1),$O104)</f>
        <v/>
      </c>
      <c r="AA104" s="20">
        <f>IF($U104="",0,$K104*$T104)</f>
        <v/>
      </c>
    </row>
    <row r="105">
      <c r="A105" s="15" t="inlineStr">
        <is>
          <t>Kyle Kidd</t>
        </is>
      </c>
      <c r="B105" s="29">
        <f>IF($A105="","",IFERROR(INDEX(Roster!$B$2:$B$40,MATCH($A105,Roster!$A$2:$A$40,0)),"?"))</f>
        <v/>
      </c>
      <c r="C105" s="15" t="inlineStr">
        <is>
          <t>Ares FIRPTA_2</t>
        </is>
      </c>
      <c r="D105" s="29">
        <f>IF($C105="","",IFERROR(IF(INDEX(Deals!$C$2:$C$355,MATCH($C105,Deals!$A$2:$A$355,0))=0,"",INDEX(Deals!$C$2:$C$355,MATCH($C105,Deals!$A$2:$A$355,0))),"?"))</f>
        <v/>
      </c>
      <c r="E105" s="29">
        <f>IF($C105="","",IFERROR(INDEX(Deals!$F$2:$F$355,MATCH($C105,Deals!$A$2:$A$355,0)),"?"))</f>
        <v/>
      </c>
      <c r="F105" s="15" t="inlineStr">
        <is>
          <t>Partner</t>
        </is>
      </c>
      <c r="G105" s="15" t="inlineStr">
        <is>
          <t>Active</t>
        </is>
      </c>
      <c r="H105" s="27" t="n"/>
      <c r="I105" s="20">
        <f>IF(OR($A105="",$G105&lt;&gt;"Active"),0,IF($H105&lt;&gt;"",$H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</f>
        <v/>
      </c>
      <c r="J105" s="23">
        <f>IF($C105="",0,IFERROR(INDEX(Deals!$H$2:$H$355,MATCH($C105,Deals!$A$2:$A$355,0)),0))</f>
        <v/>
      </c>
      <c r="K105" s="20">
        <f>IF(Settings!$B$4="Yes",$I105*$J105,$I105)</f>
        <v/>
      </c>
      <c r="L105" s="31">
        <f>IF($C105="","",IFERROR(IF(INDEX(Deals!$I$2:$I$355,MATCH($C105,Deals!$A$2:$A$355,0))=0,"",INDEX(Deals!$I$2:$I$355,MATCH($C105,Deals!$A$2:$A$355,0))),""))</f>
        <v/>
      </c>
      <c r="M105" s="31">
        <f>IF($C105="","",IFERROR(IF(INDEX(Deals!$J$2:$J$355,MATCH($C105,Deals!$A$2:$A$355,0))=0,"",INDEX(Deals!$J$2:$J$355,MATCH($C105,Deals!$A$2:$A$355,0))),""))</f>
        <v/>
      </c>
      <c r="N105" s="24">
        <f>IF($L105="",DATE(1900,1,1),$L105)</f>
        <v/>
      </c>
      <c r="O105" s="24">
        <f>IF($M105="",DATE(2100,12,31),$M105)</f>
        <v/>
      </c>
      <c r="P105" s="16" t="inlineStr"/>
      <c r="Q105" s="16" t="inlineStr"/>
      <c r="R105" s="29">
        <f>IF($C105="","",IFERROR(IF(INDEX(Deals!$U$2:$U$355,MATCH($C105,Deals!$A$2:$A$355,0))=0,"",INDEX(Deals!$U$2:$U$355,MATCH($C105,Deals!$A$2:$A$355,0))),""))</f>
        <v/>
      </c>
      <c r="S105" s="22">
        <f>IFERROR(IF($U105="",1,INDEX(Deals!$V$2:$V$355,MATCH($C105,Deals!$A$2:$A$355,0))),1)</f>
        <v/>
      </c>
      <c r="T105" s="22">
        <f>IFERROR(IF($U105="",1,INDEX(Deals!$W$2:$W$355,MATCH($C105,Deals!$A$2:$A$355,0))),1)</f>
        <v/>
      </c>
      <c r="U105" s="31">
        <f>IF($C105="","",IFERROR(IF(INDEX(Deals!$Y$2:$Y$355,MATCH($C105,Deals!$A$2:$A$355,0))=0,"",INDEX(Deals!$Y$2:$Y$355,MATCH($C105,Deals!$A$2:$A$355,0))),""))</f>
        <v/>
      </c>
      <c r="V105" s="24">
        <f>IF($U105="",DATE(1900,1,1),$N105)</f>
        <v/>
      </c>
      <c r="W105" s="24">
        <f>IF($U105="",DATE(2100,12,31),$U105)</f>
        <v/>
      </c>
      <c r="X105" s="20">
        <f>IF($U105="",$K105,$K105*$S105)</f>
        <v/>
      </c>
      <c r="Y105" s="24">
        <f>IF($U105="",DATE(2100,12,31),$U105+1)</f>
        <v/>
      </c>
      <c r="Z105" s="24">
        <f>IF($U105="",DATE(1900,1,1),$O105)</f>
        <v/>
      </c>
      <c r="AA105" s="20">
        <f>IF($U105="",0,$K105*$T105)</f>
        <v/>
      </c>
    </row>
    <row r="106">
      <c r="A106" s="15" t="inlineStr">
        <is>
          <t>Kyle Kidd</t>
        </is>
      </c>
      <c r="B106" s="29">
        <f>IF($A106="","",IFERROR(INDEX(Roster!$B$2:$B$40,MATCH($A106,Roster!$A$2:$A$40,0)),"?"))</f>
        <v/>
      </c>
      <c r="C106" s="15" t="inlineStr">
        <is>
          <t>Beacon_3</t>
        </is>
      </c>
      <c r="D106" s="29">
        <f>IF($C106="","",IFERROR(IF(INDEX(Deals!$C$2:$C$355,MATCH($C106,Deals!$A$2:$A$355,0))=0,"",INDEX(Deals!$C$2:$C$355,MATCH($C106,Deals!$A$2:$A$355,0))),"?"))</f>
        <v/>
      </c>
      <c r="E106" s="29">
        <f>IF($C106="","",IFERROR(INDEX(Deals!$F$2:$F$355,MATCH($C106,Deals!$A$2:$A$355,0)),"?"))</f>
        <v/>
      </c>
      <c r="F106" s="15" t="inlineStr">
        <is>
          <t>Partner</t>
        </is>
      </c>
      <c r="G106" s="15" t="inlineStr">
        <is>
          <t>Inactive</t>
        </is>
      </c>
      <c r="H106" s="27" t="n"/>
      <c r="I106" s="20">
        <f>IF(OR($A106="",$G106&lt;&gt;"Active"),0,IF($H106&lt;&gt;"",$H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</f>
        <v/>
      </c>
      <c r="J106" s="23">
        <f>IF($C106="",0,IFERROR(INDEX(Deals!$H$2:$H$355,MATCH($C106,Deals!$A$2:$A$355,0)),0))</f>
        <v/>
      </c>
      <c r="K106" s="20">
        <f>IF(Settings!$B$4="Yes",$I106*$J106,$I106)</f>
        <v/>
      </c>
      <c r="L106" s="31">
        <f>IF($C106="","",IFERROR(IF(INDEX(Deals!$I$2:$I$355,MATCH($C106,Deals!$A$2:$A$355,0))=0,"",INDEX(Deals!$I$2:$I$355,MATCH($C106,Deals!$A$2:$A$355,0))),""))</f>
        <v/>
      </c>
      <c r="M106" s="31">
        <f>IF($C106="","",IFERROR(IF(INDEX(Deals!$J$2:$J$355,MATCH($C106,Deals!$A$2:$A$355,0))=0,"",INDEX(Deals!$J$2:$J$355,MATCH($C106,Deals!$A$2:$A$355,0))),""))</f>
        <v/>
      </c>
      <c r="N106" s="24">
        <f>IF($L106="",DATE(1900,1,1),$L106)</f>
        <v/>
      </c>
      <c r="O106" s="24">
        <f>IF($M106="",DATE(2100,12,31),$M106)</f>
        <v/>
      </c>
      <c r="P106" s="16" t="inlineStr"/>
      <c r="Q106" s="16" t="inlineStr">
        <is>
          <t>Deal lifecycle is Dead</t>
        </is>
      </c>
      <c r="R106" s="29">
        <f>IF($C106="","",IFERROR(IF(INDEX(Deals!$U$2:$U$355,MATCH($C106,Deals!$A$2:$A$355,0))=0,"",INDEX(Deals!$U$2:$U$355,MATCH($C106,Deals!$A$2:$A$355,0))),""))</f>
        <v/>
      </c>
      <c r="S106" s="22">
        <f>IFERROR(IF($U106="",1,INDEX(Deals!$V$2:$V$355,MATCH($C106,Deals!$A$2:$A$355,0))),1)</f>
        <v/>
      </c>
      <c r="T106" s="22">
        <f>IFERROR(IF($U106="",1,INDEX(Deals!$W$2:$W$355,MATCH($C106,Deals!$A$2:$A$355,0))),1)</f>
        <v/>
      </c>
      <c r="U106" s="31">
        <f>IF($C106="","",IFERROR(IF(INDEX(Deals!$Y$2:$Y$355,MATCH($C106,Deals!$A$2:$A$355,0))=0,"",INDEX(Deals!$Y$2:$Y$355,MATCH($C106,Deals!$A$2:$A$355,0))),""))</f>
        <v/>
      </c>
      <c r="V106" s="24">
        <f>IF($U106="",DATE(1900,1,1),$N106)</f>
        <v/>
      </c>
      <c r="W106" s="24">
        <f>IF($U106="",DATE(2100,12,31),$U106)</f>
        <v/>
      </c>
      <c r="X106" s="20">
        <f>IF($U106="",$K106,$K106*$S106)</f>
        <v/>
      </c>
      <c r="Y106" s="24">
        <f>IF($U106="",DATE(2100,12,31),$U106+1)</f>
        <v/>
      </c>
      <c r="Z106" s="24">
        <f>IF($U106="",DATE(1900,1,1),$O106)</f>
        <v/>
      </c>
      <c r="AA106" s="20">
        <f>IF($U106="",0,$K106*$T106)</f>
        <v/>
      </c>
    </row>
    <row r="107">
      <c r="A107" s="15" t="inlineStr">
        <is>
          <t>Kyle Kidd</t>
        </is>
      </c>
      <c r="B107" s="29">
        <f>IF($A107="","",IFERROR(INDEX(Roster!$B$2:$B$40,MATCH($A107,Roster!$A$2:$A$40,0)),"?"))</f>
        <v/>
      </c>
      <c r="C107" s="15" t="inlineStr">
        <is>
          <t>Blue_6</t>
        </is>
      </c>
      <c r="D107" s="29">
        <f>IF($C107="","",IFERROR(IF(INDEX(Deals!$C$2:$C$355,MATCH($C107,Deals!$A$2:$A$355,0))=0,"",INDEX(Deals!$C$2:$C$355,MATCH($C107,Deals!$A$2:$A$355,0))),"?"))</f>
        <v/>
      </c>
      <c r="E107" s="29">
        <f>IF($C107="","",IFERROR(INDEX(Deals!$F$2:$F$355,MATCH($C107,Deals!$A$2:$A$355,0)),"?"))</f>
        <v/>
      </c>
      <c r="F107" s="15" t="inlineStr">
        <is>
          <t>Partner</t>
        </is>
      </c>
      <c r="G107" s="15" t="inlineStr">
        <is>
          <t>Active</t>
        </is>
      </c>
      <c r="H107" s="27" t="n"/>
      <c r="I107" s="20">
        <f>IF(OR($A107="",$G107&lt;&gt;"Active"),0,IF($H107&lt;&gt;"",$H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</f>
        <v/>
      </c>
      <c r="J107" s="23">
        <f>IF($C107="",0,IFERROR(INDEX(Deals!$H$2:$H$355,MATCH($C107,Deals!$A$2:$A$355,0)),0))</f>
        <v/>
      </c>
      <c r="K107" s="20">
        <f>IF(Settings!$B$4="Yes",$I107*$J107,$I107)</f>
        <v/>
      </c>
      <c r="L107" s="31">
        <f>IF($C107="","",IFERROR(IF(INDEX(Deals!$I$2:$I$355,MATCH($C107,Deals!$A$2:$A$355,0))=0,"",INDEX(Deals!$I$2:$I$355,MATCH($C107,Deals!$A$2:$A$355,0))),""))</f>
        <v/>
      </c>
      <c r="M107" s="31">
        <f>IF($C107="","",IFERROR(IF(INDEX(Deals!$J$2:$J$355,MATCH($C107,Deals!$A$2:$A$355,0))=0,"",INDEX(Deals!$J$2:$J$355,MATCH($C107,Deals!$A$2:$A$355,0))),""))</f>
        <v/>
      </c>
      <c r="N107" s="24">
        <f>IF($L107="",DATE(1900,1,1),$L107)</f>
        <v/>
      </c>
      <c r="O107" s="24">
        <f>IF($M107="",DATE(2100,12,31),$M107)</f>
        <v/>
      </c>
      <c r="P107" s="16" t="inlineStr"/>
      <c r="Q107" s="16" t="inlineStr"/>
      <c r="R107" s="29">
        <f>IF($C107="","",IFERROR(IF(INDEX(Deals!$U$2:$U$355,MATCH($C107,Deals!$A$2:$A$355,0))=0,"",INDEX(Deals!$U$2:$U$355,MATCH($C107,Deals!$A$2:$A$355,0))),""))</f>
        <v/>
      </c>
      <c r="S107" s="22">
        <f>IFERROR(IF($U107="",1,INDEX(Deals!$V$2:$V$355,MATCH($C107,Deals!$A$2:$A$355,0))),1)</f>
        <v/>
      </c>
      <c r="T107" s="22">
        <f>IFERROR(IF($U107="",1,INDEX(Deals!$W$2:$W$355,MATCH($C107,Deals!$A$2:$A$355,0))),1)</f>
        <v/>
      </c>
      <c r="U107" s="31">
        <f>IF($C107="","",IFERROR(IF(INDEX(Deals!$Y$2:$Y$355,MATCH($C107,Deals!$A$2:$A$355,0))=0,"",INDEX(Deals!$Y$2:$Y$355,MATCH($C107,Deals!$A$2:$A$355,0))),""))</f>
        <v/>
      </c>
      <c r="V107" s="24">
        <f>IF($U107="",DATE(1900,1,1),$N107)</f>
        <v/>
      </c>
      <c r="W107" s="24">
        <f>IF($U107="",DATE(2100,12,31),$U107)</f>
        <v/>
      </c>
      <c r="X107" s="20">
        <f>IF($U107="",$K107,$K107*$S107)</f>
        <v/>
      </c>
      <c r="Y107" s="24">
        <f>IF($U107="",DATE(2100,12,31),$U107+1)</f>
        <v/>
      </c>
      <c r="Z107" s="24">
        <f>IF($U107="",DATE(1900,1,1),$O107)</f>
        <v/>
      </c>
      <c r="AA107" s="20">
        <f>IF($U107="",0,$K107*$T107)</f>
        <v/>
      </c>
    </row>
    <row r="108">
      <c r="A108" s="15" t="inlineStr">
        <is>
          <t>Kyle Kidd</t>
        </is>
      </c>
      <c r="B108" s="29">
        <f>IF($A108="","",IFERROR(INDEX(Roster!$B$2:$B$40,MATCH($A108,Roster!$A$2:$A$40,0)),"?"))</f>
        <v/>
      </c>
      <c r="C108" s="15" t="inlineStr">
        <is>
          <t>Canyon_1</t>
        </is>
      </c>
      <c r="D108" s="29">
        <f>IF($C108="","",IFERROR(IF(INDEX(Deals!$C$2:$C$355,MATCH($C108,Deals!$A$2:$A$355,0))=0,"",INDEX(Deals!$C$2:$C$355,MATCH($C108,Deals!$A$2:$A$355,0))),"?"))</f>
        <v/>
      </c>
      <c r="E108" s="29">
        <f>IF($C108="","",IFERROR(INDEX(Deals!$F$2:$F$355,MATCH($C108,Deals!$A$2:$A$355,0)),"?"))</f>
        <v/>
      </c>
      <c r="F108" s="15" t="inlineStr">
        <is>
          <t>Partner</t>
        </is>
      </c>
      <c r="G108" s="15" t="inlineStr">
        <is>
          <t>Inactive</t>
        </is>
      </c>
      <c r="H108" s="27" t="n"/>
      <c r="I108" s="20">
        <f>IF(OR($A108="",$G108&lt;&gt;"Active"),0,IF($H108&lt;&gt;"",$H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</f>
        <v/>
      </c>
      <c r="J108" s="23">
        <f>IF($C108="",0,IFERROR(INDEX(Deals!$H$2:$H$355,MATCH($C108,Deals!$A$2:$A$355,0)),0))</f>
        <v/>
      </c>
      <c r="K108" s="20">
        <f>IF(Settings!$B$4="Yes",$I108*$J108,$I108)</f>
        <v/>
      </c>
      <c r="L108" s="31">
        <f>IF($C108="","",IFERROR(IF(INDEX(Deals!$I$2:$I$355,MATCH($C108,Deals!$A$2:$A$355,0))=0,"",INDEX(Deals!$I$2:$I$355,MATCH($C108,Deals!$A$2:$A$355,0))),""))</f>
        <v/>
      </c>
      <c r="M108" s="31">
        <f>IF($C108="","",IFERROR(IF(INDEX(Deals!$J$2:$J$355,MATCH($C108,Deals!$A$2:$A$355,0))=0,"",INDEX(Deals!$J$2:$J$355,MATCH($C108,Deals!$A$2:$A$355,0))),""))</f>
        <v/>
      </c>
      <c r="N108" s="24">
        <f>IF($L108="",DATE(1900,1,1),$L108)</f>
        <v/>
      </c>
      <c r="O108" s="24">
        <f>IF($M108="",DATE(2100,12,31),$M108)</f>
        <v/>
      </c>
      <c r="P108" s="16" t="inlineStr"/>
      <c r="Q108" s="16" t="inlineStr">
        <is>
          <t>Deal lifecycle is Dead</t>
        </is>
      </c>
      <c r="R108" s="29">
        <f>IF($C108="","",IFERROR(IF(INDEX(Deals!$U$2:$U$355,MATCH($C108,Deals!$A$2:$A$355,0))=0,"",INDEX(Deals!$U$2:$U$355,MATCH($C108,Deals!$A$2:$A$355,0))),""))</f>
        <v/>
      </c>
      <c r="S108" s="22">
        <f>IFERROR(IF($U108="",1,INDEX(Deals!$V$2:$V$355,MATCH($C108,Deals!$A$2:$A$355,0))),1)</f>
        <v/>
      </c>
      <c r="T108" s="22">
        <f>IFERROR(IF($U108="",1,INDEX(Deals!$W$2:$W$355,MATCH($C108,Deals!$A$2:$A$355,0))),1)</f>
        <v/>
      </c>
      <c r="U108" s="31">
        <f>IF($C108="","",IFERROR(IF(INDEX(Deals!$Y$2:$Y$355,MATCH($C108,Deals!$A$2:$A$355,0))=0,"",INDEX(Deals!$Y$2:$Y$355,MATCH($C108,Deals!$A$2:$A$355,0))),""))</f>
        <v/>
      </c>
      <c r="V108" s="24">
        <f>IF($U108="",DATE(1900,1,1),$N108)</f>
        <v/>
      </c>
      <c r="W108" s="24">
        <f>IF($U108="",DATE(2100,12,31),$U108)</f>
        <v/>
      </c>
      <c r="X108" s="20">
        <f>IF($U108="",$K108,$K108*$S108)</f>
        <v/>
      </c>
      <c r="Y108" s="24">
        <f>IF($U108="",DATE(2100,12,31),$U108+1)</f>
        <v/>
      </c>
      <c r="Z108" s="24">
        <f>IF($U108="",DATE(1900,1,1),$O108)</f>
        <v/>
      </c>
      <c r="AA108" s="20">
        <f>IF($U108="",0,$K108*$T108)</f>
        <v/>
      </c>
    </row>
    <row r="109">
      <c r="A109" s="15" t="inlineStr">
        <is>
          <t>Kyle Kidd</t>
        </is>
      </c>
      <c r="B109" s="29">
        <f>IF($A109="","",IFERROR(INDEX(Roster!$B$2:$B$40,MATCH($A109,Roster!$A$2:$A$40,0)),"?"))</f>
        <v/>
      </c>
      <c r="C109" s="15" t="inlineStr">
        <is>
          <t>Chicago RE_1</t>
        </is>
      </c>
      <c r="D109" s="29">
        <f>IF($C109="","",IFERROR(IF(INDEX(Deals!$C$2:$C$355,MATCH($C109,Deals!$A$2:$A$355,0))=0,"",INDEX(Deals!$C$2:$C$355,MATCH($C109,Deals!$A$2:$A$355,0))),"?"))</f>
        <v/>
      </c>
      <c r="E109" s="29">
        <f>IF($C109="","",IFERROR(INDEX(Deals!$F$2:$F$355,MATCH($C109,Deals!$A$2:$A$355,0)),"?"))</f>
        <v/>
      </c>
      <c r="F109" s="15" t="inlineStr">
        <is>
          <t>Partner</t>
        </is>
      </c>
      <c r="G109" s="15" t="inlineStr">
        <is>
          <t>Active</t>
        </is>
      </c>
      <c r="H109" s="27" t="n"/>
      <c r="I109" s="20">
        <f>IF(OR($A109="",$G109&lt;&gt;"Active"),0,IF($H109&lt;&gt;"",$H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</f>
        <v/>
      </c>
      <c r="J109" s="23">
        <f>IF($C109="",0,IFERROR(INDEX(Deals!$H$2:$H$355,MATCH($C109,Deals!$A$2:$A$355,0)),0))</f>
        <v/>
      </c>
      <c r="K109" s="20">
        <f>IF(Settings!$B$4="Yes",$I109*$J109,$I109)</f>
        <v/>
      </c>
      <c r="L109" s="31">
        <f>IF($C109="","",IFERROR(IF(INDEX(Deals!$I$2:$I$355,MATCH($C109,Deals!$A$2:$A$355,0))=0,"",INDEX(Deals!$I$2:$I$355,MATCH($C109,Deals!$A$2:$A$355,0))),""))</f>
        <v/>
      </c>
      <c r="M109" s="31">
        <f>IF($C109="","",IFERROR(IF(INDEX(Deals!$J$2:$J$355,MATCH($C109,Deals!$A$2:$A$355,0))=0,"",INDEX(Deals!$J$2:$J$355,MATCH($C109,Deals!$A$2:$A$355,0))),""))</f>
        <v/>
      </c>
      <c r="N109" s="24">
        <f>IF($L109="",DATE(1900,1,1),$L109)</f>
        <v/>
      </c>
      <c r="O109" s="24">
        <f>IF($M109="",DATE(2100,12,31),$M109)</f>
        <v/>
      </c>
      <c r="P109" s="16" t="inlineStr"/>
      <c r="Q109" s="16" t="inlineStr"/>
      <c r="R109" s="29">
        <f>IF($C109="","",IFERROR(IF(INDEX(Deals!$U$2:$U$355,MATCH($C109,Deals!$A$2:$A$355,0))=0,"",INDEX(Deals!$U$2:$U$355,MATCH($C109,Deals!$A$2:$A$355,0))),""))</f>
        <v/>
      </c>
      <c r="S109" s="22">
        <f>IFERROR(IF($U109="",1,INDEX(Deals!$V$2:$V$355,MATCH($C109,Deals!$A$2:$A$355,0))),1)</f>
        <v/>
      </c>
      <c r="T109" s="22">
        <f>IFERROR(IF($U109="",1,INDEX(Deals!$W$2:$W$355,MATCH($C109,Deals!$A$2:$A$355,0))),1)</f>
        <v/>
      </c>
      <c r="U109" s="31">
        <f>IF($C109="","",IFERROR(IF(INDEX(Deals!$Y$2:$Y$355,MATCH($C109,Deals!$A$2:$A$355,0))=0,"",INDEX(Deals!$Y$2:$Y$355,MATCH($C109,Deals!$A$2:$A$355,0))),""))</f>
        <v/>
      </c>
      <c r="V109" s="24">
        <f>IF($U109="",DATE(1900,1,1),$N109)</f>
        <v/>
      </c>
      <c r="W109" s="24">
        <f>IF($U109="",DATE(2100,12,31),$U109)</f>
        <v/>
      </c>
      <c r="X109" s="20">
        <f>IF($U109="",$K109,$K109*$S109)</f>
        <v/>
      </c>
      <c r="Y109" s="24">
        <f>IF($U109="",DATE(2100,12,31),$U109+1)</f>
        <v/>
      </c>
      <c r="Z109" s="24">
        <f>IF($U109="",DATE(1900,1,1),$O109)</f>
        <v/>
      </c>
      <c r="AA109" s="20">
        <f>IF($U109="",0,$K109*$T109)</f>
        <v/>
      </c>
    </row>
    <row r="110">
      <c r="A110" s="15" t="inlineStr">
        <is>
          <t>Kyle Kidd</t>
        </is>
      </c>
      <c r="B110" s="29">
        <f>IF($A110="","",IFERROR(INDEX(Roster!$B$2:$B$40,MATCH($A110,Roster!$A$2:$A$40,0)),"?"))</f>
        <v/>
      </c>
      <c r="C110" s="15" t="inlineStr">
        <is>
          <t>CopiaAdHoc_1</t>
        </is>
      </c>
      <c r="D110" s="29">
        <f>IF($C110="","",IFERROR(IF(INDEX(Deals!$C$2:$C$355,MATCH($C110,Deals!$A$2:$A$355,0))=0,"",INDEX(Deals!$C$2:$C$355,MATCH($C110,Deals!$A$2:$A$355,0))),"?"))</f>
        <v/>
      </c>
      <c r="E110" s="29">
        <f>IF($C110="","",IFERROR(INDEX(Deals!$F$2:$F$355,MATCH($C110,Deals!$A$2:$A$355,0)),"?"))</f>
        <v/>
      </c>
      <c r="F110" s="15" t="inlineStr">
        <is>
          <t>Partner</t>
        </is>
      </c>
      <c r="G110" s="15" t="inlineStr">
        <is>
          <t>Active</t>
        </is>
      </c>
      <c r="H110" s="27" t="n"/>
      <c r="I110" s="20">
        <f>IF(OR($A110="",$G110&lt;&gt;"Active"),0,IF($H110&lt;&gt;"",$H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</f>
        <v/>
      </c>
      <c r="J110" s="23">
        <f>IF($C110="",0,IFERROR(INDEX(Deals!$H$2:$H$355,MATCH($C110,Deals!$A$2:$A$355,0)),0))</f>
        <v/>
      </c>
      <c r="K110" s="20">
        <f>IF(Settings!$B$4="Yes",$I110*$J110,$I110)</f>
        <v/>
      </c>
      <c r="L110" s="31">
        <f>IF($C110="","",IFERROR(IF(INDEX(Deals!$I$2:$I$355,MATCH($C110,Deals!$A$2:$A$355,0))=0,"",INDEX(Deals!$I$2:$I$355,MATCH($C110,Deals!$A$2:$A$355,0))),""))</f>
        <v/>
      </c>
      <c r="M110" s="31">
        <f>IF($C110="","",IFERROR(IF(INDEX(Deals!$J$2:$J$355,MATCH($C110,Deals!$A$2:$A$355,0))=0,"",INDEX(Deals!$J$2:$J$355,MATCH($C110,Deals!$A$2:$A$355,0))),""))</f>
        <v/>
      </c>
      <c r="N110" s="24">
        <f>IF($L110="",DATE(1900,1,1),$L110)</f>
        <v/>
      </c>
      <c r="O110" s="24">
        <f>IF($M110="",DATE(2100,12,31),$M110)</f>
        <v/>
      </c>
      <c r="P110" s="16" t="inlineStr"/>
      <c r="Q110" s="16" t="inlineStr"/>
      <c r="R110" s="29">
        <f>IF($C110="","",IFERROR(IF(INDEX(Deals!$U$2:$U$355,MATCH($C110,Deals!$A$2:$A$355,0))=0,"",INDEX(Deals!$U$2:$U$355,MATCH($C110,Deals!$A$2:$A$355,0))),""))</f>
        <v/>
      </c>
      <c r="S110" s="22">
        <f>IFERROR(IF($U110="",1,INDEX(Deals!$V$2:$V$355,MATCH($C110,Deals!$A$2:$A$355,0))),1)</f>
        <v/>
      </c>
      <c r="T110" s="22">
        <f>IFERROR(IF($U110="",1,INDEX(Deals!$W$2:$W$355,MATCH($C110,Deals!$A$2:$A$355,0))),1)</f>
        <v/>
      </c>
      <c r="U110" s="31">
        <f>IF($C110="","",IFERROR(IF(INDEX(Deals!$Y$2:$Y$355,MATCH($C110,Deals!$A$2:$A$355,0))=0,"",INDEX(Deals!$Y$2:$Y$355,MATCH($C110,Deals!$A$2:$A$355,0))),""))</f>
        <v/>
      </c>
      <c r="V110" s="24">
        <f>IF($U110="",DATE(1900,1,1),$N110)</f>
        <v/>
      </c>
      <c r="W110" s="24">
        <f>IF($U110="",DATE(2100,12,31),$U110)</f>
        <v/>
      </c>
      <c r="X110" s="20">
        <f>IF($U110="",$K110,$K110*$S110)</f>
        <v/>
      </c>
      <c r="Y110" s="24">
        <f>IF($U110="",DATE(2100,12,31),$U110+1)</f>
        <v/>
      </c>
      <c r="Z110" s="24">
        <f>IF($U110="",DATE(1900,1,1),$O110)</f>
        <v/>
      </c>
      <c r="AA110" s="20">
        <f>IF($U110="",0,$K110*$T110)</f>
        <v/>
      </c>
    </row>
    <row r="111">
      <c r="A111" s="15" t="inlineStr">
        <is>
          <t>Kyle Kidd</t>
        </is>
      </c>
      <c r="B111" s="29">
        <f>IF($A111="","",IFERROR(INDEX(Roster!$B$2:$B$40,MATCH($A111,Roster!$A$2:$A$40,0)),"?"))</f>
        <v/>
      </c>
      <c r="C111" s="15" t="inlineStr">
        <is>
          <t>Dental_1</t>
        </is>
      </c>
      <c r="D111" s="29">
        <f>IF($C111="","",IFERROR(IF(INDEX(Deals!$C$2:$C$355,MATCH($C111,Deals!$A$2:$A$355,0))=0,"",INDEX(Deals!$C$2:$C$355,MATCH($C111,Deals!$A$2:$A$355,0))),"?"))</f>
        <v/>
      </c>
      <c r="E111" s="29">
        <f>IF($C111="","",IFERROR(INDEX(Deals!$F$2:$F$355,MATCH($C111,Deals!$A$2:$A$355,0)),"?"))</f>
        <v/>
      </c>
      <c r="F111" s="15" t="inlineStr">
        <is>
          <t>Partner</t>
        </is>
      </c>
      <c r="G111" s="15" t="inlineStr">
        <is>
          <t>Active</t>
        </is>
      </c>
      <c r="H111" s="27" t="n"/>
      <c r="I111" s="20">
        <f>IF(OR($A111="",$G111&lt;&gt;"Active"),0,IF($H111&lt;&gt;"",$H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</f>
        <v/>
      </c>
      <c r="J111" s="23">
        <f>IF($C111="",0,IFERROR(INDEX(Deals!$H$2:$H$355,MATCH($C111,Deals!$A$2:$A$355,0)),0))</f>
        <v/>
      </c>
      <c r="K111" s="20">
        <f>IF(Settings!$B$4="Yes",$I111*$J111,$I111)</f>
        <v/>
      </c>
      <c r="L111" s="31">
        <f>IF($C111="","",IFERROR(IF(INDEX(Deals!$I$2:$I$355,MATCH($C111,Deals!$A$2:$A$355,0))=0,"",INDEX(Deals!$I$2:$I$355,MATCH($C111,Deals!$A$2:$A$355,0))),""))</f>
        <v/>
      </c>
      <c r="M111" s="31">
        <f>IF($C111="","",IFERROR(IF(INDEX(Deals!$J$2:$J$355,MATCH($C111,Deals!$A$2:$A$355,0))=0,"",INDEX(Deals!$J$2:$J$355,MATCH($C111,Deals!$A$2:$A$355,0))),""))</f>
        <v/>
      </c>
      <c r="N111" s="24">
        <f>IF($L111="",DATE(1900,1,1),$L111)</f>
        <v/>
      </c>
      <c r="O111" s="24">
        <f>IF($M111="",DATE(2100,12,31),$M111)</f>
        <v/>
      </c>
      <c r="P111" s="16" t="inlineStr"/>
      <c r="Q111" s="16" t="inlineStr"/>
      <c r="R111" s="29">
        <f>IF($C111="","",IFERROR(IF(INDEX(Deals!$U$2:$U$355,MATCH($C111,Deals!$A$2:$A$355,0))=0,"",INDEX(Deals!$U$2:$U$355,MATCH($C111,Deals!$A$2:$A$355,0))),""))</f>
        <v/>
      </c>
      <c r="S111" s="22">
        <f>IFERROR(IF($U111="",1,INDEX(Deals!$V$2:$V$355,MATCH($C111,Deals!$A$2:$A$355,0))),1)</f>
        <v/>
      </c>
      <c r="T111" s="22">
        <f>IFERROR(IF($U111="",1,INDEX(Deals!$W$2:$W$355,MATCH($C111,Deals!$A$2:$A$355,0))),1)</f>
        <v/>
      </c>
      <c r="U111" s="31">
        <f>IF($C111="","",IFERROR(IF(INDEX(Deals!$Y$2:$Y$355,MATCH($C111,Deals!$A$2:$A$355,0))=0,"",INDEX(Deals!$Y$2:$Y$355,MATCH($C111,Deals!$A$2:$A$355,0))),""))</f>
        <v/>
      </c>
      <c r="V111" s="24">
        <f>IF($U111="",DATE(1900,1,1),$N111)</f>
        <v/>
      </c>
      <c r="W111" s="24">
        <f>IF($U111="",DATE(2100,12,31),$U111)</f>
        <v/>
      </c>
      <c r="X111" s="20">
        <f>IF($U111="",$K111,$K111*$S111)</f>
        <v/>
      </c>
      <c r="Y111" s="24">
        <f>IF($U111="",DATE(2100,12,31),$U111+1)</f>
        <v/>
      </c>
      <c r="Z111" s="24">
        <f>IF($U111="",DATE(1900,1,1),$O111)</f>
        <v/>
      </c>
      <c r="AA111" s="20">
        <f>IF($U111="",0,$K111*$T111)</f>
        <v/>
      </c>
    </row>
    <row r="112">
      <c r="A112" s="15" t="inlineStr">
        <is>
          <t>Kyle Kidd</t>
        </is>
      </c>
      <c r="B112" s="29">
        <f>IF($A112="","",IFERROR(INDEX(Roster!$B$2:$B$40,MATCH($A112,Roster!$A$2:$A$40,0)),"?"))</f>
        <v/>
      </c>
      <c r="C112" s="15" t="inlineStr">
        <is>
          <t>Dorsia_1</t>
        </is>
      </c>
      <c r="D112" s="29">
        <f>IF($C112="","",IFERROR(IF(INDEX(Deals!$C$2:$C$355,MATCH($C112,Deals!$A$2:$A$355,0))=0,"",INDEX(Deals!$C$2:$C$355,MATCH($C112,Deals!$A$2:$A$355,0))),"?"))</f>
        <v/>
      </c>
      <c r="E112" s="29">
        <f>IF($C112="","",IFERROR(INDEX(Deals!$F$2:$F$355,MATCH($C112,Deals!$A$2:$A$355,0)),"?"))</f>
        <v/>
      </c>
      <c r="F112" s="15" t="inlineStr">
        <is>
          <t>Partner</t>
        </is>
      </c>
      <c r="G112" s="15" t="inlineStr">
        <is>
          <t>Active</t>
        </is>
      </c>
      <c r="H112" s="27" t="n"/>
      <c r="I112" s="20">
        <f>IF(OR($A112="",$G112&lt;&gt;"Active"),0,IF($H112&lt;&gt;"",$H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</f>
        <v/>
      </c>
      <c r="J112" s="23">
        <f>IF($C112="",0,IFERROR(INDEX(Deals!$H$2:$H$355,MATCH($C112,Deals!$A$2:$A$355,0)),0))</f>
        <v/>
      </c>
      <c r="K112" s="20">
        <f>IF(Settings!$B$4="Yes",$I112*$J112,$I112)</f>
        <v/>
      </c>
      <c r="L112" s="31">
        <f>IF($C112="","",IFERROR(IF(INDEX(Deals!$I$2:$I$355,MATCH($C112,Deals!$A$2:$A$355,0))=0,"",INDEX(Deals!$I$2:$I$355,MATCH($C112,Deals!$A$2:$A$355,0))),""))</f>
        <v/>
      </c>
      <c r="M112" s="31">
        <f>IF($C112="","",IFERROR(IF(INDEX(Deals!$J$2:$J$355,MATCH($C112,Deals!$A$2:$A$355,0))=0,"",INDEX(Deals!$J$2:$J$355,MATCH($C112,Deals!$A$2:$A$355,0))),""))</f>
        <v/>
      </c>
      <c r="N112" s="24">
        <f>IF($L112="",DATE(1900,1,1),$L112)</f>
        <v/>
      </c>
      <c r="O112" s="24">
        <f>IF($M112="",DATE(2100,12,31),$M112)</f>
        <v/>
      </c>
      <c r="P112" s="16" t="inlineStr"/>
      <c r="Q112" s="16" t="inlineStr"/>
      <c r="R112" s="29">
        <f>IF($C112="","",IFERROR(IF(INDEX(Deals!$U$2:$U$355,MATCH($C112,Deals!$A$2:$A$355,0))=0,"",INDEX(Deals!$U$2:$U$355,MATCH($C112,Deals!$A$2:$A$355,0))),""))</f>
        <v/>
      </c>
      <c r="S112" s="22">
        <f>IFERROR(IF($U112="",1,INDEX(Deals!$V$2:$V$355,MATCH($C112,Deals!$A$2:$A$355,0))),1)</f>
        <v/>
      </c>
      <c r="T112" s="22">
        <f>IFERROR(IF($U112="",1,INDEX(Deals!$W$2:$W$355,MATCH($C112,Deals!$A$2:$A$355,0))),1)</f>
        <v/>
      </c>
      <c r="U112" s="31">
        <f>IF($C112="","",IFERROR(IF(INDEX(Deals!$Y$2:$Y$355,MATCH($C112,Deals!$A$2:$A$355,0))=0,"",INDEX(Deals!$Y$2:$Y$355,MATCH($C112,Deals!$A$2:$A$355,0))),""))</f>
        <v/>
      </c>
      <c r="V112" s="24">
        <f>IF($U112="",DATE(1900,1,1),$N112)</f>
        <v/>
      </c>
      <c r="W112" s="24">
        <f>IF($U112="",DATE(2100,12,31),$U112)</f>
        <v/>
      </c>
      <c r="X112" s="20">
        <f>IF($U112="",$K112,$K112*$S112)</f>
        <v/>
      </c>
      <c r="Y112" s="24">
        <f>IF($U112="",DATE(2100,12,31),$U112+1)</f>
        <v/>
      </c>
      <c r="Z112" s="24">
        <f>IF($U112="",DATE(1900,1,1),$O112)</f>
        <v/>
      </c>
      <c r="AA112" s="20">
        <f>IF($U112="",0,$K112*$T112)</f>
        <v/>
      </c>
    </row>
    <row r="113">
      <c r="A113" s="15" t="inlineStr">
        <is>
          <t>Kyle Kidd</t>
        </is>
      </c>
      <c r="B113" s="29">
        <f>IF($A113="","",IFERROR(INDEX(Roster!$B$2:$B$40,MATCH($A113,Roster!$A$2:$A$40,0)),"?"))</f>
        <v/>
      </c>
      <c r="C113" s="15" t="inlineStr">
        <is>
          <t>Eagle_7</t>
        </is>
      </c>
      <c r="D113" s="29">
        <f>IF($C113="","",IFERROR(IF(INDEX(Deals!$C$2:$C$355,MATCH($C113,Deals!$A$2:$A$355,0))=0,"",INDEX(Deals!$C$2:$C$355,MATCH($C113,Deals!$A$2:$A$355,0))),"?"))</f>
        <v/>
      </c>
      <c r="E113" s="29">
        <f>IF($C113="","",IFERROR(INDEX(Deals!$F$2:$F$355,MATCH($C113,Deals!$A$2:$A$355,0)),"?"))</f>
        <v/>
      </c>
      <c r="F113" s="15" t="inlineStr">
        <is>
          <t>Partner</t>
        </is>
      </c>
      <c r="G113" s="15" t="inlineStr">
        <is>
          <t>Active</t>
        </is>
      </c>
      <c r="H113" s="27" t="n"/>
      <c r="I113" s="20">
        <f>IF(OR($A113="",$G113&lt;&gt;"Active"),0,IF($H113&lt;&gt;"",$H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</f>
        <v/>
      </c>
      <c r="J113" s="23">
        <f>IF($C113="",0,IFERROR(INDEX(Deals!$H$2:$H$355,MATCH($C113,Deals!$A$2:$A$355,0)),0))</f>
        <v/>
      </c>
      <c r="K113" s="20">
        <f>IF(Settings!$B$4="Yes",$I113*$J113,$I113)</f>
        <v/>
      </c>
      <c r="L113" s="31">
        <f>IF($C113="","",IFERROR(IF(INDEX(Deals!$I$2:$I$355,MATCH($C113,Deals!$A$2:$A$355,0))=0,"",INDEX(Deals!$I$2:$I$355,MATCH($C113,Deals!$A$2:$A$355,0))),""))</f>
        <v/>
      </c>
      <c r="M113" s="31">
        <f>IF($C113="","",IFERROR(IF(INDEX(Deals!$J$2:$J$355,MATCH($C113,Deals!$A$2:$A$355,0))=0,"",INDEX(Deals!$J$2:$J$355,MATCH($C113,Deals!$A$2:$A$355,0))),""))</f>
        <v/>
      </c>
      <c r="N113" s="24">
        <f>IF($L113="",DATE(1900,1,1),$L113)</f>
        <v/>
      </c>
      <c r="O113" s="24">
        <f>IF($M113="",DATE(2100,12,31),$M113)</f>
        <v/>
      </c>
      <c r="P113" s="16" t="inlineStr"/>
      <c r="Q113" s="16" t="inlineStr"/>
      <c r="R113" s="29">
        <f>IF($C113="","",IFERROR(IF(INDEX(Deals!$U$2:$U$355,MATCH($C113,Deals!$A$2:$A$355,0))=0,"",INDEX(Deals!$U$2:$U$355,MATCH($C113,Deals!$A$2:$A$355,0))),""))</f>
        <v/>
      </c>
      <c r="S113" s="22">
        <f>IFERROR(IF($U113="",1,INDEX(Deals!$V$2:$V$355,MATCH($C113,Deals!$A$2:$A$355,0))),1)</f>
        <v/>
      </c>
      <c r="T113" s="22">
        <f>IFERROR(IF($U113="",1,INDEX(Deals!$W$2:$W$355,MATCH($C113,Deals!$A$2:$A$355,0))),1)</f>
        <v/>
      </c>
      <c r="U113" s="31">
        <f>IF($C113="","",IFERROR(IF(INDEX(Deals!$Y$2:$Y$355,MATCH($C113,Deals!$A$2:$A$355,0))=0,"",INDEX(Deals!$Y$2:$Y$355,MATCH($C113,Deals!$A$2:$A$355,0))),""))</f>
        <v/>
      </c>
      <c r="V113" s="24">
        <f>IF($U113="",DATE(1900,1,1),$N113)</f>
        <v/>
      </c>
      <c r="W113" s="24">
        <f>IF($U113="",DATE(2100,12,31),$U113)</f>
        <v/>
      </c>
      <c r="X113" s="20">
        <f>IF($U113="",$K113,$K113*$S113)</f>
        <v/>
      </c>
      <c r="Y113" s="24">
        <f>IF($U113="",DATE(2100,12,31),$U113+1)</f>
        <v/>
      </c>
      <c r="Z113" s="24">
        <f>IF($U113="",DATE(1900,1,1),$O113)</f>
        <v/>
      </c>
      <c r="AA113" s="20">
        <f>IF($U113="",0,$K113*$T113)</f>
        <v/>
      </c>
    </row>
    <row r="114">
      <c r="A114" s="15" t="inlineStr">
        <is>
          <t>Kyle Kidd</t>
        </is>
      </c>
      <c r="B114" s="29">
        <f>IF($A114="","",IFERROR(INDEX(Roster!$B$2:$B$40,MATCH($A114,Roster!$A$2:$A$40,0)),"?"))</f>
        <v/>
      </c>
      <c r="C114" s="15" t="inlineStr">
        <is>
          <t>Emerald_6</t>
        </is>
      </c>
      <c r="D114" s="29">
        <f>IF($C114="","",IFERROR(IF(INDEX(Deals!$C$2:$C$355,MATCH($C114,Deals!$A$2:$A$355,0))=0,"",INDEX(Deals!$C$2:$C$355,MATCH($C114,Deals!$A$2:$A$355,0))),"?"))</f>
        <v/>
      </c>
      <c r="E114" s="29">
        <f>IF($C114="","",IFERROR(INDEX(Deals!$F$2:$F$355,MATCH($C114,Deals!$A$2:$A$355,0)),"?"))</f>
        <v/>
      </c>
      <c r="F114" s="15" t="inlineStr">
        <is>
          <t>Partner</t>
        </is>
      </c>
      <c r="G114" s="15" t="inlineStr">
        <is>
          <t>Active</t>
        </is>
      </c>
      <c r="H114" s="27" t="n"/>
      <c r="I114" s="20">
        <f>IF(OR($A114="",$G114&lt;&gt;"Active"),0,IF($H114&lt;&gt;"",$H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</f>
        <v/>
      </c>
      <c r="J114" s="23">
        <f>IF($C114="",0,IFERROR(INDEX(Deals!$H$2:$H$355,MATCH($C114,Deals!$A$2:$A$355,0)),0))</f>
        <v/>
      </c>
      <c r="K114" s="20">
        <f>IF(Settings!$B$4="Yes",$I114*$J114,$I114)</f>
        <v/>
      </c>
      <c r="L114" s="31">
        <f>IF($C114="","",IFERROR(IF(INDEX(Deals!$I$2:$I$355,MATCH($C114,Deals!$A$2:$A$355,0))=0,"",INDEX(Deals!$I$2:$I$355,MATCH($C114,Deals!$A$2:$A$355,0))),""))</f>
        <v/>
      </c>
      <c r="M114" s="31">
        <f>IF($C114="","",IFERROR(IF(INDEX(Deals!$J$2:$J$355,MATCH($C114,Deals!$A$2:$A$355,0))=0,"",INDEX(Deals!$J$2:$J$355,MATCH($C114,Deals!$A$2:$A$355,0))),""))</f>
        <v/>
      </c>
      <c r="N114" s="24">
        <f>IF($L114="",DATE(1900,1,1),$L114)</f>
        <v/>
      </c>
      <c r="O114" s="24">
        <f>IF($M114="",DATE(2100,12,31),$M114)</f>
        <v/>
      </c>
      <c r="P114" s="16" t="inlineStr"/>
      <c r="Q114" s="16" t="inlineStr"/>
      <c r="R114" s="29">
        <f>IF($C114="","",IFERROR(IF(INDEX(Deals!$U$2:$U$355,MATCH($C114,Deals!$A$2:$A$355,0))=0,"",INDEX(Deals!$U$2:$U$355,MATCH($C114,Deals!$A$2:$A$355,0))),""))</f>
        <v/>
      </c>
      <c r="S114" s="22">
        <f>IFERROR(IF($U114="",1,INDEX(Deals!$V$2:$V$355,MATCH($C114,Deals!$A$2:$A$355,0))),1)</f>
        <v/>
      </c>
      <c r="T114" s="22">
        <f>IFERROR(IF($U114="",1,INDEX(Deals!$W$2:$W$355,MATCH($C114,Deals!$A$2:$A$355,0))),1)</f>
        <v/>
      </c>
      <c r="U114" s="31">
        <f>IF($C114="","",IFERROR(IF(INDEX(Deals!$Y$2:$Y$355,MATCH($C114,Deals!$A$2:$A$355,0))=0,"",INDEX(Deals!$Y$2:$Y$355,MATCH($C114,Deals!$A$2:$A$355,0))),""))</f>
        <v/>
      </c>
      <c r="V114" s="24">
        <f>IF($U114="",DATE(1900,1,1),$N114)</f>
        <v/>
      </c>
      <c r="W114" s="24">
        <f>IF($U114="",DATE(2100,12,31),$U114)</f>
        <v/>
      </c>
      <c r="X114" s="20">
        <f>IF($U114="",$K114,$K114*$S114)</f>
        <v/>
      </c>
      <c r="Y114" s="24">
        <f>IF($U114="",DATE(2100,12,31),$U114+1)</f>
        <v/>
      </c>
      <c r="Z114" s="24">
        <f>IF($U114="",DATE(1900,1,1),$O114)</f>
        <v/>
      </c>
      <c r="AA114" s="20">
        <f>IF($U114="",0,$K114*$T114)</f>
        <v/>
      </c>
    </row>
    <row r="115">
      <c r="A115" s="15" t="inlineStr">
        <is>
          <t>Kyle Kidd</t>
        </is>
      </c>
      <c r="B115" s="29">
        <f>IF($A115="","",IFERROR(INDEX(Roster!$B$2:$B$40,MATCH($A115,Roster!$A$2:$A$40,0)),"?"))</f>
        <v/>
      </c>
      <c r="C115" s="15" t="inlineStr">
        <is>
          <t>Fengate_4</t>
        </is>
      </c>
      <c r="D115" s="29">
        <f>IF($C115="","",IFERROR(IF(INDEX(Deals!$C$2:$C$355,MATCH($C115,Deals!$A$2:$A$355,0))=0,"",INDEX(Deals!$C$2:$C$355,MATCH($C115,Deals!$A$2:$A$355,0))),"?"))</f>
        <v/>
      </c>
      <c r="E115" s="29">
        <f>IF($C115="","",IFERROR(INDEX(Deals!$F$2:$F$355,MATCH($C115,Deals!$A$2:$A$355,0)),"?"))</f>
        <v/>
      </c>
      <c r="F115" s="15" t="inlineStr">
        <is>
          <t>Partner</t>
        </is>
      </c>
      <c r="G115" s="15" t="inlineStr">
        <is>
          <t>Active</t>
        </is>
      </c>
      <c r="H115" s="27" t="n"/>
      <c r="I115" s="20">
        <f>IF(OR($A115="",$G115&lt;&gt;"Active"),0,IF($H115&lt;&gt;"",$H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</f>
        <v/>
      </c>
      <c r="J115" s="23">
        <f>IF($C115="",0,IFERROR(INDEX(Deals!$H$2:$H$355,MATCH($C115,Deals!$A$2:$A$355,0)),0))</f>
        <v/>
      </c>
      <c r="K115" s="20">
        <f>IF(Settings!$B$4="Yes",$I115*$J115,$I115)</f>
        <v/>
      </c>
      <c r="L115" s="31">
        <f>IF($C115="","",IFERROR(IF(INDEX(Deals!$I$2:$I$355,MATCH($C115,Deals!$A$2:$A$355,0))=0,"",INDEX(Deals!$I$2:$I$355,MATCH($C115,Deals!$A$2:$A$355,0))),""))</f>
        <v/>
      </c>
      <c r="M115" s="31">
        <f>IF($C115="","",IFERROR(IF(INDEX(Deals!$J$2:$J$355,MATCH($C115,Deals!$A$2:$A$355,0))=0,"",INDEX(Deals!$J$2:$J$355,MATCH($C115,Deals!$A$2:$A$355,0))),""))</f>
        <v/>
      </c>
      <c r="N115" s="24">
        <f>IF($L115="",DATE(1900,1,1),$L115)</f>
        <v/>
      </c>
      <c r="O115" s="24">
        <f>IF($M115="",DATE(2100,12,31),$M115)</f>
        <v/>
      </c>
      <c r="P115" s="16" t="inlineStr"/>
      <c r="Q115" s="16" t="inlineStr"/>
      <c r="R115" s="29">
        <f>IF($C115="","",IFERROR(IF(INDEX(Deals!$U$2:$U$355,MATCH($C115,Deals!$A$2:$A$355,0))=0,"",INDEX(Deals!$U$2:$U$355,MATCH($C115,Deals!$A$2:$A$355,0))),""))</f>
        <v/>
      </c>
      <c r="S115" s="22">
        <f>IFERROR(IF($U115="",1,INDEX(Deals!$V$2:$V$355,MATCH($C115,Deals!$A$2:$A$355,0))),1)</f>
        <v/>
      </c>
      <c r="T115" s="22">
        <f>IFERROR(IF($U115="",1,INDEX(Deals!$W$2:$W$355,MATCH($C115,Deals!$A$2:$A$355,0))),1)</f>
        <v/>
      </c>
      <c r="U115" s="31">
        <f>IF($C115="","",IFERROR(IF(INDEX(Deals!$Y$2:$Y$355,MATCH($C115,Deals!$A$2:$A$355,0))=0,"",INDEX(Deals!$Y$2:$Y$355,MATCH($C115,Deals!$A$2:$A$355,0))),""))</f>
        <v/>
      </c>
      <c r="V115" s="24">
        <f>IF($U115="",DATE(1900,1,1),$N115)</f>
        <v/>
      </c>
      <c r="W115" s="24">
        <f>IF($U115="",DATE(2100,12,31),$U115)</f>
        <v/>
      </c>
      <c r="X115" s="20">
        <f>IF($U115="",$K115,$K115*$S115)</f>
        <v/>
      </c>
      <c r="Y115" s="24">
        <f>IF($U115="",DATE(2100,12,31),$U115+1)</f>
        <v/>
      </c>
      <c r="Z115" s="24">
        <f>IF($U115="",DATE(1900,1,1),$O115)</f>
        <v/>
      </c>
      <c r="AA115" s="20">
        <f>IF($U115="",0,$K115*$T115)</f>
        <v/>
      </c>
    </row>
    <row r="116">
      <c r="A116" s="15" t="inlineStr">
        <is>
          <t>Kyle Kidd</t>
        </is>
      </c>
      <c r="B116" s="29">
        <f>IF($A116="","",IFERROR(INDEX(Roster!$B$2:$B$40,MATCH($A116,Roster!$A$2:$A$40,0)),"?"))</f>
        <v/>
      </c>
      <c r="C116" s="15" t="inlineStr">
        <is>
          <t>Gateway_3</t>
        </is>
      </c>
      <c r="D116" s="29">
        <f>IF($C116="","",IFERROR(IF(INDEX(Deals!$C$2:$C$355,MATCH($C116,Deals!$A$2:$A$355,0))=0,"",INDEX(Deals!$C$2:$C$355,MATCH($C116,Deals!$A$2:$A$355,0))),"?"))</f>
        <v/>
      </c>
      <c r="E116" s="29">
        <f>IF($C116="","",IFERROR(INDEX(Deals!$F$2:$F$355,MATCH($C116,Deals!$A$2:$A$355,0)),"?"))</f>
        <v/>
      </c>
      <c r="F116" s="15" t="inlineStr">
        <is>
          <t>Partner</t>
        </is>
      </c>
      <c r="G116" s="15" t="inlineStr">
        <is>
          <t>Active</t>
        </is>
      </c>
      <c r="H116" s="27" t="n"/>
      <c r="I116" s="20">
        <f>IF(OR($A116="",$G116&lt;&gt;"Active"),0,IF($H116&lt;&gt;"",$H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</f>
        <v/>
      </c>
      <c r="J116" s="23">
        <f>IF($C116="",0,IFERROR(INDEX(Deals!$H$2:$H$355,MATCH($C116,Deals!$A$2:$A$355,0)),0))</f>
        <v/>
      </c>
      <c r="K116" s="20">
        <f>IF(Settings!$B$4="Yes",$I116*$J116,$I116)</f>
        <v/>
      </c>
      <c r="L116" s="31">
        <f>IF($C116="","",IFERROR(IF(INDEX(Deals!$I$2:$I$355,MATCH($C116,Deals!$A$2:$A$355,0))=0,"",INDEX(Deals!$I$2:$I$355,MATCH($C116,Deals!$A$2:$A$355,0))),""))</f>
        <v/>
      </c>
      <c r="M116" s="31">
        <f>IF($C116="","",IFERROR(IF(INDEX(Deals!$J$2:$J$355,MATCH($C116,Deals!$A$2:$A$355,0))=0,"",INDEX(Deals!$J$2:$J$355,MATCH($C116,Deals!$A$2:$A$355,0))),""))</f>
        <v/>
      </c>
      <c r="N116" s="24">
        <f>IF($L116="",DATE(1900,1,1),$L116)</f>
        <v/>
      </c>
      <c r="O116" s="24">
        <f>IF($M116="",DATE(2100,12,31),$M116)</f>
        <v/>
      </c>
      <c r="P116" s="16" t="inlineStr"/>
      <c r="Q116" s="16" t="inlineStr"/>
      <c r="R116" s="29">
        <f>IF($C116="","",IFERROR(IF(INDEX(Deals!$U$2:$U$355,MATCH($C116,Deals!$A$2:$A$355,0))=0,"",INDEX(Deals!$U$2:$U$355,MATCH($C116,Deals!$A$2:$A$355,0))),""))</f>
        <v/>
      </c>
      <c r="S116" s="22">
        <f>IFERROR(IF($U116="",1,INDEX(Deals!$V$2:$V$355,MATCH($C116,Deals!$A$2:$A$355,0))),1)</f>
        <v/>
      </c>
      <c r="T116" s="22">
        <f>IFERROR(IF($U116="",1,INDEX(Deals!$W$2:$W$355,MATCH($C116,Deals!$A$2:$A$355,0))),1)</f>
        <v/>
      </c>
      <c r="U116" s="31">
        <f>IF($C116="","",IFERROR(IF(INDEX(Deals!$Y$2:$Y$355,MATCH($C116,Deals!$A$2:$A$355,0))=0,"",INDEX(Deals!$Y$2:$Y$355,MATCH($C116,Deals!$A$2:$A$355,0))),""))</f>
        <v/>
      </c>
      <c r="V116" s="24">
        <f>IF($U116="",DATE(1900,1,1),$N116)</f>
        <v/>
      </c>
      <c r="W116" s="24">
        <f>IF($U116="",DATE(2100,12,31),$U116)</f>
        <v/>
      </c>
      <c r="X116" s="20">
        <f>IF($U116="",$K116,$K116*$S116)</f>
        <v/>
      </c>
      <c r="Y116" s="24">
        <f>IF($U116="",DATE(2100,12,31),$U116+1)</f>
        <v/>
      </c>
      <c r="Z116" s="24">
        <f>IF($U116="",DATE(1900,1,1),$O116)</f>
        <v/>
      </c>
      <c r="AA116" s="20">
        <f>IF($U116="",0,$K116*$T116)</f>
        <v/>
      </c>
    </row>
    <row r="117">
      <c r="A117" s="15" t="inlineStr">
        <is>
          <t>Kyle Kidd</t>
        </is>
      </c>
      <c r="B117" s="29">
        <f>IF($A117="","",IFERROR(INDEX(Roster!$B$2:$B$40,MATCH($A117,Roster!$A$2:$A$40,0)),"?"))</f>
        <v/>
      </c>
      <c r="C117" s="15" t="inlineStr">
        <is>
          <t>Guardian_3</t>
        </is>
      </c>
      <c r="D117" s="29">
        <f>IF($C117="","",IFERROR(IF(INDEX(Deals!$C$2:$C$355,MATCH($C117,Deals!$A$2:$A$355,0))=0,"",INDEX(Deals!$C$2:$C$355,MATCH($C117,Deals!$A$2:$A$355,0))),"?"))</f>
        <v/>
      </c>
      <c r="E117" s="29">
        <f>IF($C117="","",IFERROR(INDEX(Deals!$F$2:$F$355,MATCH($C117,Deals!$A$2:$A$355,0)),"?"))</f>
        <v/>
      </c>
      <c r="F117" s="15" t="inlineStr">
        <is>
          <t>Partner</t>
        </is>
      </c>
      <c r="G117" s="15" t="inlineStr">
        <is>
          <t>Active</t>
        </is>
      </c>
      <c r="H117" s="27" t="n"/>
      <c r="I117" s="20">
        <f>IF(OR($A117="",$G117&lt;&gt;"Active"),0,IF($H117&lt;&gt;"",$H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</f>
        <v/>
      </c>
      <c r="J117" s="23">
        <f>IF($C117="",0,IFERROR(INDEX(Deals!$H$2:$H$355,MATCH($C117,Deals!$A$2:$A$355,0)),0))</f>
        <v/>
      </c>
      <c r="K117" s="20">
        <f>IF(Settings!$B$4="Yes",$I117*$J117,$I117)</f>
        <v/>
      </c>
      <c r="L117" s="31">
        <f>IF($C117="","",IFERROR(IF(INDEX(Deals!$I$2:$I$355,MATCH($C117,Deals!$A$2:$A$355,0))=0,"",INDEX(Deals!$I$2:$I$355,MATCH($C117,Deals!$A$2:$A$355,0))),""))</f>
        <v/>
      </c>
      <c r="M117" s="31">
        <f>IF($C117="","",IFERROR(IF(INDEX(Deals!$J$2:$J$355,MATCH($C117,Deals!$A$2:$A$355,0))=0,"",INDEX(Deals!$J$2:$J$355,MATCH($C117,Deals!$A$2:$A$355,0))),""))</f>
        <v/>
      </c>
      <c r="N117" s="24">
        <f>IF($L117="",DATE(1900,1,1),$L117)</f>
        <v/>
      </c>
      <c r="O117" s="24">
        <f>IF($M117="",DATE(2100,12,31),$M117)</f>
        <v/>
      </c>
      <c r="P117" s="16" t="inlineStr"/>
      <c r="Q117" s="16" t="inlineStr"/>
      <c r="R117" s="29">
        <f>IF($C117="","",IFERROR(IF(INDEX(Deals!$U$2:$U$355,MATCH($C117,Deals!$A$2:$A$355,0))=0,"",INDEX(Deals!$U$2:$U$355,MATCH($C117,Deals!$A$2:$A$355,0))),""))</f>
        <v/>
      </c>
      <c r="S117" s="22">
        <f>IFERROR(IF($U117="",1,INDEX(Deals!$V$2:$V$355,MATCH($C117,Deals!$A$2:$A$355,0))),1)</f>
        <v/>
      </c>
      <c r="T117" s="22">
        <f>IFERROR(IF($U117="",1,INDEX(Deals!$W$2:$W$355,MATCH($C117,Deals!$A$2:$A$355,0))),1)</f>
        <v/>
      </c>
      <c r="U117" s="31">
        <f>IF($C117="","",IFERROR(IF(INDEX(Deals!$Y$2:$Y$355,MATCH($C117,Deals!$A$2:$A$355,0))=0,"",INDEX(Deals!$Y$2:$Y$355,MATCH($C117,Deals!$A$2:$A$355,0))),""))</f>
        <v/>
      </c>
      <c r="V117" s="24">
        <f>IF($U117="",DATE(1900,1,1),$N117)</f>
        <v/>
      </c>
      <c r="W117" s="24">
        <f>IF($U117="",DATE(2100,12,31),$U117)</f>
        <v/>
      </c>
      <c r="X117" s="20">
        <f>IF($U117="",$K117,$K117*$S117)</f>
        <v/>
      </c>
      <c r="Y117" s="24">
        <f>IF($U117="",DATE(2100,12,31),$U117+1)</f>
        <v/>
      </c>
      <c r="Z117" s="24">
        <f>IF($U117="",DATE(1900,1,1),$O117)</f>
        <v/>
      </c>
      <c r="AA117" s="20">
        <f>IF($U117="",0,$K117*$T117)</f>
        <v/>
      </c>
    </row>
    <row r="118">
      <c r="A118" s="15" t="inlineStr">
        <is>
          <t>Kyle Kidd</t>
        </is>
      </c>
      <c r="B118" s="29">
        <f>IF($A118="","",IFERROR(INDEX(Roster!$B$2:$B$40,MATCH($A118,Roster!$A$2:$A$40,0)),"?"))</f>
        <v/>
      </c>
      <c r="C118" s="15" t="inlineStr">
        <is>
          <t>Kanawha_1</t>
        </is>
      </c>
      <c r="D118" s="29">
        <f>IF($C118="","",IFERROR(IF(INDEX(Deals!$C$2:$C$355,MATCH($C118,Deals!$A$2:$A$355,0))=0,"",INDEX(Deals!$C$2:$C$355,MATCH($C118,Deals!$A$2:$A$355,0))),"?"))</f>
        <v/>
      </c>
      <c r="E118" s="29">
        <f>IF($C118="","",IFERROR(INDEX(Deals!$F$2:$F$355,MATCH($C118,Deals!$A$2:$A$355,0)),"?"))</f>
        <v/>
      </c>
      <c r="F118" s="15" t="inlineStr">
        <is>
          <t>Partner</t>
        </is>
      </c>
      <c r="G118" s="15" t="inlineStr">
        <is>
          <t>Active</t>
        </is>
      </c>
      <c r="H118" s="27" t="n"/>
      <c r="I118" s="20">
        <f>IF(OR($A118="",$G118&lt;&gt;"Active"),0,IF($H118&lt;&gt;"",$H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</f>
        <v/>
      </c>
      <c r="J118" s="23">
        <f>IF($C118="",0,IFERROR(INDEX(Deals!$H$2:$H$355,MATCH($C118,Deals!$A$2:$A$355,0)),0))</f>
        <v/>
      </c>
      <c r="K118" s="20">
        <f>IF(Settings!$B$4="Yes",$I118*$J118,$I118)</f>
        <v/>
      </c>
      <c r="L118" s="31">
        <f>IF($C118="","",IFERROR(IF(INDEX(Deals!$I$2:$I$355,MATCH($C118,Deals!$A$2:$A$355,0))=0,"",INDEX(Deals!$I$2:$I$355,MATCH($C118,Deals!$A$2:$A$355,0))),""))</f>
        <v/>
      </c>
      <c r="M118" s="31">
        <f>IF($C118="","",IFERROR(IF(INDEX(Deals!$J$2:$J$355,MATCH($C118,Deals!$A$2:$A$355,0))=0,"",INDEX(Deals!$J$2:$J$355,MATCH($C118,Deals!$A$2:$A$355,0))),""))</f>
        <v/>
      </c>
      <c r="N118" s="24">
        <f>IF($L118="",DATE(1900,1,1),$L118)</f>
        <v/>
      </c>
      <c r="O118" s="24">
        <f>IF($M118="",DATE(2100,12,31),$M118)</f>
        <v/>
      </c>
      <c r="P118" s="16" t="inlineStr"/>
      <c r="Q118" s="16" t="inlineStr"/>
      <c r="R118" s="29">
        <f>IF($C118="","",IFERROR(IF(INDEX(Deals!$U$2:$U$355,MATCH($C118,Deals!$A$2:$A$355,0))=0,"",INDEX(Deals!$U$2:$U$355,MATCH($C118,Deals!$A$2:$A$355,0))),""))</f>
        <v/>
      </c>
      <c r="S118" s="22">
        <f>IFERROR(IF($U118="",1,INDEX(Deals!$V$2:$V$355,MATCH($C118,Deals!$A$2:$A$355,0))),1)</f>
        <v/>
      </c>
      <c r="T118" s="22">
        <f>IFERROR(IF($U118="",1,INDEX(Deals!$W$2:$W$355,MATCH($C118,Deals!$A$2:$A$355,0))),1)</f>
        <v/>
      </c>
      <c r="U118" s="31">
        <f>IF($C118="","",IFERROR(IF(INDEX(Deals!$Y$2:$Y$355,MATCH($C118,Deals!$A$2:$A$355,0))=0,"",INDEX(Deals!$Y$2:$Y$355,MATCH($C118,Deals!$A$2:$A$355,0))),""))</f>
        <v/>
      </c>
      <c r="V118" s="24">
        <f>IF($U118="",DATE(1900,1,1),$N118)</f>
        <v/>
      </c>
      <c r="W118" s="24">
        <f>IF($U118="",DATE(2100,12,31),$U118)</f>
        <v/>
      </c>
      <c r="X118" s="20">
        <f>IF($U118="",$K118,$K118*$S118)</f>
        <v/>
      </c>
      <c r="Y118" s="24">
        <f>IF($U118="",DATE(2100,12,31),$U118+1)</f>
        <v/>
      </c>
      <c r="Z118" s="24">
        <f>IF($U118="",DATE(1900,1,1),$O118)</f>
        <v/>
      </c>
      <c r="AA118" s="20">
        <f>IF($U118="",0,$K118*$T118)</f>
        <v/>
      </c>
    </row>
    <row r="119">
      <c r="A119" s="15" t="inlineStr">
        <is>
          <t>Kyle Kidd</t>
        </is>
      </c>
      <c r="B119" s="29">
        <f>IF($A119="","",IFERROR(INDEX(Roster!$B$2:$B$40,MATCH($A119,Roster!$A$2:$A$40,0)),"?"))</f>
        <v/>
      </c>
      <c r="C119" s="15" t="inlineStr">
        <is>
          <t>Marigold_2</t>
        </is>
      </c>
      <c r="D119" s="29">
        <f>IF($C119="","",IFERROR(IF(INDEX(Deals!$C$2:$C$355,MATCH($C119,Deals!$A$2:$A$355,0))=0,"",INDEX(Deals!$C$2:$C$355,MATCH($C119,Deals!$A$2:$A$355,0))),"?"))</f>
        <v/>
      </c>
      <c r="E119" s="29">
        <f>IF($C119="","",IFERROR(INDEX(Deals!$F$2:$F$355,MATCH($C119,Deals!$A$2:$A$355,0)),"?"))</f>
        <v/>
      </c>
      <c r="F119" s="15" t="inlineStr">
        <is>
          <t>Partner</t>
        </is>
      </c>
      <c r="G119" s="15" t="inlineStr">
        <is>
          <t>Active</t>
        </is>
      </c>
      <c r="H119" s="27" t="n"/>
      <c r="I119" s="20">
        <f>IF(OR($A119="",$G119&lt;&gt;"Active"),0,IF($H119&lt;&gt;"",$H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</f>
        <v/>
      </c>
      <c r="J119" s="23">
        <f>IF($C119="",0,IFERROR(INDEX(Deals!$H$2:$H$355,MATCH($C119,Deals!$A$2:$A$355,0)),0))</f>
        <v/>
      </c>
      <c r="K119" s="20">
        <f>IF(Settings!$B$4="Yes",$I119*$J119,$I119)</f>
        <v/>
      </c>
      <c r="L119" s="31">
        <f>IF($C119="","",IFERROR(IF(INDEX(Deals!$I$2:$I$355,MATCH($C119,Deals!$A$2:$A$355,0))=0,"",INDEX(Deals!$I$2:$I$355,MATCH($C119,Deals!$A$2:$A$355,0))),""))</f>
        <v/>
      </c>
      <c r="M119" s="31">
        <f>IF($C119="","",IFERROR(IF(INDEX(Deals!$J$2:$J$355,MATCH($C119,Deals!$A$2:$A$355,0))=0,"",INDEX(Deals!$J$2:$J$355,MATCH($C119,Deals!$A$2:$A$355,0))),""))</f>
        <v/>
      </c>
      <c r="N119" s="24">
        <f>IF($L119="",DATE(1900,1,1),$L119)</f>
        <v/>
      </c>
      <c r="O119" s="24">
        <f>IF($M119="",DATE(2100,12,31),$M119)</f>
        <v/>
      </c>
      <c r="P119" s="16" t="inlineStr"/>
      <c r="Q119" s="16" t="inlineStr"/>
      <c r="R119" s="29">
        <f>IF($C119="","",IFERROR(IF(INDEX(Deals!$U$2:$U$355,MATCH($C119,Deals!$A$2:$A$355,0))=0,"",INDEX(Deals!$U$2:$U$355,MATCH($C119,Deals!$A$2:$A$355,0))),""))</f>
        <v/>
      </c>
      <c r="S119" s="22">
        <f>IFERROR(IF($U119="",1,INDEX(Deals!$V$2:$V$355,MATCH($C119,Deals!$A$2:$A$355,0))),1)</f>
        <v/>
      </c>
      <c r="T119" s="22">
        <f>IFERROR(IF($U119="",1,INDEX(Deals!$W$2:$W$355,MATCH($C119,Deals!$A$2:$A$355,0))),1)</f>
        <v/>
      </c>
      <c r="U119" s="31">
        <f>IF($C119="","",IFERROR(IF(INDEX(Deals!$Y$2:$Y$355,MATCH($C119,Deals!$A$2:$A$355,0))=0,"",INDEX(Deals!$Y$2:$Y$355,MATCH($C119,Deals!$A$2:$A$355,0))),""))</f>
        <v/>
      </c>
      <c r="V119" s="24">
        <f>IF($U119="",DATE(1900,1,1),$N119)</f>
        <v/>
      </c>
      <c r="W119" s="24">
        <f>IF($U119="",DATE(2100,12,31),$U119)</f>
        <v/>
      </c>
      <c r="X119" s="20">
        <f>IF($U119="",$K119,$K119*$S119)</f>
        <v/>
      </c>
      <c r="Y119" s="24">
        <f>IF($U119="",DATE(2100,12,31),$U119+1)</f>
        <v/>
      </c>
      <c r="Z119" s="24">
        <f>IF($U119="",DATE(1900,1,1),$O119)</f>
        <v/>
      </c>
      <c r="AA119" s="20">
        <f>IF($U119="",0,$K119*$T119)</f>
        <v/>
      </c>
    </row>
    <row r="120">
      <c r="A120" s="15" t="inlineStr">
        <is>
          <t>Kyle Kidd</t>
        </is>
      </c>
      <c r="B120" s="29">
        <f>IF($A120="","",IFERROR(INDEX(Roster!$B$2:$B$40,MATCH($A120,Roster!$A$2:$A$40,0)),"?"))</f>
        <v/>
      </c>
      <c r="C120" s="15" t="inlineStr">
        <is>
          <t>Octopus Post-close_1</t>
        </is>
      </c>
      <c r="D120" s="29">
        <f>IF($C120="","",IFERROR(IF(INDEX(Deals!$C$2:$C$355,MATCH($C120,Deals!$A$2:$A$355,0))=0,"",INDEX(Deals!$C$2:$C$355,MATCH($C120,Deals!$A$2:$A$355,0))),"?"))</f>
        <v/>
      </c>
      <c r="E120" s="29">
        <f>IF($C120="","",IFERROR(INDEX(Deals!$F$2:$F$355,MATCH($C120,Deals!$A$2:$A$355,0)),"?"))</f>
        <v/>
      </c>
      <c r="F120" s="15" t="inlineStr">
        <is>
          <t>Partner</t>
        </is>
      </c>
      <c r="G120" s="15" t="inlineStr">
        <is>
          <t>Active</t>
        </is>
      </c>
      <c r="H120" s="27" t="n"/>
      <c r="I120" s="20">
        <f>IF(OR($A120="",$G120&lt;&gt;"Active"),0,IF($H120&lt;&gt;"",$H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</f>
        <v/>
      </c>
      <c r="J120" s="23">
        <f>IF($C120="",0,IFERROR(INDEX(Deals!$H$2:$H$355,MATCH($C120,Deals!$A$2:$A$355,0)),0))</f>
        <v/>
      </c>
      <c r="K120" s="20">
        <f>IF(Settings!$B$4="Yes",$I120*$J120,$I120)</f>
        <v/>
      </c>
      <c r="L120" s="31">
        <f>IF($C120="","",IFERROR(IF(INDEX(Deals!$I$2:$I$355,MATCH($C120,Deals!$A$2:$A$355,0))=0,"",INDEX(Deals!$I$2:$I$355,MATCH($C120,Deals!$A$2:$A$355,0))),""))</f>
        <v/>
      </c>
      <c r="M120" s="31">
        <f>IF($C120="","",IFERROR(IF(INDEX(Deals!$J$2:$J$355,MATCH($C120,Deals!$A$2:$A$355,0))=0,"",INDEX(Deals!$J$2:$J$355,MATCH($C120,Deals!$A$2:$A$355,0))),""))</f>
        <v/>
      </c>
      <c r="N120" s="24">
        <f>IF($L120="",DATE(1900,1,1),$L120)</f>
        <v/>
      </c>
      <c r="O120" s="24">
        <f>IF($M120="",DATE(2100,12,31),$M120)</f>
        <v/>
      </c>
      <c r="P120" s="16" t="inlineStr"/>
      <c r="Q120" s="16" t="inlineStr"/>
      <c r="R120" s="29">
        <f>IF($C120="","",IFERROR(IF(INDEX(Deals!$U$2:$U$355,MATCH($C120,Deals!$A$2:$A$355,0))=0,"",INDEX(Deals!$U$2:$U$355,MATCH($C120,Deals!$A$2:$A$355,0))),""))</f>
        <v/>
      </c>
      <c r="S120" s="22">
        <f>IFERROR(IF($U120="",1,INDEX(Deals!$V$2:$V$355,MATCH($C120,Deals!$A$2:$A$355,0))),1)</f>
        <v/>
      </c>
      <c r="T120" s="22">
        <f>IFERROR(IF($U120="",1,INDEX(Deals!$W$2:$W$355,MATCH($C120,Deals!$A$2:$A$355,0))),1)</f>
        <v/>
      </c>
      <c r="U120" s="31">
        <f>IF($C120="","",IFERROR(IF(INDEX(Deals!$Y$2:$Y$355,MATCH($C120,Deals!$A$2:$A$355,0))=0,"",INDEX(Deals!$Y$2:$Y$355,MATCH($C120,Deals!$A$2:$A$355,0))),""))</f>
        <v/>
      </c>
      <c r="V120" s="24">
        <f>IF($U120="",DATE(1900,1,1),$N120)</f>
        <v/>
      </c>
      <c r="W120" s="24">
        <f>IF($U120="",DATE(2100,12,31),$U120)</f>
        <v/>
      </c>
      <c r="X120" s="20">
        <f>IF($U120="",$K120,$K120*$S120)</f>
        <v/>
      </c>
      <c r="Y120" s="24">
        <f>IF($U120="",DATE(2100,12,31),$U120+1)</f>
        <v/>
      </c>
      <c r="Z120" s="24">
        <f>IF($U120="",DATE(1900,1,1),$O120)</f>
        <v/>
      </c>
      <c r="AA120" s="20">
        <f>IF($U120="",0,$K120*$T120)</f>
        <v/>
      </c>
    </row>
    <row r="121">
      <c r="A121" s="15" t="inlineStr">
        <is>
          <t>Kyle Kidd</t>
        </is>
      </c>
      <c r="B121" s="29">
        <f>IF($A121="","",IFERROR(INDEX(Roster!$B$2:$B$40,MATCH($A121,Roster!$A$2:$A$40,0)),"?"))</f>
        <v/>
      </c>
      <c r="C121" s="15" t="inlineStr">
        <is>
          <t>Pythagoras_1</t>
        </is>
      </c>
      <c r="D121" s="29">
        <f>IF($C121="","",IFERROR(IF(INDEX(Deals!$C$2:$C$355,MATCH($C121,Deals!$A$2:$A$355,0))=0,"",INDEX(Deals!$C$2:$C$355,MATCH($C121,Deals!$A$2:$A$355,0))),"?"))</f>
        <v/>
      </c>
      <c r="E121" s="29">
        <f>IF($C121="","",IFERROR(INDEX(Deals!$F$2:$F$355,MATCH($C121,Deals!$A$2:$A$355,0)),"?"))</f>
        <v/>
      </c>
      <c r="F121" s="15" t="inlineStr">
        <is>
          <t>Partner</t>
        </is>
      </c>
      <c r="G121" s="15" t="inlineStr">
        <is>
          <t>Active</t>
        </is>
      </c>
      <c r="H121" s="27" t="n"/>
      <c r="I121" s="20">
        <f>IF(OR($A121="",$G121&lt;&gt;"Active"),0,IF($H121&lt;&gt;"",$H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</f>
        <v/>
      </c>
      <c r="J121" s="23">
        <f>IF($C121="",0,IFERROR(INDEX(Deals!$H$2:$H$355,MATCH($C121,Deals!$A$2:$A$355,0)),0))</f>
        <v/>
      </c>
      <c r="K121" s="20">
        <f>IF(Settings!$B$4="Yes",$I121*$J121,$I121)</f>
        <v/>
      </c>
      <c r="L121" s="31">
        <f>IF($C121="","",IFERROR(IF(INDEX(Deals!$I$2:$I$355,MATCH($C121,Deals!$A$2:$A$355,0))=0,"",INDEX(Deals!$I$2:$I$355,MATCH($C121,Deals!$A$2:$A$355,0))),""))</f>
        <v/>
      </c>
      <c r="M121" s="31">
        <f>IF($C121="","",IFERROR(IF(INDEX(Deals!$J$2:$J$355,MATCH($C121,Deals!$A$2:$A$355,0))=0,"",INDEX(Deals!$J$2:$J$355,MATCH($C121,Deals!$A$2:$A$355,0))),""))</f>
        <v/>
      </c>
      <c r="N121" s="24">
        <f>IF($L121="",DATE(1900,1,1),$L121)</f>
        <v/>
      </c>
      <c r="O121" s="24">
        <f>IF($M121="",DATE(2100,12,31),$M121)</f>
        <v/>
      </c>
      <c r="P121" s="16" t="inlineStr"/>
      <c r="Q121" s="16" t="inlineStr"/>
      <c r="R121" s="29">
        <f>IF($C121="","",IFERROR(IF(INDEX(Deals!$U$2:$U$355,MATCH($C121,Deals!$A$2:$A$355,0))=0,"",INDEX(Deals!$U$2:$U$355,MATCH($C121,Deals!$A$2:$A$355,0))),""))</f>
        <v/>
      </c>
      <c r="S121" s="22">
        <f>IFERROR(IF($U121="",1,INDEX(Deals!$V$2:$V$355,MATCH($C121,Deals!$A$2:$A$355,0))),1)</f>
        <v/>
      </c>
      <c r="T121" s="22">
        <f>IFERROR(IF($U121="",1,INDEX(Deals!$W$2:$W$355,MATCH($C121,Deals!$A$2:$A$355,0))),1)</f>
        <v/>
      </c>
      <c r="U121" s="31">
        <f>IF($C121="","",IFERROR(IF(INDEX(Deals!$Y$2:$Y$355,MATCH($C121,Deals!$A$2:$A$355,0))=0,"",INDEX(Deals!$Y$2:$Y$355,MATCH($C121,Deals!$A$2:$A$355,0))),""))</f>
        <v/>
      </c>
      <c r="V121" s="24">
        <f>IF($U121="",DATE(1900,1,1),$N121)</f>
        <v/>
      </c>
      <c r="W121" s="24">
        <f>IF($U121="",DATE(2100,12,31),$U121)</f>
        <v/>
      </c>
      <c r="X121" s="20">
        <f>IF($U121="",$K121,$K121*$S121)</f>
        <v/>
      </c>
      <c r="Y121" s="24">
        <f>IF($U121="",DATE(2100,12,31),$U121+1)</f>
        <v/>
      </c>
      <c r="Z121" s="24">
        <f>IF($U121="",DATE(1900,1,1),$O121)</f>
        <v/>
      </c>
      <c r="AA121" s="20">
        <f>IF($U121="",0,$K121*$T121)</f>
        <v/>
      </c>
    </row>
    <row r="122">
      <c r="A122" s="15" t="inlineStr">
        <is>
          <t>Kyle Kidd</t>
        </is>
      </c>
      <c r="B122" s="29">
        <f>IF($A122="","",IFERROR(INDEX(Roster!$B$2:$B$40,MATCH($A122,Roster!$A$2:$A$40,0)),"?"))</f>
        <v/>
      </c>
      <c r="C122" s="15" t="inlineStr">
        <is>
          <t>Resolute_1</t>
        </is>
      </c>
      <c r="D122" s="29">
        <f>IF($C122="","",IFERROR(IF(INDEX(Deals!$C$2:$C$355,MATCH($C122,Deals!$A$2:$A$355,0))=0,"",INDEX(Deals!$C$2:$C$355,MATCH($C122,Deals!$A$2:$A$355,0))),"?"))</f>
        <v/>
      </c>
      <c r="E122" s="29">
        <f>IF($C122="","",IFERROR(INDEX(Deals!$F$2:$F$355,MATCH($C122,Deals!$A$2:$A$355,0)),"?"))</f>
        <v/>
      </c>
      <c r="F122" s="15" t="inlineStr">
        <is>
          <t>Partner</t>
        </is>
      </c>
      <c r="G122" s="15" t="inlineStr">
        <is>
          <t>Active</t>
        </is>
      </c>
      <c r="H122" s="27" t="n"/>
      <c r="I122" s="20">
        <f>IF(OR($A122="",$G122&lt;&gt;"Active"),0,IF($H122&lt;&gt;"",$H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</f>
        <v/>
      </c>
      <c r="J122" s="23">
        <f>IF($C122="",0,IFERROR(INDEX(Deals!$H$2:$H$355,MATCH($C122,Deals!$A$2:$A$355,0)),0))</f>
        <v/>
      </c>
      <c r="K122" s="20">
        <f>IF(Settings!$B$4="Yes",$I122*$J122,$I122)</f>
        <v/>
      </c>
      <c r="L122" s="31">
        <f>IF($C122="","",IFERROR(IF(INDEX(Deals!$I$2:$I$355,MATCH($C122,Deals!$A$2:$A$355,0))=0,"",INDEX(Deals!$I$2:$I$355,MATCH($C122,Deals!$A$2:$A$355,0))),""))</f>
        <v/>
      </c>
      <c r="M122" s="31">
        <f>IF($C122="","",IFERROR(IF(INDEX(Deals!$J$2:$J$355,MATCH($C122,Deals!$A$2:$A$355,0))=0,"",INDEX(Deals!$J$2:$J$355,MATCH($C122,Deals!$A$2:$A$355,0))),""))</f>
        <v/>
      </c>
      <c r="N122" s="24">
        <f>IF($L122="",DATE(1900,1,1),$L122)</f>
        <v/>
      </c>
      <c r="O122" s="24">
        <f>IF($M122="",DATE(2100,12,31),$M122)</f>
        <v/>
      </c>
      <c r="P122" s="16" t="inlineStr"/>
      <c r="Q122" s="16" t="inlineStr"/>
      <c r="R122" s="29">
        <f>IF($C122="","",IFERROR(IF(INDEX(Deals!$U$2:$U$355,MATCH($C122,Deals!$A$2:$A$355,0))=0,"",INDEX(Deals!$U$2:$U$355,MATCH($C122,Deals!$A$2:$A$355,0))),""))</f>
        <v/>
      </c>
      <c r="S122" s="22">
        <f>IFERROR(IF($U122="",1,INDEX(Deals!$V$2:$V$355,MATCH($C122,Deals!$A$2:$A$355,0))),1)</f>
        <v/>
      </c>
      <c r="T122" s="22">
        <f>IFERROR(IF($U122="",1,INDEX(Deals!$W$2:$W$355,MATCH($C122,Deals!$A$2:$A$355,0))),1)</f>
        <v/>
      </c>
      <c r="U122" s="31">
        <f>IF($C122="","",IFERROR(IF(INDEX(Deals!$Y$2:$Y$355,MATCH($C122,Deals!$A$2:$A$355,0))=0,"",INDEX(Deals!$Y$2:$Y$355,MATCH($C122,Deals!$A$2:$A$355,0))),""))</f>
        <v/>
      </c>
      <c r="V122" s="24">
        <f>IF($U122="",DATE(1900,1,1),$N122)</f>
        <v/>
      </c>
      <c r="W122" s="24">
        <f>IF($U122="",DATE(2100,12,31),$U122)</f>
        <v/>
      </c>
      <c r="X122" s="20">
        <f>IF($U122="",$K122,$K122*$S122)</f>
        <v/>
      </c>
      <c r="Y122" s="24">
        <f>IF($U122="",DATE(2100,12,31),$U122+1)</f>
        <v/>
      </c>
      <c r="Z122" s="24">
        <f>IF($U122="",DATE(1900,1,1),$O122)</f>
        <v/>
      </c>
      <c r="AA122" s="20">
        <f>IF($U122="",0,$K122*$T122)</f>
        <v/>
      </c>
    </row>
    <row r="123">
      <c r="A123" s="15" t="inlineStr">
        <is>
          <t>Kyle Kidd</t>
        </is>
      </c>
      <c r="B123" s="29">
        <f>IF($A123="","",IFERROR(INDEX(Roster!$B$2:$B$40,MATCH($A123,Roster!$A$2:$A$40,0)),"?"))</f>
        <v/>
      </c>
      <c r="C123" s="15" t="inlineStr">
        <is>
          <t>Sakura</t>
        </is>
      </c>
      <c r="D123" s="29">
        <f>IF($C123="","",IFERROR(IF(INDEX(Deals!$C$2:$C$355,MATCH($C123,Deals!$A$2:$A$355,0))=0,"",INDEX(Deals!$C$2:$C$355,MATCH($C123,Deals!$A$2:$A$355,0))),"?"))</f>
        <v/>
      </c>
      <c r="E123" s="29">
        <f>IF($C123="","",IFERROR(INDEX(Deals!$F$2:$F$355,MATCH($C123,Deals!$A$2:$A$355,0)),"?"))</f>
        <v/>
      </c>
      <c r="F123" s="15" t="inlineStr">
        <is>
          <t>Partner</t>
        </is>
      </c>
      <c r="G123" s="15" t="inlineStr">
        <is>
          <t>Active</t>
        </is>
      </c>
      <c r="H123" s="27" t="n"/>
      <c r="I123" s="20">
        <f>IF(OR($A123="",$G123&lt;&gt;"Active"),0,IF($H123&lt;&gt;"",$H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</f>
        <v/>
      </c>
      <c r="J123" s="23">
        <f>IF($C123="",0,IFERROR(INDEX(Deals!$H$2:$H$355,MATCH($C123,Deals!$A$2:$A$355,0)),0))</f>
        <v/>
      </c>
      <c r="K123" s="20">
        <f>IF(Settings!$B$4="Yes",$I123*$J123,$I123)</f>
        <v/>
      </c>
      <c r="L123" s="31">
        <f>IF($C123="","",IFERROR(IF(INDEX(Deals!$I$2:$I$355,MATCH($C123,Deals!$A$2:$A$355,0))=0,"",INDEX(Deals!$I$2:$I$355,MATCH($C123,Deals!$A$2:$A$355,0))),""))</f>
        <v/>
      </c>
      <c r="M123" s="31">
        <f>IF($C123="","",IFERROR(IF(INDEX(Deals!$J$2:$J$355,MATCH($C123,Deals!$A$2:$A$355,0))=0,"",INDEX(Deals!$J$2:$J$355,MATCH($C123,Deals!$A$2:$A$355,0))),""))</f>
        <v/>
      </c>
      <c r="N123" s="24">
        <f>IF($L123="",DATE(1900,1,1),$L123)</f>
        <v/>
      </c>
      <c r="O123" s="24">
        <f>IF($M123="",DATE(2100,12,31),$M123)</f>
        <v/>
      </c>
      <c r="P123" s="16" t="inlineStr"/>
      <c r="Q123" s="16" t="inlineStr"/>
      <c r="R123" s="29">
        <f>IF($C123="","",IFERROR(IF(INDEX(Deals!$U$2:$U$355,MATCH($C123,Deals!$A$2:$A$355,0))=0,"",INDEX(Deals!$U$2:$U$355,MATCH($C123,Deals!$A$2:$A$355,0))),""))</f>
        <v/>
      </c>
      <c r="S123" s="22">
        <f>IFERROR(IF($U123="",1,INDEX(Deals!$V$2:$V$355,MATCH($C123,Deals!$A$2:$A$355,0))),1)</f>
        <v/>
      </c>
      <c r="T123" s="22">
        <f>IFERROR(IF($U123="",1,INDEX(Deals!$W$2:$W$355,MATCH($C123,Deals!$A$2:$A$355,0))),1)</f>
        <v/>
      </c>
      <c r="U123" s="31">
        <f>IF($C123="","",IFERROR(IF(INDEX(Deals!$Y$2:$Y$355,MATCH($C123,Deals!$A$2:$A$355,0))=0,"",INDEX(Deals!$Y$2:$Y$355,MATCH($C123,Deals!$A$2:$A$355,0))),""))</f>
        <v/>
      </c>
      <c r="V123" s="24">
        <f>IF($U123="",DATE(1900,1,1),$N123)</f>
        <v/>
      </c>
      <c r="W123" s="24">
        <f>IF($U123="",DATE(2100,12,31),$U123)</f>
        <v/>
      </c>
      <c r="X123" s="20">
        <f>IF($U123="",$K123,$K123*$S123)</f>
        <v/>
      </c>
      <c r="Y123" s="24">
        <f>IF($U123="",DATE(2100,12,31),$U123+1)</f>
        <v/>
      </c>
      <c r="Z123" s="24">
        <f>IF($U123="",DATE(1900,1,1),$O123)</f>
        <v/>
      </c>
      <c r="AA123" s="20">
        <f>IF($U123="",0,$K123*$T123)</f>
        <v/>
      </c>
    </row>
    <row r="124">
      <c r="A124" s="15" t="inlineStr">
        <is>
          <t>Kyle Kidd</t>
        </is>
      </c>
      <c r="B124" s="29">
        <f>IF($A124="","",IFERROR(INDEX(Roster!$B$2:$B$40,MATCH($A124,Roster!$A$2:$A$40,0)),"?"))</f>
        <v/>
      </c>
      <c r="C124" s="15" t="inlineStr">
        <is>
          <t>Shika_1</t>
        </is>
      </c>
      <c r="D124" s="29">
        <f>IF($C124="","",IFERROR(IF(INDEX(Deals!$C$2:$C$355,MATCH($C124,Deals!$A$2:$A$355,0))=0,"",INDEX(Deals!$C$2:$C$355,MATCH($C124,Deals!$A$2:$A$355,0))),"?"))</f>
        <v/>
      </c>
      <c r="E124" s="29">
        <f>IF($C124="","",IFERROR(INDEX(Deals!$F$2:$F$355,MATCH($C124,Deals!$A$2:$A$355,0)),"?"))</f>
        <v/>
      </c>
      <c r="F124" s="15" t="inlineStr">
        <is>
          <t>Partner</t>
        </is>
      </c>
      <c r="G124" s="15" t="inlineStr">
        <is>
          <t>Active</t>
        </is>
      </c>
      <c r="H124" s="27" t="n"/>
      <c r="I124" s="20">
        <f>IF(OR($A124="",$G124&lt;&gt;"Active"),0,IF($H124&lt;&gt;"",$H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</f>
        <v/>
      </c>
      <c r="J124" s="23">
        <f>IF($C124="",0,IFERROR(INDEX(Deals!$H$2:$H$355,MATCH($C124,Deals!$A$2:$A$355,0)),0))</f>
        <v/>
      </c>
      <c r="K124" s="20">
        <f>IF(Settings!$B$4="Yes",$I124*$J124,$I124)</f>
        <v/>
      </c>
      <c r="L124" s="31">
        <f>IF($C124="","",IFERROR(IF(INDEX(Deals!$I$2:$I$355,MATCH($C124,Deals!$A$2:$A$355,0))=0,"",INDEX(Deals!$I$2:$I$355,MATCH($C124,Deals!$A$2:$A$355,0))),""))</f>
        <v/>
      </c>
      <c r="M124" s="31">
        <f>IF($C124="","",IFERROR(IF(INDEX(Deals!$J$2:$J$355,MATCH($C124,Deals!$A$2:$A$355,0))=0,"",INDEX(Deals!$J$2:$J$355,MATCH($C124,Deals!$A$2:$A$355,0))),""))</f>
        <v/>
      </c>
      <c r="N124" s="24">
        <f>IF($L124="",DATE(1900,1,1),$L124)</f>
        <v/>
      </c>
      <c r="O124" s="24">
        <f>IF($M124="",DATE(2100,12,31),$M124)</f>
        <v/>
      </c>
      <c r="P124" s="16" t="inlineStr"/>
      <c r="Q124" s="16" t="inlineStr"/>
      <c r="R124" s="29">
        <f>IF($C124="","",IFERROR(IF(INDEX(Deals!$U$2:$U$355,MATCH($C124,Deals!$A$2:$A$355,0))=0,"",INDEX(Deals!$U$2:$U$355,MATCH($C124,Deals!$A$2:$A$355,0))),""))</f>
        <v/>
      </c>
      <c r="S124" s="22">
        <f>IFERROR(IF($U124="",1,INDEX(Deals!$V$2:$V$355,MATCH($C124,Deals!$A$2:$A$355,0))),1)</f>
        <v/>
      </c>
      <c r="T124" s="22">
        <f>IFERROR(IF($U124="",1,INDEX(Deals!$W$2:$W$355,MATCH($C124,Deals!$A$2:$A$355,0))),1)</f>
        <v/>
      </c>
      <c r="U124" s="31">
        <f>IF($C124="","",IFERROR(IF(INDEX(Deals!$Y$2:$Y$355,MATCH($C124,Deals!$A$2:$A$355,0))=0,"",INDEX(Deals!$Y$2:$Y$355,MATCH($C124,Deals!$A$2:$A$355,0))),""))</f>
        <v/>
      </c>
      <c r="V124" s="24">
        <f>IF($U124="",DATE(1900,1,1),$N124)</f>
        <v/>
      </c>
      <c r="W124" s="24">
        <f>IF($U124="",DATE(2100,12,31),$U124)</f>
        <v/>
      </c>
      <c r="X124" s="20">
        <f>IF($U124="",$K124,$K124*$S124)</f>
        <v/>
      </c>
      <c r="Y124" s="24">
        <f>IF($U124="",DATE(2100,12,31),$U124+1)</f>
        <v/>
      </c>
      <c r="Z124" s="24">
        <f>IF($U124="",DATE(1900,1,1),$O124)</f>
        <v/>
      </c>
      <c r="AA124" s="20">
        <f>IF($U124="",0,$K124*$T124)</f>
        <v/>
      </c>
    </row>
    <row r="125">
      <c r="A125" s="15" t="inlineStr">
        <is>
          <t>Kyle Kidd</t>
        </is>
      </c>
      <c r="B125" s="29">
        <f>IF($A125="","",IFERROR(INDEX(Roster!$B$2:$B$40,MATCH($A125,Roster!$A$2:$A$40,0)),"?"))</f>
        <v/>
      </c>
      <c r="C125" s="15" t="inlineStr">
        <is>
          <t>Steam_2</t>
        </is>
      </c>
      <c r="D125" s="29">
        <f>IF($C125="","",IFERROR(IF(INDEX(Deals!$C$2:$C$355,MATCH($C125,Deals!$A$2:$A$355,0))=0,"",INDEX(Deals!$C$2:$C$355,MATCH($C125,Deals!$A$2:$A$355,0))),"?"))</f>
        <v/>
      </c>
      <c r="E125" s="29">
        <f>IF($C125="","",IFERROR(INDEX(Deals!$F$2:$F$355,MATCH($C125,Deals!$A$2:$A$355,0)),"?"))</f>
        <v/>
      </c>
      <c r="F125" s="15" t="inlineStr">
        <is>
          <t>Partner</t>
        </is>
      </c>
      <c r="G125" s="15" t="inlineStr">
        <is>
          <t>Active</t>
        </is>
      </c>
      <c r="H125" s="27" t="n"/>
      <c r="I125" s="20">
        <f>IF(OR($A125="",$G125&lt;&gt;"Active"),0,IF($H125&lt;&gt;"",$H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</f>
        <v/>
      </c>
      <c r="J125" s="23">
        <f>IF($C125="",0,IFERROR(INDEX(Deals!$H$2:$H$355,MATCH($C125,Deals!$A$2:$A$355,0)),0))</f>
        <v/>
      </c>
      <c r="K125" s="20">
        <f>IF(Settings!$B$4="Yes",$I125*$J125,$I125)</f>
        <v/>
      </c>
      <c r="L125" s="31">
        <f>IF($C125="","",IFERROR(IF(INDEX(Deals!$I$2:$I$355,MATCH($C125,Deals!$A$2:$A$355,0))=0,"",INDEX(Deals!$I$2:$I$355,MATCH($C125,Deals!$A$2:$A$355,0))),""))</f>
        <v/>
      </c>
      <c r="M125" s="31">
        <f>IF($C125="","",IFERROR(IF(INDEX(Deals!$J$2:$J$355,MATCH($C125,Deals!$A$2:$A$355,0))=0,"",INDEX(Deals!$J$2:$J$355,MATCH($C125,Deals!$A$2:$A$355,0))),""))</f>
        <v/>
      </c>
      <c r="N125" s="24">
        <f>IF($L125="",DATE(1900,1,1),$L125)</f>
        <v/>
      </c>
      <c r="O125" s="24">
        <f>IF($M125="",DATE(2100,12,31),$M125)</f>
        <v/>
      </c>
      <c r="P125" s="16" t="inlineStr"/>
      <c r="Q125" s="16" t="inlineStr"/>
      <c r="R125" s="29">
        <f>IF($C125="","",IFERROR(IF(INDEX(Deals!$U$2:$U$355,MATCH($C125,Deals!$A$2:$A$355,0))=0,"",INDEX(Deals!$U$2:$U$355,MATCH($C125,Deals!$A$2:$A$355,0))),""))</f>
        <v/>
      </c>
      <c r="S125" s="22">
        <f>IFERROR(IF($U125="",1,INDEX(Deals!$V$2:$V$355,MATCH($C125,Deals!$A$2:$A$355,0))),1)</f>
        <v/>
      </c>
      <c r="T125" s="22">
        <f>IFERROR(IF($U125="",1,INDEX(Deals!$W$2:$W$355,MATCH($C125,Deals!$A$2:$A$355,0))),1)</f>
        <v/>
      </c>
      <c r="U125" s="31">
        <f>IF($C125="","",IFERROR(IF(INDEX(Deals!$Y$2:$Y$355,MATCH($C125,Deals!$A$2:$A$355,0))=0,"",INDEX(Deals!$Y$2:$Y$355,MATCH($C125,Deals!$A$2:$A$355,0))),""))</f>
        <v/>
      </c>
      <c r="V125" s="24">
        <f>IF($U125="",DATE(1900,1,1),$N125)</f>
        <v/>
      </c>
      <c r="W125" s="24">
        <f>IF($U125="",DATE(2100,12,31),$U125)</f>
        <v/>
      </c>
      <c r="X125" s="20">
        <f>IF($U125="",$K125,$K125*$S125)</f>
        <v/>
      </c>
      <c r="Y125" s="24">
        <f>IF($U125="",DATE(2100,12,31),$U125+1)</f>
        <v/>
      </c>
      <c r="Z125" s="24">
        <f>IF($U125="",DATE(1900,1,1),$O125)</f>
        <v/>
      </c>
      <c r="AA125" s="20">
        <f>IF($U125="",0,$K125*$T125)</f>
        <v/>
      </c>
    </row>
    <row r="126">
      <c r="A126" s="15" t="inlineStr">
        <is>
          <t>Kyle Kidd</t>
        </is>
      </c>
      <c r="B126" s="29">
        <f>IF($A126="","",IFERROR(INDEX(Roster!$B$2:$B$40,MATCH($A126,Roster!$A$2:$A$40,0)),"?"))</f>
        <v/>
      </c>
      <c r="C126" s="15" t="inlineStr">
        <is>
          <t>Tax_7</t>
        </is>
      </c>
      <c r="D126" s="29">
        <f>IF($C126="","",IFERROR(IF(INDEX(Deals!$C$2:$C$355,MATCH($C126,Deals!$A$2:$A$355,0))=0,"",INDEX(Deals!$C$2:$C$355,MATCH($C126,Deals!$A$2:$A$355,0))),"?"))</f>
        <v/>
      </c>
      <c r="E126" s="29">
        <f>IF($C126="","",IFERROR(INDEX(Deals!$F$2:$F$355,MATCH($C126,Deals!$A$2:$A$355,0)),"?"))</f>
        <v/>
      </c>
      <c r="F126" s="15" t="inlineStr">
        <is>
          <t>Partner</t>
        </is>
      </c>
      <c r="G126" s="15" t="inlineStr">
        <is>
          <t>Active</t>
        </is>
      </c>
      <c r="H126" s="27" t="n"/>
      <c r="I126" s="20">
        <f>IF(OR($A126="",$G126&lt;&gt;"Active"),0,IF($H126&lt;&gt;"",$H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</f>
        <v/>
      </c>
      <c r="J126" s="23">
        <f>IF($C126="",0,IFERROR(INDEX(Deals!$H$2:$H$355,MATCH($C126,Deals!$A$2:$A$355,0)),0))</f>
        <v/>
      </c>
      <c r="K126" s="20">
        <f>IF(Settings!$B$4="Yes",$I126*$J126,$I126)</f>
        <v/>
      </c>
      <c r="L126" s="31">
        <f>IF($C126="","",IFERROR(IF(INDEX(Deals!$I$2:$I$355,MATCH($C126,Deals!$A$2:$A$355,0))=0,"",INDEX(Deals!$I$2:$I$355,MATCH($C126,Deals!$A$2:$A$355,0))),""))</f>
        <v/>
      </c>
      <c r="M126" s="31">
        <f>IF($C126="","",IFERROR(IF(INDEX(Deals!$J$2:$J$355,MATCH($C126,Deals!$A$2:$A$355,0))=0,"",INDEX(Deals!$J$2:$J$355,MATCH($C126,Deals!$A$2:$A$355,0))),""))</f>
        <v/>
      </c>
      <c r="N126" s="24">
        <f>IF($L126="",DATE(1900,1,1),$L126)</f>
        <v/>
      </c>
      <c r="O126" s="24">
        <f>IF($M126="",DATE(2100,12,31),$M126)</f>
        <v/>
      </c>
      <c r="P126" s="16" t="inlineStr"/>
      <c r="Q126" s="16" t="inlineStr"/>
      <c r="R126" s="29">
        <f>IF($C126="","",IFERROR(IF(INDEX(Deals!$U$2:$U$355,MATCH($C126,Deals!$A$2:$A$355,0))=0,"",INDEX(Deals!$U$2:$U$355,MATCH($C126,Deals!$A$2:$A$355,0))),""))</f>
        <v/>
      </c>
      <c r="S126" s="22">
        <f>IFERROR(IF($U126="",1,INDEX(Deals!$V$2:$V$355,MATCH($C126,Deals!$A$2:$A$355,0))),1)</f>
        <v/>
      </c>
      <c r="T126" s="22">
        <f>IFERROR(IF($U126="",1,INDEX(Deals!$W$2:$W$355,MATCH($C126,Deals!$A$2:$A$355,0))),1)</f>
        <v/>
      </c>
      <c r="U126" s="31">
        <f>IF($C126="","",IFERROR(IF(INDEX(Deals!$Y$2:$Y$355,MATCH($C126,Deals!$A$2:$A$355,0))=0,"",INDEX(Deals!$Y$2:$Y$355,MATCH($C126,Deals!$A$2:$A$355,0))),""))</f>
        <v/>
      </c>
      <c r="V126" s="24">
        <f>IF($U126="",DATE(1900,1,1),$N126)</f>
        <v/>
      </c>
      <c r="W126" s="24">
        <f>IF($U126="",DATE(2100,12,31),$U126)</f>
        <v/>
      </c>
      <c r="X126" s="20">
        <f>IF($U126="",$K126,$K126*$S126)</f>
        <v/>
      </c>
      <c r="Y126" s="24">
        <f>IF($U126="",DATE(2100,12,31),$U126+1)</f>
        <v/>
      </c>
      <c r="Z126" s="24">
        <f>IF($U126="",DATE(1900,1,1),$O126)</f>
        <v/>
      </c>
      <c r="AA126" s="20">
        <f>IF($U126="",0,$K126*$T126)</f>
        <v/>
      </c>
    </row>
    <row r="127">
      <c r="A127" s="15" t="inlineStr">
        <is>
          <t>Kyle Kidd</t>
        </is>
      </c>
      <c r="B127" s="29">
        <f>IF($A127="","",IFERROR(INDEX(Roster!$B$2:$B$40,MATCH($A127,Roster!$A$2:$A$40,0)),"?"))</f>
        <v/>
      </c>
      <c r="C127" s="15" t="inlineStr">
        <is>
          <t>Torch_4</t>
        </is>
      </c>
      <c r="D127" s="29">
        <f>IF($C127="","",IFERROR(IF(INDEX(Deals!$C$2:$C$355,MATCH($C127,Deals!$A$2:$A$355,0))=0,"",INDEX(Deals!$C$2:$C$355,MATCH($C127,Deals!$A$2:$A$355,0))),"?"))</f>
        <v/>
      </c>
      <c r="E127" s="29">
        <f>IF($C127="","",IFERROR(INDEX(Deals!$F$2:$F$355,MATCH($C127,Deals!$A$2:$A$355,0)),"?"))</f>
        <v/>
      </c>
      <c r="F127" s="15" t="inlineStr">
        <is>
          <t>Partner</t>
        </is>
      </c>
      <c r="G127" s="15" t="inlineStr">
        <is>
          <t>Active</t>
        </is>
      </c>
      <c r="H127" s="27" t="n"/>
      <c r="I127" s="20">
        <f>IF(OR($A127="",$G127&lt;&gt;"Active"),0,IF($H127&lt;&gt;"",$H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</f>
        <v/>
      </c>
      <c r="J127" s="23">
        <f>IF($C127="",0,IFERROR(INDEX(Deals!$H$2:$H$355,MATCH($C127,Deals!$A$2:$A$355,0)),0))</f>
        <v/>
      </c>
      <c r="K127" s="20">
        <f>IF(Settings!$B$4="Yes",$I127*$J127,$I127)</f>
        <v/>
      </c>
      <c r="L127" s="31">
        <f>IF($C127="","",IFERROR(IF(INDEX(Deals!$I$2:$I$355,MATCH($C127,Deals!$A$2:$A$355,0))=0,"",INDEX(Deals!$I$2:$I$355,MATCH($C127,Deals!$A$2:$A$355,0))),""))</f>
        <v/>
      </c>
      <c r="M127" s="31">
        <f>IF($C127="","",IFERROR(IF(INDEX(Deals!$J$2:$J$355,MATCH($C127,Deals!$A$2:$A$355,0))=0,"",INDEX(Deals!$J$2:$J$355,MATCH($C127,Deals!$A$2:$A$355,0))),""))</f>
        <v/>
      </c>
      <c r="N127" s="24">
        <f>IF($L127="",DATE(1900,1,1),$L127)</f>
        <v/>
      </c>
      <c r="O127" s="24">
        <f>IF($M127="",DATE(2100,12,31),$M127)</f>
        <v/>
      </c>
      <c r="P127" s="16" t="inlineStr"/>
      <c r="Q127" s="16" t="inlineStr"/>
      <c r="R127" s="29">
        <f>IF($C127="","",IFERROR(IF(INDEX(Deals!$U$2:$U$355,MATCH($C127,Deals!$A$2:$A$355,0))=0,"",INDEX(Deals!$U$2:$U$355,MATCH($C127,Deals!$A$2:$A$355,0))),""))</f>
        <v/>
      </c>
      <c r="S127" s="22">
        <f>IFERROR(IF($U127="",1,INDEX(Deals!$V$2:$V$355,MATCH($C127,Deals!$A$2:$A$355,0))),1)</f>
        <v/>
      </c>
      <c r="T127" s="22">
        <f>IFERROR(IF($U127="",1,INDEX(Deals!$W$2:$W$355,MATCH($C127,Deals!$A$2:$A$355,0))),1)</f>
        <v/>
      </c>
      <c r="U127" s="31">
        <f>IF($C127="","",IFERROR(IF(INDEX(Deals!$Y$2:$Y$355,MATCH($C127,Deals!$A$2:$A$355,0))=0,"",INDEX(Deals!$Y$2:$Y$355,MATCH($C127,Deals!$A$2:$A$355,0))),""))</f>
        <v/>
      </c>
      <c r="V127" s="24">
        <f>IF($U127="",DATE(1900,1,1),$N127)</f>
        <v/>
      </c>
      <c r="W127" s="24">
        <f>IF($U127="",DATE(2100,12,31),$U127)</f>
        <v/>
      </c>
      <c r="X127" s="20">
        <f>IF($U127="",$K127,$K127*$S127)</f>
        <v/>
      </c>
      <c r="Y127" s="24">
        <f>IF($U127="",DATE(2100,12,31),$U127+1)</f>
        <v/>
      </c>
      <c r="Z127" s="24">
        <f>IF($U127="",DATE(1900,1,1),$O127)</f>
        <v/>
      </c>
      <c r="AA127" s="20">
        <f>IF($U127="",0,$K127*$T127)</f>
        <v/>
      </c>
    </row>
    <row r="128">
      <c r="A128" s="15" t="inlineStr">
        <is>
          <t>Kyle Kidd</t>
        </is>
      </c>
      <c r="B128" s="29">
        <f>IF($A128="","",IFERROR(INDEX(Roster!$B$2:$B$40,MATCH($A128,Roster!$A$2:$A$40,0)),"?"))</f>
        <v/>
      </c>
      <c r="C128" s="15" t="inlineStr">
        <is>
          <t>Wolverine_3</t>
        </is>
      </c>
      <c r="D128" s="29">
        <f>IF($C128="","",IFERROR(IF(INDEX(Deals!$C$2:$C$355,MATCH($C128,Deals!$A$2:$A$355,0))=0,"",INDEX(Deals!$C$2:$C$355,MATCH($C128,Deals!$A$2:$A$355,0))),"?"))</f>
        <v/>
      </c>
      <c r="E128" s="29">
        <f>IF($C128="","",IFERROR(INDEX(Deals!$F$2:$F$355,MATCH($C128,Deals!$A$2:$A$355,0)),"?"))</f>
        <v/>
      </c>
      <c r="F128" s="15" t="inlineStr">
        <is>
          <t>Partner</t>
        </is>
      </c>
      <c r="G128" s="15" t="inlineStr">
        <is>
          <t>Active</t>
        </is>
      </c>
      <c r="H128" s="27" t="n"/>
      <c r="I128" s="20">
        <f>IF(OR($A128="",$G128&lt;&gt;"Active"),0,IF($H128&lt;&gt;"",$H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</f>
        <v/>
      </c>
      <c r="J128" s="23">
        <f>IF($C128="",0,IFERROR(INDEX(Deals!$H$2:$H$355,MATCH($C128,Deals!$A$2:$A$355,0)),0))</f>
        <v/>
      </c>
      <c r="K128" s="20">
        <f>IF(Settings!$B$4="Yes",$I128*$J128,$I128)</f>
        <v/>
      </c>
      <c r="L128" s="31">
        <f>IF($C128="","",IFERROR(IF(INDEX(Deals!$I$2:$I$355,MATCH($C128,Deals!$A$2:$A$355,0))=0,"",INDEX(Deals!$I$2:$I$355,MATCH($C128,Deals!$A$2:$A$355,0))),""))</f>
        <v/>
      </c>
      <c r="M128" s="31">
        <f>IF($C128="","",IFERROR(IF(INDEX(Deals!$J$2:$J$355,MATCH($C128,Deals!$A$2:$A$355,0))=0,"",INDEX(Deals!$J$2:$J$355,MATCH($C128,Deals!$A$2:$A$355,0))),""))</f>
        <v/>
      </c>
      <c r="N128" s="24">
        <f>IF($L128="",DATE(1900,1,1),$L128)</f>
        <v/>
      </c>
      <c r="O128" s="24">
        <f>IF($M128="",DATE(2100,12,31),$M128)</f>
        <v/>
      </c>
      <c r="P128" s="16" t="inlineStr"/>
      <c r="Q128" s="16" t="inlineStr"/>
      <c r="R128" s="29">
        <f>IF($C128="","",IFERROR(IF(INDEX(Deals!$U$2:$U$355,MATCH($C128,Deals!$A$2:$A$355,0))=0,"",INDEX(Deals!$U$2:$U$355,MATCH($C128,Deals!$A$2:$A$355,0))),""))</f>
        <v/>
      </c>
      <c r="S128" s="22">
        <f>IFERROR(IF($U128="",1,INDEX(Deals!$V$2:$V$355,MATCH($C128,Deals!$A$2:$A$355,0))),1)</f>
        <v/>
      </c>
      <c r="T128" s="22">
        <f>IFERROR(IF($U128="",1,INDEX(Deals!$W$2:$W$355,MATCH($C128,Deals!$A$2:$A$355,0))),1)</f>
        <v/>
      </c>
      <c r="U128" s="31">
        <f>IF($C128="","",IFERROR(IF(INDEX(Deals!$Y$2:$Y$355,MATCH($C128,Deals!$A$2:$A$355,0))=0,"",INDEX(Deals!$Y$2:$Y$355,MATCH($C128,Deals!$A$2:$A$355,0))),""))</f>
        <v/>
      </c>
      <c r="V128" s="24">
        <f>IF($U128="",DATE(1900,1,1),$N128)</f>
        <v/>
      </c>
      <c r="W128" s="24">
        <f>IF($U128="",DATE(2100,12,31),$U128)</f>
        <v/>
      </c>
      <c r="X128" s="20">
        <f>IF($U128="",$K128,$K128*$S128)</f>
        <v/>
      </c>
      <c r="Y128" s="24">
        <f>IF($U128="",DATE(2100,12,31),$U128+1)</f>
        <v/>
      </c>
      <c r="Z128" s="24">
        <f>IF($U128="",DATE(1900,1,1),$O128)</f>
        <v/>
      </c>
      <c r="AA128" s="20">
        <f>IF($U128="",0,$K128*$T128)</f>
        <v/>
      </c>
    </row>
    <row r="129">
      <c r="A129" s="15" t="inlineStr">
        <is>
          <t>Zack</t>
        </is>
      </c>
      <c r="B129" s="29">
        <f>IF($A129="","",IFERROR(INDEX(Roster!$B$2:$B$40,MATCH($A129,Roster!$A$2:$A$40,0)),"?"))</f>
        <v/>
      </c>
      <c r="C129" s="15" t="inlineStr">
        <is>
          <t>5C Ocean_1</t>
        </is>
      </c>
      <c r="D129" s="29">
        <f>IF($C129="","",IFERROR(IF(INDEX(Deals!$C$2:$C$355,MATCH($C129,Deals!$A$2:$A$355,0))=0,"",INDEX(Deals!$C$2:$C$355,MATCH($C129,Deals!$A$2:$A$355,0))),"?"))</f>
        <v/>
      </c>
      <c r="E129" s="29">
        <f>IF($C129="","",IFERROR(INDEX(Deals!$F$2:$F$355,MATCH($C129,Deals!$A$2:$A$355,0)),"?"))</f>
        <v/>
      </c>
      <c r="F129" s="15" t="inlineStr">
        <is>
          <t>MD</t>
        </is>
      </c>
      <c r="G129" s="15" t="inlineStr">
        <is>
          <t>Active</t>
        </is>
      </c>
      <c r="H129" s="27" t="n"/>
      <c r="I129" s="20">
        <f>IF(OR($A129="",$G129&lt;&gt;"Active"),0,IF($H129&lt;&gt;"",$H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</f>
        <v/>
      </c>
      <c r="J129" s="23">
        <f>IF($C129="",0,IFERROR(INDEX(Deals!$H$2:$H$355,MATCH($C129,Deals!$A$2:$A$355,0)),0))</f>
        <v/>
      </c>
      <c r="K129" s="20">
        <f>IF(Settings!$B$4="Yes",$I129*$J129,$I129)</f>
        <v/>
      </c>
      <c r="L129" s="31">
        <f>IF($C129="","",IFERROR(IF(INDEX(Deals!$I$2:$I$355,MATCH($C129,Deals!$A$2:$A$355,0))=0,"",INDEX(Deals!$I$2:$I$355,MATCH($C129,Deals!$A$2:$A$355,0))),""))</f>
        <v/>
      </c>
      <c r="M129" s="31">
        <f>IF($C129="","",IFERROR(IF(INDEX(Deals!$J$2:$J$355,MATCH($C129,Deals!$A$2:$A$355,0))=0,"",INDEX(Deals!$J$2:$J$355,MATCH($C129,Deals!$A$2:$A$355,0))),""))</f>
        <v/>
      </c>
      <c r="N129" s="24">
        <f>IF($L129="",DATE(1900,1,1),$L129)</f>
        <v/>
      </c>
      <c r="O129" s="24">
        <f>IF($M129="",DATE(2100,12,31),$M129)</f>
        <v/>
      </c>
      <c r="P129" s="16" t="inlineStr"/>
      <c r="Q129" s="16" t="inlineStr"/>
      <c r="R129" s="29">
        <f>IF($C129="","",IFERROR(IF(INDEX(Deals!$U$2:$U$355,MATCH($C129,Deals!$A$2:$A$355,0))=0,"",INDEX(Deals!$U$2:$U$355,MATCH($C129,Deals!$A$2:$A$355,0))),""))</f>
        <v/>
      </c>
      <c r="S129" s="22">
        <f>IFERROR(IF($U129="",1,INDEX(Deals!$V$2:$V$355,MATCH($C129,Deals!$A$2:$A$355,0))),1)</f>
        <v/>
      </c>
      <c r="T129" s="22">
        <f>IFERROR(IF($U129="",1,INDEX(Deals!$W$2:$W$355,MATCH($C129,Deals!$A$2:$A$355,0))),1)</f>
        <v/>
      </c>
      <c r="U129" s="31">
        <f>IF($C129="","",IFERROR(IF(INDEX(Deals!$Y$2:$Y$355,MATCH($C129,Deals!$A$2:$A$355,0))=0,"",INDEX(Deals!$Y$2:$Y$355,MATCH($C129,Deals!$A$2:$A$355,0))),""))</f>
        <v/>
      </c>
      <c r="V129" s="24">
        <f>IF($U129="",DATE(1900,1,1),$N129)</f>
        <v/>
      </c>
      <c r="W129" s="24">
        <f>IF($U129="",DATE(2100,12,31),$U129)</f>
        <v/>
      </c>
      <c r="X129" s="20">
        <f>IF($U129="",$K129,$K129*$S129)</f>
        <v/>
      </c>
      <c r="Y129" s="24">
        <f>IF($U129="",DATE(2100,12,31),$U129+1)</f>
        <v/>
      </c>
      <c r="Z129" s="24">
        <f>IF($U129="",DATE(1900,1,1),$O129)</f>
        <v/>
      </c>
      <c r="AA129" s="20">
        <f>IF($U129="",0,$K129*$T129)</f>
        <v/>
      </c>
    </row>
    <row r="130">
      <c r="A130" s="15" t="inlineStr">
        <is>
          <t>Zack</t>
        </is>
      </c>
      <c r="B130" s="29">
        <f>IF($A130="","",IFERROR(INDEX(Roster!$B$2:$B$40,MATCH($A130,Roster!$A$2:$A$40,0)),"?"))</f>
        <v/>
      </c>
      <c r="C130" s="15" t="inlineStr">
        <is>
          <t>Ace_2</t>
        </is>
      </c>
      <c r="D130" s="29">
        <f>IF($C130="","",IFERROR(IF(INDEX(Deals!$C$2:$C$355,MATCH($C130,Deals!$A$2:$A$355,0))=0,"",INDEX(Deals!$C$2:$C$355,MATCH($C130,Deals!$A$2:$A$355,0))),"?"))</f>
        <v/>
      </c>
      <c r="E130" s="29">
        <f>IF($C130="","",IFERROR(INDEX(Deals!$F$2:$F$355,MATCH($C130,Deals!$A$2:$A$355,0)),"?"))</f>
        <v/>
      </c>
      <c r="F130" s="15" t="inlineStr">
        <is>
          <t>MD</t>
        </is>
      </c>
      <c r="G130" s="15" t="inlineStr">
        <is>
          <t>Active</t>
        </is>
      </c>
      <c r="H130" s="27" t="n"/>
      <c r="I130" s="20">
        <f>IF(OR($A130="",$G130&lt;&gt;"Active"),0,IF($H130&lt;&gt;"",$H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</f>
        <v/>
      </c>
      <c r="J130" s="23">
        <f>IF($C130="",0,IFERROR(INDEX(Deals!$H$2:$H$355,MATCH($C130,Deals!$A$2:$A$355,0)),0))</f>
        <v/>
      </c>
      <c r="K130" s="20">
        <f>IF(Settings!$B$4="Yes",$I130*$J130,$I130)</f>
        <v/>
      </c>
      <c r="L130" s="31">
        <f>IF($C130="","",IFERROR(IF(INDEX(Deals!$I$2:$I$355,MATCH($C130,Deals!$A$2:$A$355,0))=0,"",INDEX(Deals!$I$2:$I$355,MATCH($C130,Deals!$A$2:$A$355,0))),""))</f>
        <v/>
      </c>
      <c r="M130" s="31">
        <f>IF($C130="","",IFERROR(IF(INDEX(Deals!$J$2:$J$355,MATCH($C130,Deals!$A$2:$A$355,0))=0,"",INDEX(Deals!$J$2:$J$355,MATCH($C130,Deals!$A$2:$A$355,0))),""))</f>
        <v/>
      </c>
      <c r="N130" s="24">
        <f>IF($L130="",DATE(1900,1,1),$L130)</f>
        <v/>
      </c>
      <c r="O130" s="24">
        <f>IF($M130="",DATE(2100,12,31),$M130)</f>
        <v/>
      </c>
      <c r="P130" s="16" t="inlineStr"/>
      <c r="Q130" s="16" t="inlineStr"/>
      <c r="R130" s="29">
        <f>IF($C130="","",IFERROR(IF(INDEX(Deals!$U$2:$U$355,MATCH($C130,Deals!$A$2:$A$355,0))=0,"",INDEX(Deals!$U$2:$U$355,MATCH($C130,Deals!$A$2:$A$355,0))),""))</f>
        <v/>
      </c>
      <c r="S130" s="22">
        <f>IFERROR(IF($U130="",1,INDEX(Deals!$V$2:$V$355,MATCH($C130,Deals!$A$2:$A$355,0))),1)</f>
        <v/>
      </c>
      <c r="T130" s="22">
        <f>IFERROR(IF($U130="",1,INDEX(Deals!$W$2:$W$355,MATCH($C130,Deals!$A$2:$A$355,0))),1)</f>
        <v/>
      </c>
      <c r="U130" s="31">
        <f>IF($C130="","",IFERROR(IF(INDEX(Deals!$Y$2:$Y$355,MATCH($C130,Deals!$A$2:$A$355,0))=0,"",INDEX(Deals!$Y$2:$Y$355,MATCH($C130,Deals!$A$2:$A$355,0))),""))</f>
        <v/>
      </c>
      <c r="V130" s="24">
        <f>IF($U130="",DATE(1900,1,1),$N130)</f>
        <v/>
      </c>
      <c r="W130" s="24">
        <f>IF($U130="",DATE(2100,12,31),$U130)</f>
        <v/>
      </c>
      <c r="X130" s="20">
        <f>IF($U130="",$K130,$K130*$S130)</f>
        <v/>
      </c>
      <c r="Y130" s="24">
        <f>IF($U130="",DATE(2100,12,31),$U130+1)</f>
        <v/>
      </c>
      <c r="Z130" s="24">
        <f>IF($U130="",DATE(1900,1,1),$O130)</f>
        <v/>
      </c>
      <c r="AA130" s="20">
        <f>IF($U130="",0,$K130*$T130)</f>
        <v/>
      </c>
    </row>
    <row r="131">
      <c r="A131" s="15" t="inlineStr">
        <is>
          <t>Zack</t>
        </is>
      </c>
      <c r="B131" s="29">
        <f>IF($A131="","",IFERROR(INDEX(Roster!$B$2:$B$40,MATCH($A131,Roster!$A$2:$A$40,0)),"?"))</f>
        <v/>
      </c>
      <c r="C131" s="15" t="inlineStr">
        <is>
          <t>AOP Model_1</t>
        </is>
      </c>
      <c r="D131" s="29">
        <f>IF($C131="","",IFERROR(IF(INDEX(Deals!$C$2:$C$355,MATCH($C131,Deals!$A$2:$A$355,0))=0,"",INDEX(Deals!$C$2:$C$355,MATCH($C131,Deals!$A$2:$A$355,0))),"?"))</f>
        <v/>
      </c>
      <c r="E131" s="29">
        <f>IF($C131="","",IFERROR(INDEX(Deals!$F$2:$F$355,MATCH($C131,Deals!$A$2:$A$355,0)),"?"))</f>
        <v/>
      </c>
      <c r="F131" s="15" t="inlineStr">
        <is>
          <t>MD</t>
        </is>
      </c>
      <c r="G131" s="15" t="inlineStr">
        <is>
          <t>Active</t>
        </is>
      </c>
      <c r="H131" s="27" t="n"/>
      <c r="I131" s="20">
        <f>IF(OR($A131="",$G131&lt;&gt;"Active"),0,IF($H131&lt;&gt;"",$H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</f>
        <v/>
      </c>
      <c r="J131" s="23">
        <f>IF($C131="",0,IFERROR(INDEX(Deals!$H$2:$H$355,MATCH($C131,Deals!$A$2:$A$355,0)),0))</f>
        <v/>
      </c>
      <c r="K131" s="20">
        <f>IF(Settings!$B$4="Yes",$I131*$J131,$I131)</f>
        <v/>
      </c>
      <c r="L131" s="31">
        <f>IF($C131="","",IFERROR(IF(INDEX(Deals!$I$2:$I$355,MATCH($C131,Deals!$A$2:$A$355,0))=0,"",INDEX(Deals!$I$2:$I$355,MATCH($C131,Deals!$A$2:$A$355,0))),""))</f>
        <v/>
      </c>
      <c r="M131" s="31">
        <f>IF($C131="","",IFERROR(IF(INDEX(Deals!$J$2:$J$355,MATCH($C131,Deals!$A$2:$A$355,0))=0,"",INDEX(Deals!$J$2:$J$355,MATCH($C131,Deals!$A$2:$A$355,0))),""))</f>
        <v/>
      </c>
      <c r="N131" s="24">
        <f>IF($L131="",DATE(1900,1,1),$L131)</f>
        <v/>
      </c>
      <c r="O131" s="24">
        <f>IF($M131="",DATE(2100,12,31),$M131)</f>
        <v/>
      </c>
      <c r="P131" s="16" t="inlineStr"/>
      <c r="Q131" s="16" t="inlineStr"/>
      <c r="R131" s="29">
        <f>IF($C131="","",IFERROR(IF(INDEX(Deals!$U$2:$U$355,MATCH($C131,Deals!$A$2:$A$355,0))=0,"",INDEX(Deals!$U$2:$U$355,MATCH($C131,Deals!$A$2:$A$355,0))),""))</f>
        <v/>
      </c>
      <c r="S131" s="22">
        <f>IFERROR(IF($U131="",1,INDEX(Deals!$V$2:$V$355,MATCH($C131,Deals!$A$2:$A$355,0))),1)</f>
        <v/>
      </c>
      <c r="T131" s="22">
        <f>IFERROR(IF($U131="",1,INDEX(Deals!$W$2:$W$355,MATCH($C131,Deals!$A$2:$A$355,0))),1)</f>
        <v/>
      </c>
      <c r="U131" s="31">
        <f>IF($C131="","",IFERROR(IF(INDEX(Deals!$Y$2:$Y$355,MATCH($C131,Deals!$A$2:$A$355,0))=0,"",INDEX(Deals!$Y$2:$Y$355,MATCH($C131,Deals!$A$2:$A$355,0))),""))</f>
        <v/>
      </c>
      <c r="V131" s="24">
        <f>IF($U131="",DATE(1900,1,1),$N131)</f>
        <v/>
      </c>
      <c r="W131" s="24">
        <f>IF($U131="",DATE(2100,12,31),$U131)</f>
        <v/>
      </c>
      <c r="X131" s="20">
        <f>IF($U131="",$K131,$K131*$S131)</f>
        <v/>
      </c>
      <c r="Y131" s="24">
        <f>IF($U131="",DATE(2100,12,31),$U131+1)</f>
        <v/>
      </c>
      <c r="Z131" s="24">
        <f>IF($U131="",DATE(1900,1,1),$O131)</f>
        <v/>
      </c>
      <c r="AA131" s="20">
        <f>IF($U131="",0,$K131*$T131)</f>
        <v/>
      </c>
    </row>
    <row r="132">
      <c r="A132" s="15" t="inlineStr">
        <is>
          <t>Zack</t>
        </is>
      </c>
      <c r="B132" s="29">
        <f>IF($A132="","",IFERROR(INDEX(Roster!$B$2:$B$40,MATCH($A132,Roster!$A$2:$A$40,0)),"?"))</f>
        <v/>
      </c>
      <c r="C132" s="15" t="inlineStr">
        <is>
          <t>Aypa_3</t>
        </is>
      </c>
      <c r="D132" s="29">
        <f>IF($C132="","",IFERROR(IF(INDEX(Deals!$C$2:$C$355,MATCH($C132,Deals!$A$2:$A$355,0))=0,"",INDEX(Deals!$C$2:$C$355,MATCH($C132,Deals!$A$2:$A$355,0))),"?"))</f>
        <v/>
      </c>
      <c r="E132" s="29">
        <f>IF($C132="","",IFERROR(INDEX(Deals!$F$2:$F$355,MATCH($C132,Deals!$A$2:$A$355,0)),"?"))</f>
        <v/>
      </c>
      <c r="F132" s="15" t="inlineStr">
        <is>
          <t>MD</t>
        </is>
      </c>
      <c r="G132" s="15" t="inlineStr">
        <is>
          <t>Active</t>
        </is>
      </c>
      <c r="H132" s="27" t="n"/>
      <c r="I132" s="20">
        <f>IF(OR($A132="",$G132&lt;&gt;"Active"),0,IF($H132&lt;&gt;"",$H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</f>
        <v/>
      </c>
      <c r="J132" s="23">
        <f>IF($C132="",0,IFERROR(INDEX(Deals!$H$2:$H$355,MATCH($C132,Deals!$A$2:$A$355,0)),0))</f>
        <v/>
      </c>
      <c r="K132" s="20">
        <f>IF(Settings!$B$4="Yes",$I132*$J132,$I132)</f>
        <v/>
      </c>
      <c r="L132" s="31">
        <f>IF($C132="","",IFERROR(IF(INDEX(Deals!$I$2:$I$355,MATCH($C132,Deals!$A$2:$A$355,0))=0,"",INDEX(Deals!$I$2:$I$355,MATCH($C132,Deals!$A$2:$A$355,0))),""))</f>
        <v/>
      </c>
      <c r="M132" s="31">
        <f>IF($C132="","",IFERROR(IF(INDEX(Deals!$J$2:$J$355,MATCH($C132,Deals!$A$2:$A$355,0))=0,"",INDEX(Deals!$J$2:$J$355,MATCH($C132,Deals!$A$2:$A$355,0))),""))</f>
        <v/>
      </c>
      <c r="N132" s="24">
        <f>IF($L132="",DATE(1900,1,1),$L132)</f>
        <v/>
      </c>
      <c r="O132" s="24">
        <f>IF($M132="",DATE(2100,12,31),$M132)</f>
        <v/>
      </c>
      <c r="P132" s="16" t="inlineStr"/>
      <c r="Q132" s="16" t="inlineStr"/>
      <c r="R132" s="29">
        <f>IF($C132="","",IFERROR(IF(INDEX(Deals!$U$2:$U$355,MATCH($C132,Deals!$A$2:$A$355,0))=0,"",INDEX(Deals!$U$2:$U$355,MATCH($C132,Deals!$A$2:$A$355,0))),""))</f>
        <v/>
      </c>
      <c r="S132" s="22">
        <f>IFERROR(IF($U132="",1,INDEX(Deals!$V$2:$V$355,MATCH($C132,Deals!$A$2:$A$355,0))),1)</f>
        <v/>
      </c>
      <c r="T132" s="22">
        <f>IFERROR(IF($U132="",1,INDEX(Deals!$W$2:$W$355,MATCH($C132,Deals!$A$2:$A$355,0))),1)</f>
        <v/>
      </c>
      <c r="U132" s="31">
        <f>IF($C132="","",IFERROR(IF(INDEX(Deals!$Y$2:$Y$355,MATCH($C132,Deals!$A$2:$A$355,0))=0,"",INDEX(Deals!$Y$2:$Y$355,MATCH($C132,Deals!$A$2:$A$355,0))),""))</f>
        <v/>
      </c>
      <c r="V132" s="24">
        <f>IF($U132="",DATE(1900,1,1),$N132)</f>
        <v/>
      </c>
      <c r="W132" s="24">
        <f>IF($U132="",DATE(2100,12,31),$U132)</f>
        <v/>
      </c>
      <c r="X132" s="20">
        <f>IF($U132="",$K132,$K132*$S132)</f>
        <v/>
      </c>
      <c r="Y132" s="24">
        <f>IF($U132="",DATE(2100,12,31),$U132+1)</f>
        <v/>
      </c>
      <c r="Z132" s="24">
        <f>IF($U132="",DATE(1900,1,1),$O132)</f>
        <v/>
      </c>
      <c r="AA132" s="20">
        <f>IF($U132="",0,$K132*$T132)</f>
        <v/>
      </c>
    </row>
    <row r="133">
      <c r="A133" s="15" t="inlineStr">
        <is>
          <t>Zack</t>
        </is>
      </c>
      <c r="B133" s="29">
        <f>IF($A133="","",IFERROR(INDEX(Roster!$B$2:$B$40,MATCH($A133,Roster!$A$2:$A$40,0)),"?"))</f>
        <v/>
      </c>
      <c r="C133" s="15" t="inlineStr">
        <is>
          <t>AZ BESS_1</t>
        </is>
      </c>
      <c r="D133" s="29">
        <f>IF($C133="","",IFERROR(IF(INDEX(Deals!$C$2:$C$355,MATCH($C133,Deals!$A$2:$A$355,0))=0,"",INDEX(Deals!$C$2:$C$355,MATCH($C133,Deals!$A$2:$A$355,0))),"?"))</f>
        <v/>
      </c>
      <c r="E133" s="29">
        <f>IF($C133="","",IFERROR(INDEX(Deals!$F$2:$F$355,MATCH($C133,Deals!$A$2:$A$355,0)),"?"))</f>
        <v/>
      </c>
      <c r="F133" s="15" t="inlineStr">
        <is>
          <t>MD</t>
        </is>
      </c>
      <c r="G133" s="15" t="inlineStr">
        <is>
          <t>Active</t>
        </is>
      </c>
      <c r="H133" s="27" t="n"/>
      <c r="I133" s="20">
        <f>IF(OR($A133="",$G133&lt;&gt;"Active"),0,IF($H133&lt;&gt;"",$H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</f>
        <v/>
      </c>
      <c r="J133" s="23">
        <f>IF($C133="",0,IFERROR(INDEX(Deals!$H$2:$H$355,MATCH($C133,Deals!$A$2:$A$355,0)),0))</f>
        <v/>
      </c>
      <c r="K133" s="20">
        <f>IF(Settings!$B$4="Yes",$I133*$J133,$I133)</f>
        <v/>
      </c>
      <c r="L133" s="31">
        <f>IF($C133="","",IFERROR(IF(INDEX(Deals!$I$2:$I$355,MATCH($C133,Deals!$A$2:$A$355,0))=0,"",INDEX(Deals!$I$2:$I$355,MATCH($C133,Deals!$A$2:$A$355,0))),""))</f>
        <v/>
      </c>
      <c r="M133" s="31">
        <f>IF($C133="","",IFERROR(IF(INDEX(Deals!$J$2:$J$355,MATCH($C133,Deals!$A$2:$A$355,0))=0,"",INDEX(Deals!$J$2:$J$355,MATCH($C133,Deals!$A$2:$A$355,0))),""))</f>
        <v/>
      </c>
      <c r="N133" s="24">
        <f>IF($L133="",DATE(1900,1,1),$L133)</f>
        <v/>
      </c>
      <c r="O133" s="24">
        <f>IF($M133="",DATE(2100,12,31),$M133)</f>
        <v/>
      </c>
      <c r="P133" s="16" t="inlineStr"/>
      <c r="Q133" s="16" t="inlineStr"/>
      <c r="R133" s="29">
        <f>IF($C133="","",IFERROR(IF(INDEX(Deals!$U$2:$U$355,MATCH($C133,Deals!$A$2:$A$355,0))=0,"",INDEX(Deals!$U$2:$U$355,MATCH($C133,Deals!$A$2:$A$355,0))),""))</f>
        <v/>
      </c>
      <c r="S133" s="22">
        <f>IFERROR(IF($U133="",1,INDEX(Deals!$V$2:$V$355,MATCH($C133,Deals!$A$2:$A$355,0))),1)</f>
        <v/>
      </c>
      <c r="T133" s="22">
        <f>IFERROR(IF($U133="",1,INDEX(Deals!$W$2:$W$355,MATCH($C133,Deals!$A$2:$A$355,0))),1)</f>
        <v/>
      </c>
      <c r="U133" s="31">
        <f>IF($C133="","",IFERROR(IF(INDEX(Deals!$Y$2:$Y$355,MATCH($C133,Deals!$A$2:$A$355,0))=0,"",INDEX(Deals!$Y$2:$Y$355,MATCH($C133,Deals!$A$2:$A$355,0))),""))</f>
        <v/>
      </c>
      <c r="V133" s="24">
        <f>IF($U133="",DATE(1900,1,1),$N133)</f>
        <v/>
      </c>
      <c r="W133" s="24">
        <f>IF($U133="",DATE(2100,12,31),$U133)</f>
        <v/>
      </c>
      <c r="X133" s="20">
        <f>IF($U133="",$K133,$K133*$S133)</f>
        <v/>
      </c>
      <c r="Y133" s="24">
        <f>IF($U133="",DATE(2100,12,31),$U133+1)</f>
        <v/>
      </c>
      <c r="Z133" s="24">
        <f>IF($U133="",DATE(1900,1,1),$O133)</f>
        <v/>
      </c>
      <c r="AA133" s="20">
        <f>IF($U133="",0,$K133*$T133)</f>
        <v/>
      </c>
    </row>
    <row r="134">
      <c r="A134" s="15" t="inlineStr">
        <is>
          <t>Zack</t>
        </is>
      </c>
      <c r="B134" s="29">
        <f>IF($A134="","",IFERROR(INDEX(Roster!$B$2:$B$40,MATCH($A134,Roster!$A$2:$A$40,0)),"?"))</f>
        <v/>
      </c>
      <c r="C134" s="15" t="inlineStr">
        <is>
          <t>Bledsoe_1</t>
        </is>
      </c>
      <c r="D134" s="29">
        <f>IF($C134="","",IFERROR(IF(INDEX(Deals!$C$2:$C$355,MATCH($C134,Deals!$A$2:$A$355,0))=0,"",INDEX(Deals!$C$2:$C$355,MATCH($C134,Deals!$A$2:$A$355,0))),"?"))</f>
        <v/>
      </c>
      <c r="E134" s="29">
        <f>IF($C134="","",IFERROR(INDEX(Deals!$F$2:$F$355,MATCH($C134,Deals!$A$2:$A$355,0)),"?"))</f>
        <v/>
      </c>
      <c r="F134" s="15" t="inlineStr">
        <is>
          <t>MD</t>
        </is>
      </c>
      <c r="G134" s="15" t="inlineStr">
        <is>
          <t>Active</t>
        </is>
      </c>
      <c r="H134" s="27" t="n"/>
      <c r="I134" s="20">
        <f>IF(OR($A134="",$G134&lt;&gt;"Active"),0,IF($H134&lt;&gt;"",$H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</f>
        <v/>
      </c>
      <c r="J134" s="23">
        <f>IF($C134="",0,IFERROR(INDEX(Deals!$H$2:$H$355,MATCH($C134,Deals!$A$2:$A$355,0)),0))</f>
        <v/>
      </c>
      <c r="K134" s="20">
        <f>IF(Settings!$B$4="Yes",$I134*$J134,$I134)</f>
        <v/>
      </c>
      <c r="L134" s="31">
        <f>IF($C134="","",IFERROR(IF(INDEX(Deals!$I$2:$I$355,MATCH($C134,Deals!$A$2:$A$355,0))=0,"",INDEX(Deals!$I$2:$I$355,MATCH($C134,Deals!$A$2:$A$355,0))),""))</f>
        <v/>
      </c>
      <c r="M134" s="31">
        <f>IF($C134="","",IFERROR(IF(INDEX(Deals!$J$2:$J$355,MATCH($C134,Deals!$A$2:$A$355,0))=0,"",INDEX(Deals!$J$2:$J$355,MATCH($C134,Deals!$A$2:$A$355,0))),""))</f>
        <v/>
      </c>
      <c r="N134" s="24">
        <f>IF($L134="",DATE(1900,1,1),$L134)</f>
        <v/>
      </c>
      <c r="O134" s="24">
        <f>IF($M134="",DATE(2100,12,31),$M134)</f>
        <v/>
      </c>
      <c r="P134" s="16" t="inlineStr"/>
      <c r="Q134" s="16" t="inlineStr"/>
      <c r="R134" s="29">
        <f>IF($C134="","",IFERROR(IF(INDEX(Deals!$U$2:$U$355,MATCH($C134,Deals!$A$2:$A$355,0))=0,"",INDEX(Deals!$U$2:$U$355,MATCH($C134,Deals!$A$2:$A$355,0))),""))</f>
        <v/>
      </c>
      <c r="S134" s="22">
        <f>IFERROR(IF($U134="",1,INDEX(Deals!$V$2:$V$355,MATCH($C134,Deals!$A$2:$A$355,0))),1)</f>
        <v/>
      </c>
      <c r="T134" s="22">
        <f>IFERROR(IF($U134="",1,INDEX(Deals!$W$2:$W$355,MATCH($C134,Deals!$A$2:$A$355,0))),1)</f>
        <v/>
      </c>
      <c r="U134" s="31">
        <f>IF($C134="","",IFERROR(IF(INDEX(Deals!$Y$2:$Y$355,MATCH($C134,Deals!$A$2:$A$355,0))=0,"",INDEX(Deals!$Y$2:$Y$355,MATCH($C134,Deals!$A$2:$A$355,0))),""))</f>
        <v/>
      </c>
      <c r="V134" s="24">
        <f>IF($U134="",DATE(1900,1,1),$N134)</f>
        <v/>
      </c>
      <c r="W134" s="24">
        <f>IF($U134="",DATE(2100,12,31),$U134)</f>
        <v/>
      </c>
      <c r="X134" s="20">
        <f>IF($U134="",$K134,$K134*$S134)</f>
        <v/>
      </c>
      <c r="Y134" s="24">
        <f>IF($U134="",DATE(2100,12,31),$U134+1)</f>
        <v/>
      </c>
      <c r="Z134" s="24">
        <f>IF($U134="",DATE(1900,1,1),$O134)</f>
        <v/>
      </c>
      <c r="AA134" s="20">
        <f>IF($U134="",0,$K134*$T134)</f>
        <v/>
      </c>
    </row>
    <row r="135">
      <c r="A135" s="15" t="inlineStr">
        <is>
          <t>Zack</t>
        </is>
      </c>
      <c r="B135" s="29">
        <f>IF($A135="","",IFERROR(INDEX(Roster!$B$2:$B$40,MATCH($A135,Roster!$A$2:$A$40,0)),"?"))</f>
        <v/>
      </c>
      <c r="C135" s="15" t="inlineStr">
        <is>
          <t>CAN Rail_1</t>
        </is>
      </c>
      <c r="D135" s="29">
        <f>IF($C135="","",IFERROR(IF(INDEX(Deals!$C$2:$C$355,MATCH($C135,Deals!$A$2:$A$355,0))=0,"",INDEX(Deals!$C$2:$C$355,MATCH($C135,Deals!$A$2:$A$355,0))),"?"))</f>
        <v/>
      </c>
      <c r="E135" s="29">
        <f>IF($C135="","",IFERROR(INDEX(Deals!$F$2:$F$355,MATCH($C135,Deals!$A$2:$A$355,0)),"?"))</f>
        <v/>
      </c>
      <c r="F135" s="15" t="inlineStr">
        <is>
          <t>MD</t>
        </is>
      </c>
      <c r="G135" s="15" t="inlineStr">
        <is>
          <t>Active</t>
        </is>
      </c>
      <c r="H135" s="27" t="n"/>
      <c r="I135" s="20">
        <f>IF(OR($A135="",$G135&lt;&gt;"Active"),0,IF($H135&lt;&gt;"",$H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</f>
        <v/>
      </c>
      <c r="J135" s="23">
        <f>IF($C135="",0,IFERROR(INDEX(Deals!$H$2:$H$355,MATCH($C135,Deals!$A$2:$A$355,0)),0))</f>
        <v/>
      </c>
      <c r="K135" s="20">
        <f>IF(Settings!$B$4="Yes",$I135*$J135,$I135)</f>
        <v/>
      </c>
      <c r="L135" s="31">
        <f>IF($C135="","",IFERROR(IF(INDEX(Deals!$I$2:$I$355,MATCH($C135,Deals!$A$2:$A$355,0))=0,"",INDEX(Deals!$I$2:$I$355,MATCH($C135,Deals!$A$2:$A$355,0))),""))</f>
        <v/>
      </c>
      <c r="M135" s="31">
        <f>IF($C135="","",IFERROR(IF(INDEX(Deals!$J$2:$J$355,MATCH($C135,Deals!$A$2:$A$355,0))=0,"",INDEX(Deals!$J$2:$J$355,MATCH($C135,Deals!$A$2:$A$355,0))),""))</f>
        <v/>
      </c>
      <c r="N135" s="24">
        <f>IF($L135="",DATE(1900,1,1),$L135)</f>
        <v/>
      </c>
      <c r="O135" s="24">
        <f>IF($M135="",DATE(2100,12,31),$M135)</f>
        <v/>
      </c>
      <c r="P135" s="16" t="inlineStr"/>
      <c r="Q135" s="16" t="inlineStr"/>
      <c r="R135" s="29">
        <f>IF($C135="","",IFERROR(IF(INDEX(Deals!$U$2:$U$355,MATCH($C135,Deals!$A$2:$A$355,0))=0,"",INDEX(Deals!$U$2:$U$355,MATCH($C135,Deals!$A$2:$A$355,0))),""))</f>
        <v/>
      </c>
      <c r="S135" s="22">
        <f>IFERROR(IF($U135="",1,INDEX(Deals!$V$2:$V$355,MATCH($C135,Deals!$A$2:$A$355,0))),1)</f>
        <v/>
      </c>
      <c r="T135" s="22">
        <f>IFERROR(IF($U135="",1,INDEX(Deals!$W$2:$W$355,MATCH($C135,Deals!$A$2:$A$355,0))),1)</f>
        <v/>
      </c>
      <c r="U135" s="31">
        <f>IF($C135="","",IFERROR(IF(INDEX(Deals!$Y$2:$Y$355,MATCH($C135,Deals!$A$2:$A$355,0))=0,"",INDEX(Deals!$Y$2:$Y$355,MATCH($C135,Deals!$A$2:$A$355,0))),""))</f>
        <v/>
      </c>
      <c r="V135" s="24">
        <f>IF($U135="",DATE(1900,1,1),$N135)</f>
        <v/>
      </c>
      <c r="W135" s="24">
        <f>IF($U135="",DATE(2100,12,31),$U135)</f>
        <v/>
      </c>
      <c r="X135" s="20">
        <f>IF($U135="",$K135,$K135*$S135)</f>
        <v/>
      </c>
      <c r="Y135" s="24">
        <f>IF($U135="",DATE(2100,12,31),$U135+1)</f>
        <v/>
      </c>
      <c r="Z135" s="24">
        <f>IF($U135="",DATE(1900,1,1),$O135)</f>
        <v/>
      </c>
      <c r="AA135" s="20">
        <f>IF($U135="",0,$K135*$T135)</f>
        <v/>
      </c>
    </row>
    <row r="136">
      <c r="A136" s="15" t="inlineStr">
        <is>
          <t>Zack</t>
        </is>
      </c>
      <c r="B136" s="29">
        <f>IF($A136="","",IFERROR(INDEX(Roster!$B$2:$B$40,MATCH($A136,Roster!$A$2:$A$40,0)),"?"))</f>
        <v/>
      </c>
      <c r="C136" s="15" t="inlineStr">
        <is>
          <t>Canyon_1</t>
        </is>
      </c>
      <c r="D136" s="29">
        <f>IF($C136="","",IFERROR(IF(INDEX(Deals!$C$2:$C$355,MATCH($C136,Deals!$A$2:$A$355,0))=0,"",INDEX(Deals!$C$2:$C$355,MATCH($C136,Deals!$A$2:$A$355,0))),"?"))</f>
        <v/>
      </c>
      <c r="E136" s="29">
        <f>IF($C136="","",IFERROR(INDEX(Deals!$F$2:$F$355,MATCH($C136,Deals!$A$2:$A$355,0)),"?"))</f>
        <v/>
      </c>
      <c r="F136" s="15" t="inlineStr">
        <is>
          <t>MD</t>
        </is>
      </c>
      <c r="G136" s="15" t="inlineStr">
        <is>
          <t>Inactive</t>
        </is>
      </c>
      <c r="H136" s="27" t="n"/>
      <c r="I136" s="20">
        <f>IF(OR($A136="",$G136&lt;&gt;"Active"),0,IF($H136&lt;&gt;"",$H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</f>
        <v/>
      </c>
      <c r="J136" s="23">
        <f>IF($C136="",0,IFERROR(INDEX(Deals!$H$2:$H$355,MATCH($C136,Deals!$A$2:$A$355,0)),0))</f>
        <v/>
      </c>
      <c r="K136" s="20">
        <f>IF(Settings!$B$4="Yes",$I136*$J136,$I136)</f>
        <v/>
      </c>
      <c r="L136" s="31">
        <f>IF($C136="","",IFERROR(IF(INDEX(Deals!$I$2:$I$355,MATCH($C136,Deals!$A$2:$A$355,0))=0,"",INDEX(Deals!$I$2:$I$355,MATCH($C136,Deals!$A$2:$A$355,0))),""))</f>
        <v/>
      </c>
      <c r="M136" s="31">
        <f>IF($C136="","",IFERROR(IF(INDEX(Deals!$J$2:$J$355,MATCH($C136,Deals!$A$2:$A$355,0))=0,"",INDEX(Deals!$J$2:$J$355,MATCH($C136,Deals!$A$2:$A$355,0))),""))</f>
        <v/>
      </c>
      <c r="N136" s="24">
        <f>IF($L136="",DATE(1900,1,1),$L136)</f>
        <v/>
      </c>
      <c r="O136" s="24">
        <f>IF($M136="",DATE(2100,12,31),$M136)</f>
        <v/>
      </c>
      <c r="P136" s="16" t="inlineStr"/>
      <c r="Q136" s="16" t="inlineStr">
        <is>
          <t>Deal lifecycle is Dead</t>
        </is>
      </c>
      <c r="R136" s="29">
        <f>IF($C136="","",IFERROR(IF(INDEX(Deals!$U$2:$U$355,MATCH($C136,Deals!$A$2:$A$355,0))=0,"",INDEX(Deals!$U$2:$U$355,MATCH($C136,Deals!$A$2:$A$355,0))),""))</f>
        <v/>
      </c>
      <c r="S136" s="22">
        <f>IFERROR(IF($U136="",1,INDEX(Deals!$V$2:$V$355,MATCH($C136,Deals!$A$2:$A$355,0))),1)</f>
        <v/>
      </c>
      <c r="T136" s="22">
        <f>IFERROR(IF($U136="",1,INDEX(Deals!$W$2:$W$355,MATCH($C136,Deals!$A$2:$A$355,0))),1)</f>
        <v/>
      </c>
      <c r="U136" s="31">
        <f>IF($C136="","",IFERROR(IF(INDEX(Deals!$Y$2:$Y$355,MATCH($C136,Deals!$A$2:$A$355,0))=0,"",INDEX(Deals!$Y$2:$Y$355,MATCH($C136,Deals!$A$2:$A$355,0))),""))</f>
        <v/>
      </c>
      <c r="V136" s="24">
        <f>IF($U136="",DATE(1900,1,1),$N136)</f>
        <v/>
      </c>
      <c r="W136" s="24">
        <f>IF($U136="",DATE(2100,12,31),$U136)</f>
        <v/>
      </c>
      <c r="X136" s="20">
        <f>IF($U136="",$K136,$K136*$S136)</f>
        <v/>
      </c>
      <c r="Y136" s="24">
        <f>IF($U136="",DATE(2100,12,31),$U136+1)</f>
        <v/>
      </c>
      <c r="Z136" s="24">
        <f>IF($U136="",DATE(1900,1,1),$O136)</f>
        <v/>
      </c>
      <c r="AA136" s="20">
        <f>IF($U136="",0,$K136*$T136)</f>
        <v/>
      </c>
    </row>
    <row r="137">
      <c r="A137" s="15" t="inlineStr">
        <is>
          <t>Zack</t>
        </is>
      </c>
      <c r="B137" s="29">
        <f>IF($A137="","",IFERROR(INDEX(Roster!$B$2:$B$40,MATCH($A137,Roster!$A$2:$A$40,0)),"?"))</f>
        <v/>
      </c>
      <c r="C137" s="15" t="inlineStr">
        <is>
          <t>Challenger_1</t>
        </is>
      </c>
      <c r="D137" s="29">
        <f>IF($C137="","",IFERROR(IF(INDEX(Deals!$C$2:$C$355,MATCH($C137,Deals!$A$2:$A$355,0))=0,"",INDEX(Deals!$C$2:$C$355,MATCH($C137,Deals!$A$2:$A$355,0))),"?"))</f>
        <v/>
      </c>
      <c r="E137" s="29">
        <f>IF($C137="","",IFERROR(INDEX(Deals!$F$2:$F$355,MATCH($C137,Deals!$A$2:$A$355,0)),"?"))</f>
        <v/>
      </c>
      <c r="F137" s="15" t="inlineStr">
        <is>
          <t>MD</t>
        </is>
      </c>
      <c r="G137" s="15" t="inlineStr">
        <is>
          <t>Active</t>
        </is>
      </c>
      <c r="H137" s="27" t="n"/>
      <c r="I137" s="20">
        <f>IF(OR($A137="",$G137&lt;&gt;"Active"),0,IF($H137&lt;&gt;"",$H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</f>
        <v/>
      </c>
      <c r="J137" s="23">
        <f>IF($C137="",0,IFERROR(INDEX(Deals!$H$2:$H$355,MATCH($C137,Deals!$A$2:$A$355,0)),0))</f>
        <v/>
      </c>
      <c r="K137" s="20">
        <f>IF(Settings!$B$4="Yes",$I137*$J137,$I137)</f>
        <v/>
      </c>
      <c r="L137" s="31">
        <f>IF($C137="","",IFERROR(IF(INDEX(Deals!$I$2:$I$355,MATCH($C137,Deals!$A$2:$A$355,0))=0,"",INDEX(Deals!$I$2:$I$355,MATCH($C137,Deals!$A$2:$A$355,0))),""))</f>
        <v/>
      </c>
      <c r="M137" s="31">
        <f>IF($C137="","",IFERROR(IF(INDEX(Deals!$J$2:$J$355,MATCH($C137,Deals!$A$2:$A$355,0))=0,"",INDEX(Deals!$J$2:$J$355,MATCH($C137,Deals!$A$2:$A$355,0))),""))</f>
        <v/>
      </c>
      <c r="N137" s="24">
        <f>IF($L137="",DATE(1900,1,1),$L137)</f>
        <v/>
      </c>
      <c r="O137" s="24">
        <f>IF($M137="",DATE(2100,12,31),$M137)</f>
        <v/>
      </c>
      <c r="P137" s="16" t="inlineStr"/>
      <c r="Q137" s="16" t="inlineStr"/>
      <c r="R137" s="29">
        <f>IF($C137="","",IFERROR(IF(INDEX(Deals!$U$2:$U$355,MATCH($C137,Deals!$A$2:$A$355,0))=0,"",INDEX(Deals!$U$2:$U$355,MATCH($C137,Deals!$A$2:$A$355,0))),""))</f>
        <v/>
      </c>
      <c r="S137" s="22">
        <f>IFERROR(IF($U137="",1,INDEX(Deals!$V$2:$V$355,MATCH($C137,Deals!$A$2:$A$355,0))),1)</f>
        <v/>
      </c>
      <c r="T137" s="22">
        <f>IFERROR(IF($U137="",1,INDEX(Deals!$W$2:$W$355,MATCH($C137,Deals!$A$2:$A$355,0))),1)</f>
        <v/>
      </c>
      <c r="U137" s="31">
        <f>IF($C137="","",IFERROR(IF(INDEX(Deals!$Y$2:$Y$355,MATCH($C137,Deals!$A$2:$A$355,0))=0,"",INDEX(Deals!$Y$2:$Y$355,MATCH($C137,Deals!$A$2:$A$355,0))),""))</f>
        <v/>
      </c>
      <c r="V137" s="24">
        <f>IF($U137="",DATE(1900,1,1),$N137)</f>
        <v/>
      </c>
      <c r="W137" s="24">
        <f>IF($U137="",DATE(2100,12,31),$U137)</f>
        <v/>
      </c>
      <c r="X137" s="20">
        <f>IF($U137="",$K137,$K137*$S137)</f>
        <v/>
      </c>
      <c r="Y137" s="24">
        <f>IF($U137="",DATE(2100,12,31),$U137+1)</f>
        <v/>
      </c>
      <c r="Z137" s="24">
        <f>IF($U137="",DATE(1900,1,1),$O137)</f>
        <v/>
      </c>
      <c r="AA137" s="20">
        <f>IF($U137="",0,$K137*$T137)</f>
        <v/>
      </c>
    </row>
    <row r="138">
      <c r="A138" s="15" t="inlineStr">
        <is>
          <t>Zack</t>
        </is>
      </c>
      <c r="B138" s="29">
        <f>IF($A138="","",IFERROR(INDEX(Roster!$B$2:$B$40,MATCH($A138,Roster!$A$2:$A$40,0)),"?"))</f>
        <v/>
      </c>
      <c r="C138" s="15" t="inlineStr">
        <is>
          <t>Cotton_1</t>
        </is>
      </c>
      <c r="D138" s="29">
        <f>IF($C138="","",IFERROR(IF(INDEX(Deals!$C$2:$C$355,MATCH($C138,Deals!$A$2:$A$355,0))=0,"",INDEX(Deals!$C$2:$C$355,MATCH($C138,Deals!$A$2:$A$355,0))),"?"))</f>
        <v/>
      </c>
      <c r="E138" s="29">
        <f>IF($C138="","",IFERROR(INDEX(Deals!$F$2:$F$355,MATCH($C138,Deals!$A$2:$A$355,0)),"?"))</f>
        <v/>
      </c>
      <c r="F138" s="15" t="inlineStr">
        <is>
          <t>MD</t>
        </is>
      </c>
      <c r="G138" s="15" t="inlineStr">
        <is>
          <t>Active</t>
        </is>
      </c>
      <c r="H138" s="27" t="n"/>
      <c r="I138" s="20">
        <f>IF(OR($A138="",$G138&lt;&gt;"Active"),0,IF($H138&lt;&gt;"",$H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</f>
        <v/>
      </c>
      <c r="J138" s="23">
        <f>IF($C138="",0,IFERROR(INDEX(Deals!$H$2:$H$355,MATCH($C138,Deals!$A$2:$A$355,0)),0))</f>
        <v/>
      </c>
      <c r="K138" s="20">
        <f>IF(Settings!$B$4="Yes",$I138*$J138,$I138)</f>
        <v/>
      </c>
      <c r="L138" s="31">
        <f>IF($C138="","",IFERROR(IF(INDEX(Deals!$I$2:$I$355,MATCH($C138,Deals!$A$2:$A$355,0))=0,"",INDEX(Deals!$I$2:$I$355,MATCH($C138,Deals!$A$2:$A$355,0))),""))</f>
        <v/>
      </c>
      <c r="M138" s="31">
        <f>IF($C138="","",IFERROR(IF(INDEX(Deals!$J$2:$J$355,MATCH($C138,Deals!$A$2:$A$355,0))=0,"",INDEX(Deals!$J$2:$J$355,MATCH($C138,Deals!$A$2:$A$355,0))),""))</f>
        <v/>
      </c>
      <c r="N138" s="24">
        <f>IF($L138="",DATE(1900,1,1),$L138)</f>
        <v/>
      </c>
      <c r="O138" s="24">
        <f>IF($M138="",DATE(2100,12,31),$M138)</f>
        <v/>
      </c>
      <c r="P138" s="16" t="inlineStr"/>
      <c r="Q138" s="16" t="inlineStr"/>
      <c r="R138" s="29">
        <f>IF($C138="","",IFERROR(IF(INDEX(Deals!$U$2:$U$355,MATCH($C138,Deals!$A$2:$A$355,0))=0,"",INDEX(Deals!$U$2:$U$355,MATCH($C138,Deals!$A$2:$A$355,0))),""))</f>
        <v/>
      </c>
      <c r="S138" s="22">
        <f>IFERROR(IF($U138="",1,INDEX(Deals!$V$2:$V$355,MATCH($C138,Deals!$A$2:$A$355,0))),1)</f>
        <v/>
      </c>
      <c r="T138" s="22">
        <f>IFERROR(IF($U138="",1,INDEX(Deals!$W$2:$W$355,MATCH($C138,Deals!$A$2:$A$355,0))),1)</f>
        <v/>
      </c>
      <c r="U138" s="31">
        <f>IF($C138="","",IFERROR(IF(INDEX(Deals!$Y$2:$Y$355,MATCH($C138,Deals!$A$2:$A$355,0))=0,"",INDEX(Deals!$Y$2:$Y$355,MATCH($C138,Deals!$A$2:$A$355,0))),""))</f>
        <v/>
      </c>
      <c r="V138" s="24">
        <f>IF($U138="",DATE(1900,1,1),$N138)</f>
        <v/>
      </c>
      <c r="W138" s="24">
        <f>IF($U138="",DATE(2100,12,31),$U138)</f>
        <v/>
      </c>
      <c r="X138" s="20">
        <f>IF($U138="",$K138,$K138*$S138)</f>
        <v/>
      </c>
      <c r="Y138" s="24">
        <f>IF($U138="",DATE(2100,12,31),$U138+1)</f>
        <v/>
      </c>
      <c r="Z138" s="24">
        <f>IF($U138="",DATE(1900,1,1),$O138)</f>
        <v/>
      </c>
      <c r="AA138" s="20">
        <f>IF($U138="",0,$K138*$T138)</f>
        <v/>
      </c>
    </row>
    <row r="139">
      <c r="A139" s="15" t="inlineStr">
        <is>
          <t>Zack</t>
        </is>
      </c>
      <c r="B139" s="29">
        <f>IF($A139="","",IFERROR(INDEX(Roster!$B$2:$B$40,MATCH($A139,Roster!$A$2:$A$40,0)),"?"))</f>
        <v/>
      </c>
      <c r="C139" s="15" t="inlineStr">
        <is>
          <t>Denali_3</t>
        </is>
      </c>
      <c r="D139" s="29">
        <f>IF($C139="","",IFERROR(IF(INDEX(Deals!$C$2:$C$355,MATCH($C139,Deals!$A$2:$A$355,0))=0,"",INDEX(Deals!$C$2:$C$355,MATCH($C139,Deals!$A$2:$A$355,0))),"?"))</f>
        <v/>
      </c>
      <c r="E139" s="29">
        <f>IF($C139="","",IFERROR(INDEX(Deals!$F$2:$F$355,MATCH($C139,Deals!$A$2:$A$355,0)),"?"))</f>
        <v/>
      </c>
      <c r="F139" s="15" t="inlineStr">
        <is>
          <t>MD</t>
        </is>
      </c>
      <c r="G139" s="15" t="inlineStr">
        <is>
          <t>Active</t>
        </is>
      </c>
      <c r="H139" s="27" t="n"/>
      <c r="I139" s="20">
        <f>IF(OR($A139="",$G139&lt;&gt;"Active"),0,IF($H139&lt;&gt;"",$H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</f>
        <v/>
      </c>
      <c r="J139" s="23">
        <f>IF($C139="",0,IFERROR(INDEX(Deals!$H$2:$H$355,MATCH($C139,Deals!$A$2:$A$355,0)),0))</f>
        <v/>
      </c>
      <c r="K139" s="20">
        <f>IF(Settings!$B$4="Yes",$I139*$J139,$I139)</f>
        <v/>
      </c>
      <c r="L139" s="31">
        <f>IF($C139="","",IFERROR(IF(INDEX(Deals!$I$2:$I$355,MATCH($C139,Deals!$A$2:$A$355,0))=0,"",INDEX(Deals!$I$2:$I$355,MATCH($C139,Deals!$A$2:$A$355,0))),""))</f>
        <v/>
      </c>
      <c r="M139" s="31">
        <f>IF($C139="","",IFERROR(IF(INDEX(Deals!$J$2:$J$355,MATCH($C139,Deals!$A$2:$A$355,0))=0,"",INDEX(Deals!$J$2:$J$355,MATCH($C139,Deals!$A$2:$A$355,0))),""))</f>
        <v/>
      </c>
      <c r="N139" s="24">
        <f>IF($L139="",DATE(1900,1,1),$L139)</f>
        <v/>
      </c>
      <c r="O139" s="24">
        <f>IF($M139="",DATE(2100,12,31),$M139)</f>
        <v/>
      </c>
      <c r="P139" s="16" t="inlineStr"/>
      <c r="Q139" s="16" t="inlineStr"/>
      <c r="R139" s="29">
        <f>IF($C139="","",IFERROR(IF(INDEX(Deals!$U$2:$U$355,MATCH($C139,Deals!$A$2:$A$355,0))=0,"",INDEX(Deals!$U$2:$U$355,MATCH($C139,Deals!$A$2:$A$355,0))),""))</f>
        <v/>
      </c>
      <c r="S139" s="22">
        <f>IFERROR(IF($U139="",1,INDEX(Deals!$V$2:$V$355,MATCH($C139,Deals!$A$2:$A$355,0))),1)</f>
        <v/>
      </c>
      <c r="T139" s="22">
        <f>IFERROR(IF($U139="",1,INDEX(Deals!$W$2:$W$355,MATCH($C139,Deals!$A$2:$A$355,0))),1)</f>
        <v/>
      </c>
      <c r="U139" s="31">
        <f>IF($C139="","",IFERROR(IF(INDEX(Deals!$Y$2:$Y$355,MATCH($C139,Deals!$A$2:$A$355,0))=0,"",INDEX(Deals!$Y$2:$Y$355,MATCH($C139,Deals!$A$2:$A$355,0))),""))</f>
        <v/>
      </c>
      <c r="V139" s="24">
        <f>IF($U139="",DATE(1900,1,1),$N139)</f>
        <v/>
      </c>
      <c r="W139" s="24">
        <f>IF($U139="",DATE(2100,12,31),$U139)</f>
        <v/>
      </c>
      <c r="X139" s="20">
        <f>IF($U139="",$K139,$K139*$S139)</f>
        <v/>
      </c>
      <c r="Y139" s="24">
        <f>IF($U139="",DATE(2100,12,31),$U139+1)</f>
        <v/>
      </c>
      <c r="Z139" s="24">
        <f>IF($U139="",DATE(1900,1,1),$O139)</f>
        <v/>
      </c>
      <c r="AA139" s="20">
        <f>IF($U139="",0,$K139*$T139)</f>
        <v/>
      </c>
    </row>
    <row r="140">
      <c r="A140" s="15" t="inlineStr">
        <is>
          <t>Zack</t>
        </is>
      </c>
      <c r="B140" s="29">
        <f>IF($A140="","",IFERROR(INDEX(Roster!$B$2:$B$40,MATCH($A140,Roster!$A$2:$A$40,0)),"?"))</f>
        <v/>
      </c>
      <c r="C140" s="15" t="inlineStr">
        <is>
          <t>Fengate_4</t>
        </is>
      </c>
      <c r="D140" s="29">
        <f>IF($C140="","",IFERROR(IF(INDEX(Deals!$C$2:$C$355,MATCH($C140,Deals!$A$2:$A$355,0))=0,"",INDEX(Deals!$C$2:$C$355,MATCH($C140,Deals!$A$2:$A$355,0))),"?"))</f>
        <v/>
      </c>
      <c r="E140" s="29">
        <f>IF($C140="","",IFERROR(INDEX(Deals!$F$2:$F$355,MATCH($C140,Deals!$A$2:$A$355,0)),"?"))</f>
        <v/>
      </c>
      <c r="F140" s="15" t="inlineStr">
        <is>
          <t>MD</t>
        </is>
      </c>
      <c r="G140" s="15" t="inlineStr">
        <is>
          <t>Active</t>
        </is>
      </c>
      <c r="H140" s="27" t="n"/>
      <c r="I140" s="20">
        <f>IF(OR($A140="",$G140&lt;&gt;"Active"),0,IF($H140&lt;&gt;"",$H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</f>
        <v/>
      </c>
      <c r="J140" s="23">
        <f>IF($C140="",0,IFERROR(INDEX(Deals!$H$2:$H$355,MATCH($C140,Deals!$A$2:$A$355,0)),0))</f>
        <v/>
      </c>
      <c r="K140" s="20">
        <f>IF(Settings!$B$4="Yes",$I140*$J140,$I140)</f>
        <v/>
      </c>
      <c r="L140" s="31">
        <f>IF($C140="","",IFERROR(IF(INDEX(Deals!$I$2:$I$355,MATCH($C140,Deals!$A$2:$A$355,0))=0,"",INDEX(Deals!$I$2:$I$355,MATCH($C140,Deals!$A$2:$A$355,0))),""))</f>
        <v/>
      </c>
      <c r="M140" s="31">
        <f>IF($C140="","",IFERROR(IF(INDEX(Deals!$J$2:$J$355,MATCH($C140,Deals!$A$2:$A$355,0))=0,"",INDEX(Deals!$J$2:$J$355,MATCH($C140,Deals!$A$2:$A$355,0))),""))</f>
        <v/>
      </c>
      <c r="N140" s="24">
        <f>IF($L140="",DATE(1900,1,1),$L140)</f>
        <v/>
      </c>
      <c r="O140" s="24">
        <f>IF($M140="",DATE(2100,12,31),$M140)</f>
        <v/>
      </c>
      <c r="P140" s="16" t="inlineStr"/>
      <c r="Q140" s="16" t="inlineStr"/>
      <c r="R140" s="29">
        <f>IF($C140="","",IFERROR(IF(INDEX(Deals!$U$2:$U$355,MATCH($C140,Deals!$A$2:$A$355,0))=0,"",INDEX(Deals!$U$2:$U$355,MATCH($C140,Deals!$A$2:$A$355,0))),""))</f>
        <v/>
      </c>
      <c r="S140" s="22">
        <f>IFERROR(IF($U140="",1,INDEX(Deals!$V$2:$V$355,MATCH($C140,Deals!$A$2:$A$355,0))),1)</f>
        <v/>
      </c>
      <c r="T140" s="22">
        <f>IFERROR(IF($U140="",1,INDEX(Deals!$W$2:$W$355,MATCH($C140,Deals!$A$2:$A$355,0))),1)</f>
        <v/>
      </c>
      <c r="U140" s="31">
        <f>IF($C140="","",IFERROR(IF(INDEX(Deals!$Y$2:$Y$355,MATCH($C140,Deals!$A$2:$A$355,0))=0,"",INDEX(Deals!$Y$2:$Y$355,MATCH($C140,Deals!$A$2:$A$355,0))),""))</f>
        <v/>
      </c>
      <c r="V140" s="24">
        <f>IF($U140="",DATE(1900,1,1),$N140)</f>
        <v/>
      </c>
      <c r="W140" s="24">
        <f>IF($U140="",DATE(2100,12,31),$U140)</f>
        <v/>
      </c>
      <c r="X140" s="20">
        <f>IF($U140="",$K140,$K140*$S140)</f>
        <v/>
      </c>
      <c r="Y140" s="24">
        <f>IF($U140="",DATE(2100,12,31),$U140+1)</f>
        <v/>
      </c>
      <c r="Z140" s="24">
        <f>IF($U140="",DATE(1900,1,1),$O140)</f>
        <v/>
      </c>
      <c r="AA140" s="20">
        <f>IF($U140="",0,$K140*$T140)</f>
        <v/>
      </c>
    </row>
    <row r="141">
      <c r="A141" s="15" t="inlineStr">
        <is>
          <t>Zack</t>
        </is>
      </c>
      <c r="B141" s="29">
        <f>IF($A141="","",IFERROR(INDEX(Roster!$B$2:$B$40,MATCH($A141,Roster!$A$2:$A$40,0)),"?"))</f>
        <v/>
      </c>
      <c r="C141" s="15" t="inlineStr">
        <is>
          <t>FIRPTA_Sunraycer_1</t>
        </is>
      </c>
      <c r="D141" s="29">
        <f>IF($C141="","",IFERROR(IF(INDEX(Deals!$C$2:$C$355,MATCH($C141,Deals!$A$2:$A$355,0))=0,"",INDEX(Deals!$C$2:$C$355,MATCH($C141,Deals!$A$2:$A$355,0))),"?"))</f>
        <v/>
      </c>
      <c r="E141" s="29">
        <f>IF($C141="","",IFERROR(INDEX(Deals!$F$2:$F$355,MATCH($C141,Deals!$A$2:$A$355,0)),"?"))</f>
        <v/>
      </c>
      <c r="F141" s="15" t="inlineStr">
        <is>
          <t>MD</t>
        </is>
      </c>
      <c r="G141" s="15" t="inlineStr">
        <is>
          <t>Active</t>
        </is>
      </c>
      <c r="H141" s="27" t="n"/>
      <c r="I141" s="20">
        <f>IF(OR($A141="",$G141&lt;&gt;"Active"),0,IF($H141&lt;&gt;"",$H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</f>
        <v/>
      </c>
      <c r="J141" s="23">
        <f>IF($C141="",0,IFERROR(INDEX(Deals!$H$2:$H$355,MATCH($C141,Deals!$A$2:$A$355,0)),0))</f>
        <v/>
      </c>
      <c r="K141" s="20">
        <f>IF(Settings!$B$4="Yes",$I141*$J141,$I141)</f>
        <v/>
      </c>
      <c r="L141" s="31">
        <f>IF($C141="","",IFERROR(IF(INDEX(Deals!$I$2:$I$355,MATCH($C141,Deals!$A$2:$A$355,0))=0,"",INDEX(Deals!$I$2:$I$355,MATCH($C141,Deals!$A$2:$A$355,0))),""))</f>
        <v/>
      </c>
      <c r="M141" s="31">
        <f>IF($C141="","",IFERROR(IF(INDEX(Deals!$J$2:$J$355,MATCH($C141,Deals!$A$2:$A$355,0))=0,"",INDEX(Deals!$J$2:$J$355,MATCH($C141,Deals!$A$2:$A$355,0))),""))</f>
        <v/>
      </c>
      <c r="N141" s="24">
        <f>IF($L141="",DATE(1900,1,1),$L141)</f>
        <v/>
      </c>
      <c r="O141" s="24">
        <f>IF($M141="",DATE(2100,12,31),$M141)</f>
        <v/>
      </c>
      <c r="P141" s="16" t="inlineStr"/>
      <c r="Q141" s="16" t="inlineStr"/>
      <c r="R141" s="29">
        <f>IF($C141="","",IFERROR(IF(INDEX(Deals!$U$2:$U$355,MATCH($C141,Deals!$A$2:$A$355,0))=0,"",INDEX(Deals!$U$2:$U$355,MATCH($C141,Deals!$A$2:$A$355,0))),""))</f>
        <v/>
      </c>
      <c r="S141" s="22">
        <f>IFERROR(IF($U141="",1,INDEX(Deals!$V$2:$V$355,MATCH($C141,Deals!$A$2:$A$355,0))),1)</f>
        <v/>
      </c>
      <c r="T141" s="22">
        <f>IFERROR(IF($U141="",1,INDEX(Deals!$W$2:$W$355,MATCH($C141,Deals!$A$2:$A$355,0))),1)</f>
        <v/>
      </c>
      <c r="U141" s="31">
        <f>IF($C141="","",IFERROR(IF(INDEX(Deals!$Y$2:$Y$355,MATCH($C141,Deals!$A$2:$A$355,0))=0,"",INDEX(Deals!$Y$2:$Y$355,MATCH($C141,Deals!$A$2:$A$355,0))),""))</f>
        <v/>
      </c>
      <c r="V141" s="24">
        <f>IF($U141="",DATE(1900,1,1),$N141)</f>
        <v/>
      </c>
      <c r="W141" s="24">
        <f>IF($U141="",DATE(2100,12,31),$U141)</f>
        <v/>
      </c>
      <c r="X141" s="20">
        <f>IF($U141="",$K141,$K141*$S141)</f>
        <v/>
      </c>
      <c r="Y141" s="24">
        <f>IF($U141="",DATE(2100,12,31),$U141+1)</f>
        <v/>
      </c>
      <c r="Z141" s="24">
        <f>IF($U141="",DATE(1900,1,1),$O141)</f>
        <v/>
      </c>
      <c r="AA141" s="20">
        <f>IF($U141="",0,$K141*$T141)</f>
        <v/>
      </c>
    </row>
    <row r="142">
      <c r="A142" s="15" t="inlineStr">
        <is>
          <t>Zack</t>
        </is>
      </c>
      <c r="B142" s="29">
        <f>IF($A142="","",IFERROR(INDEX(Roster!$B$2:$B$40,MATCH($A142,Roster!$A$2:$A$40,0)),"?"))</f>
        <v/>
      </c>
      <c r="C142" s="15" t="inlineStr">
        <is>
          <t>Fortress_3</t>
        </is>
      </c>
      <c r="D142" s="29">
        <f>IF($C142="","",IFERROR(IF(INDEX(Deals!$C$2:$C$355,MATCH($C142,Deals!$A$2:$A$355,0))=0,"",INDEX(Deals!$C$2:$C$355,MATCH($C142,Deals!$A$2:$A$355,0))),"?"))</f>
        <v/>
      </c>
      <c r="E142" s="29">
        <f>IF($C142="","",IFERROR(INDEX(Deals!$F$2:$F$355,MATCH($C142,Deals!$A$2:$A$355,0)),"?"))</f>
        <v/>
      </c>
      <c r="F142" s="15" t="inlineStr">
        <is>
          <t>MD</t>
        </is>
      </c>
      <c r="G142" s="15" t="inlineStr">
        <is>
          <t>Active</t>
        </is>
      </c>
      <c r="H142" s="27" t="n"/>
      <c r="I142" s="20">
        <f>IF(OR($A142="",$G142&lt;&gt;"Active"),0,IF($H142&lt;&gt;"",$H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</f>
        <v/>
      </c>
      <c r="J142" s="23">
        <f>IF($C142="",0,IFERROR(INDEX(Deals!$H$2:$H$355,MATCH($C142,Deals!$A$2:$A$355,0)),0))</f>
        <v/>
      </c>
      <c r="K142" s="20">
        <f>IF(Settings!$B$4="Yes",$I142*$J142,$I142)</f>
        <v/>
      </c>
      <c r="L142" s="31">
        <f>IF($C142="","",IFERROR(IF(INDEX(Deals!$I$2:$I$355,MATCH($C142,Deals!$A$2:$A$355,0))=0,"",INDEX(Deals!$I$2:$I$355,MATCH($C142,Deals!$A$2:$A$355,0))),""))</f>
        <v/>
      </c>
      <c r="M142" s="31">
        <f>IF($C142="","",IFERROR(IF(INDEX(Deals!$J$2:$J$355,MATCH($C142,Deals!$A$2:$A$355,0))=0,"",INDEX(Deals!$J$2:$J$355,MATCH($C142,Deals!$A$2:$A$355,0))),""))</f>
        <v/>
      </c>
      <c r="N142" s="24">
        <f>IF($L142="",DATE(1900,1,1),$L142)</f>
        <v/>
      </c>
      <c r="O142" s="24">
        <f>IF($M142="",DATE(2100,12,31),$M142)</f>
        <v/>
      </c>
      <c r="P142" s="16" t="inlineStr"/>
      <c r="Q142" s="16" t="inlineStr"/>
      <c r="R142" s="29">
        <f>IF($C142="","",IFERROR(IF(INDEX(Deals!$U$2:$U$355,MATCH($C142,Deals!$A$2:$A$355,0))=0,"",INDEX(Deals!$U$2:$U$355,MATCH($C142,Deals!$A$2:$A$355,0))),""))</f>
        <v/>
      </c>
      <c r="S142" s="22">
        <f>IFERROR(IF($U142="",1,INDEX(Deals!$V$2:$V$355,MATCH($C142,Deals!$A$2:$A$355,0))),1)</f>
        <v/>
      </c>
      <c r="T142" s="22">
        <f>IFERROR(IF($U142="",1,INDEX(Deals!$W$2:$W$355,MATCH($C142,Deals!$A$2:$A$355,0))),1)</f>
        <v/>
      </c>
      <c r="U142" s="31">
        <f>IF($C142="","",IFERROR(IF(INDEX(Deals!$Y$2:$Y$355,MATCH($C142,Deals!$A$2:$A$355,0))=0,"",INDEX(Deals!$Y$2:$Y$355,MATCH($C142,Deals!$A$2:$A$355,0))),""))</f>
        <v/>
      </c>
      <c r="V142" s="24">
        <f>IF($U142="",DATE(1900,1,1),$N142)</f>
        <v/>
      </c>
      <c r="W142" s="24">
        <f>IF($U142="",DATE(2100,12,31),$U142)</f>
        <v/>
      </c>
      <c r="X142" s="20">
        <f>IF($U142="",$K142,$K142*$S142)</f>
        <v/>
      </c>
      <c r="Y142" s="24">
        <f>IF($U142="",DATE(2100,12,31),$U142+1)</f>
        <v/>
      </c>
      <c r="Z142" s="24">
        <f>IF($U142="",DATE(1900,1,1),$O142)</f>
        <v/>
      </c>
      <c r="AA142" s="20">
        <f>IF($U142="",0,$K142*$T142)</f>
        <v/>
      </c>
    </row>
    <row r="143">
      <c r="A143" s="15" t="inlineStr">
        <is>
          <t>Zack</t>
        </is>
      </c>
      <c r="B143" s="29">
        <f>IF($A143="","",IFERROR(INDEX(Roster!$B$2:$B$40,MATCH($A143,Roster!$A$2:$A$40,0)),"?"))</f>
        <v/>
      </c>
      <c r="C143" s="15" t="inlineStr">
        <is>
          <t>Fury_1</t>
        </is>
      </c>
      <c r="D143" s="29">
        <f>IF($C143="","",IFERROR(IF(INDEX(Deals!$C$2:$C$355,MATCH($C143,Deals!$A$2:$A$355,0))=0,"",INDEX(Deals!$C$2:$C$355,MATCH($C143,Deals!$A$2:$A$355,0))),"?"))</f>
        <v/>
      </c>
      <c r="E143" s="29">
        <f>IF($C143="","",IFERROR(INDEX(Deals!$F$2:$F$355,MATCH($C143,Deals!$A$2:$A$355,0)),"?"))</f>
        <v/>
      </c>
      <c r="F143" s="15" t="inlineStr">
        <is>
          <t>MD</t>
        </is>
      </c>
      <c r="G143" s="15" t="inlineStr">
        <is>
          <t>Active</t>
        </is>
      </c>
      <c r="H143" s="27" t="n"/>
      <c r="I143" s="20">
        <f>IF(OR($A143="",$G143&lt;&gt;"Active"),0,IF($H143&lt;&gt;"",$H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</f>
        <v/>
      </c>
      <c r="J143" s="23">
        <f>IF($C143="",0,IFERROR(INDEX(Deals!$H$2:$H$355,MATCH($C143,Deals!$A$2:$A$355,0)),0))</f>
        <v/>
      </c>
      <c r="K143" s="20">
        <f>IF(Settings!$B$4="Yes",$I143*$J143,$I143)</f>
        <v/>
      </c>
      <c r="L143" s="31">
        <f>IF($C143="","",IFERROR(IF(INDEX(Deals!$I$2:$I$355,MATCH($C143,Deals!$A$2:$A$355,0))=0,"",INDEX(Deals!$I$2:$I$355,MATCH($C143,Deals!$A$2:$A$355,0))),""))</f>
        <v/>
      </c>
      <c r="M143" s="31">
        <f>IF($C143="","",IFERROR(IF(INDEX(Deals!$J$2:$J$355,MATCH($C143,Deals!$A$2:$A$355,0))=0,"",INDEX(Deals!$J$2:$J$355,MATCH($C143,Deals!$A$2:$A$355,0))),""))</f>
        <v/>
      </c>
      <c r="N143" s="24">
        <f>IF($L143="",DATE(1900,1,1),$L143)</f>
        <v/>
      </c>
      <c r="O143" s="24">
        <f>IF($M143="",DATE(2100,12,31),$M143)</f>
        <v/>
      </c>
      <c r="P143" s="16" t="inlineStr"/>
      <c r="Q143" s="16" t="inlineStr"/>
      <c r="R143" s="29">
        <f>IF($C143="","",IFERROR(IF(INDEX(Deals!$U$2:$U$355,MATCH($C143,Deals!$A$2:$A$355,0))=0,"",INDEX(Deals!$U$2:$U$355,MATCH($C143,Deals!$A$2:$A$355,0))),""))</f>
        <v/>
      </c>
      <c r="S143" s="22">
        <f>IFERROR(IF($U143="",1,INDEX(Deals!$V$2:$V$355,MATCH($C143,Deals!$A$2:$A$355,0))),1)</f>
        <v/>
      </c>
      <c r="T143" s="22">
        <f>IFERROR(IF($U143="",1,INDEX(Deals!$W$2:$W$355,MATCH($C143,Deals!$A$2:$A$355,0))),1)</f>
        <v/>
      </c>
      <c r="U143" s="31">
        <f>IF($C143="","",IFERROR(IF(INDEX(Deals!$Y$2:$Y$355,MATCH($C143,Deals!$A$2:$A$355,0))=0,"",INDEX(Deals!$Y$2:$Y$355,MATCH($C143,Deals!$A$2:$A$355,0))),""))</f>
        <v/>
      </c>
      <c r="V143" s="24">
        <f>IF($U143="",DATE(1900,1,1),$N143)</f>
        <v/>
      </c>
      <c r="W143" s="24">
        <f>IF($U143="",DATE(2100,12,31),$U143)</f>
        <v/>
      </c>
      <c r="X143" s="20">
        <f>IF($U143="",$K143,$K143*$S143)</f>
        <v/>
      </c>
      <c r="Y143" s="24">
        <f>IF($U143="",DATE(2100,12,31),$U143+1)</f>
        <v/>
      </c>
      <c r="Z143" s="24">
        <f>IF($U143="",DATE(1900,1,1),$O143)</f>
        <v/>
      </c>
      <c r="AA143" s="20">
        <f>IF($U143="",0,$K143*$T143)</f>
        <v/>
      </c>
    </row>
    <row r="144">
      <c r="A144" s="15" t="inlineStr">
        <is>
          <t>Zack</t>
        </is>
      </c>
      <c r="B144" s="29">
        <f>IF($A144="","",IFERROR(INDEX(Roster!$B$2:$B$40,MATCH($A144,Roster!$A$2:$A$40,0)),"?"))</f>
        <v/>
      </c>
      <c r="C144" s="15" t="inlineStr">
        <is>
          <t>Geneseo_1</t>
        </is>
      </c>
      <c r="D144" s="29">
        <f>IF($C144="","",IFERROR(IF(INDEX(Deals!$C$2:$C$355,MATCH($C144,Deals!$A$2:$A$355,0))=0,"",INDEX(Deals!$C$2:$C$355,MATCH($C144,Deals!$A$2:$A$355,0))),"?"))</f>
        <v/>
      </c>
      <c r="E144" s="29">
        <f>IF($C144="","",IFERROR(INDEX(Deals!$F$2:$F$355,MATCH($C144,Deals!$A$2:$A$355,0)),"?"))</f>
        <v/>
      </c>
      <c r="F144" s="15" t="inlineStr">
        <is>
          <t>MD</t>
        </is>
      </c>
      <c r="G144" s="15" t="inlineStr">
        <is>
          <t>Active</t>
        </is>
      </c>
      <c r="H144" s="27" t="n"/>
      <c r="I144" s="20">
        <f>IF(OR($A144="",$G144&lt;&gt;"Active"),0,IF($H144&lt;&gt;"",$H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</f>
        <v/>
      </c>
      <c r="J144" s="23">
        <f>IF($C144="",0,IFERROR(INDEX(Deals!$H$2:$H$355,MATCH($C144,Deals!$A$2:$A$355,0)),0))</f>
        <v/>
      </c>
      <c r="K144" s="20">
        <f>IF(Settings!$B$4="Yes",$I144*$J144,$I144)</f>
        <v/>
      </c>
      <c r="L144" s="31">
        <f>IF($C144="","",IFERROR(IF(INDEX(Deals!$I$2:$I$355,MATCH($C144,Deals!$A$2:$A$355,0))=0,"",INDEX(Deals!$I$2:$I$355,MATCH($C144,Deals!$A$2:$A$355,0))),""))</f>
        <v/>
      </c>
      <c r="M144" s="31">
        <f>IF($C144="","",IFERROR(IF(INDEX(Deals!$J$2:$J$355,MATCH($C144,Deals!$A$2:$A$355,0))=0,"",INDEX(Deals!$J$2:$J$355,MATCH($C144,Deals!$A$2:$A$355,0))),""))</f>
        <v/>
      </c>
      <c r="N144" s="24">
        <f>IF($L144="",DATE(1900,1,1),$L144)</f>
        <v/>
      </c>
      <c r="O144" s="24">
        <f>IF($M144="",DATE(2100,12,31),$M144)</f>
        <v/>
      </c>
      <c r="P144" s="16" t="inlineStr"/>
      <c r="Q144" s="16" t="inlineStr"/>
      <c r="R144" s="29">
        <f>IF($C144="","",IFERROR(IF(INDEX(Deals!$U$2:$U$355,MATCH($C144,Deals!$A$2:$A$355,0))=0,"",INDEX(Deals!$U$2:$U$355,MATCH($C144,Deals!$A$2:$A$355,0))),""))</f>
        <v/>
      </c>
      <c r="S144" s="22">
        <f>IFERROR(IF($U144="",1,INDEX(Deals!$V$2:$V$355,MATCH($C144,Deals!$A$2:$A$355,0))),1)</f>
        <v/>
      </c>
      <c r="T144" s="22">
        <f>IFERROR(IF($U144="",1,INDEX(Deals!$W$2:$W$355,MATCH($C144,Deals!$A$2:$A$355,0))),1)</f>
        <v/>
      </c>
      <c r="U144" s="31">
        <f>IF($C144="","",IFERROR(IF(INDEX(Deals!$Y$2:$Y$355,MATCH($C144,Deals!$A$2:$A$355,0))=0,"",INDEX(Deals!$Y$2:$Y$355,MATCH($C144,Deals!$A$2:$A$355,0))),""))</f>
        <v/>
      </c>
      <c r="V144" s="24">
        <f>IF($U144="",DATE(1900,1,1),$N144)</f>
        <v/>
      </c>
      <c r="W144" s="24">
        <f>IF($U144="",DATE(2100,12,31),$U144)</f>
        <v/>
      </c>
      <c r="X144" s="20">
        <f>IF($U144="",$K144,$K144*$S144)</f>
        <v/>
      </c>
      <c r="Y144" s="24">
        <f>IF($U144="",DATE(2100,12,31),$U144+1)</f>
        <v/>
      </c>
      <c r="Z144" s="24">
        <f>IF($U144="",DATE(1900,1,1),$O144)</f>
        <v/>
      </c>
      <c r="AA144" s="20">
        <f>IF($U144="",0,$K144*$T144)</f>
        <v/>
      </c>
    </row>
    <row r="145">
      <c r="A145" s="15" t="inlineStr">
        <is>
          <t>Zack</t>
        </is>
      </c>
      <c r="B145" s="29">
        <f>IF($A145="","",IFERROR(INDEX(Roster!$B$2:$B$40,MATCH($A145,Roster!$A$2:$A$40,0)),"?"))</f>
        <v/>
      </c>
      <c r="C145" s="15" t="inlineStr">
        <is>
          <t>Horizon_4</t>
        </is>
      </c>
      <c r="D145" s="29">
        <f>IF($C145="","",IFERROR(IF(INDEX(Deals!$C$2:$C$355,MATCH($C145,Deals!$A$2:$A$355,0))=0,"",INDEX(Deals!$C$2:$C$355,MATCH($C145,Deals!$A$2:$A$355,0))),"?"))</f>
        <v/>
      </c>
      <c r="E145" s="29">
        <f>IF($C145="","",IFERROR(INDEX(Deals!$F$2:$F$355,MATCH($C145,Deals!$A$2:$A$355,0)),"?"))</f>
        <v/>
      </c>
      <c r="F145" s="15" t="inlineStr">
        <is>
          <t>MD</t>
        </is>
      </c>
      <c r="G145" s="15" t="inlineStr">
        <is>
          <t>Active</t>
        </is>
      </c>
      <c r="H145" s="27" t="n"/>
      <c r="I145" s="20">
        <f>IF(OR($A145="",$G145&lt;&gt;"Active"),0,IF($H145&lt;&gt;"",$H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</f>
        <v/>
      </c>
      <c r="J145" s="23">
        <f>IF($C145="",0,IFERROR(INDEX(Deals!$H$2:$H$355,MATCH($C145,Deals!$A$2:$A$355,0)),0))</f>
        <v/>
      </c>
      <c r="K145" s="20">
        <f>IF(Settings!$B$4="Yes",$I145*$J145,$I145)</f>
        <v/>
      </c>
      <c r="L145" s="31">
        <f>IF($C145="","",IFERROR(IF(INDEX(Deals!$I$2:$I$355,MATCH($C145,Deals!$A$2:$A$355,0))=0,"",INDEX(Deals!$I$2:$I$355,MATCH($C145,Deals!$A$2:$A$355,0))),""))</f>
        <v/>
      </c>
      <c r="M145" s="31">
        <f>IF($C145="","",IFERROR(IF(INDEX(Deals!$J$2:$J$355,MATCH($C145,Deals!$A$2:$A$355,0))=0,"",INDEX(Deals!$J$2:$J$355,MATCH($C145,Deals!$A$2:$A$355,0))),""))</f>
        <v/>
      </c>
      <c r="N145" s="24">
        <f>IF($L145="",DATE(1900,1,1),$L145)</f>
        <v/>
      </c>
      <c r="O145" s="24">
        <f>IF($M145="",DATE(2100,12,31),$M145)</f>
        <v/>
      </c>
      <c r="P145" s="16" t="inlineStr"/>
      <c r="Q145" s="16" t="inlineStr"/>
      <c r="R145" s="29">
        <f>IF($C145="","",IFERROR(IF(INDEX(Deals!$U$2:$U$355,MATCH($C145,Deals!$A$2:$A$355,0))=0,"",INDEX(Deals!$U$2:$U$355,MATCH($C145,Deals!$A$2:$A$355,0))),""))</f>
        <v/>
      </c>
      <c r="S145" s="22">
        <f>IFERROR(IF($U145="",1,INDEX(Deals!$V$2:$V$355,MATCH($C145,Deals!$A$2:$A$355,0))),1)</f>
        <v/>
      </c>
      <c r="T145" s="22">
        <f>IFERROR(IF($U145="",1,INDEX(Deals!$W$2:$W$355,MATCH($C145,Deals!$A$2:$A$355,0))),1)</f>
        <v/>
      </c>
      <c r="U145" s="31">
        <f>IF($C145="","",IFERROR(IF(INDEX(Deals!$Y$2:$Y$355,MATCH($C145,Deals!$A$2:$A$355,0))=0,"",INDEX(Deals!$Y$2:$Y$355,MATCH($C145,Deals!$A$2:$A$355,0))),""))</f>
        <v/>
      </c>
      <c r="V145" s="24">
        <f>IF($U145="",DATE(1900,1,1),$N145)</f>
        <v/>
      </c>
      <c r="W145" s="24">
        <f>IF($U145="",DATE(2100,12,31),$U145)</f>
        <v/>
      </c>
      <c r="X145" s="20">
        <f>IF($U145="",$K145,$K145*$S145)</f>
        <v/>
      </c>
      <c r="Y145" s="24">
        <f>IF($U145="",DATE(2100,12,31),$U145+1)</f>
        <v/>
      </c>
      <c r="Z145" s="24">
        <f>IF($U145="",DATE(1900,1,1),$O145)</f>
        <v/>
      </c>
      <c r="AA145" s="20">
        <f>IF($U145="",0,$K145*$T145)</f>
        <v/>
      </c>
    </row>
    <row r="146">
      <c r="A146" s="15" t="inlineStr">
        <is>
          <t>Zack</t>
        </is>
      </c>
      <c r="B146" s="29">
        <f>IF($A146="","",IFERROR(INDEX(Roster!$B$2:$B$40,MATCH($A146,Roster!$A$2:$A$40,0)),"?"))</f>
        <v/>
      </c>
      <c r="C146" s="15" t="inlineStr">
        <is>
          <t>Lafayette_2</t>
        </is>
      </c>
      <c r="D146" s="29">
        <f>IF($C146="","",IFERROR(IF(INDEX(Deals!$C$2:$C$355,MATCH($C146,Deals!$A$2:$A$355,0))=0,"",INDEX(Deals!$C$2:$C$355,MATCH($C146,Deals!$A$2:$A$355,0))),"?"))</f>
        <v/>
      </c>
      <c r="E146" s="29">
        <f>IF($C146="","",IFERROR(INDEX(Deals!$F$2:$F$355,MATCH($C146,Deals!$A$2:$A$355,0)),"?"))</f>
        <v/>
      </c>
      <c r="F146" s="15" t="inlineStr">
        <is>
          <t>MD</t>
        </is>
      </c>
      <c r="G146" s="15" t="inlineStr">
        <is>
          <t>Active</t>
        </is>
      </c>
      <c r="H146" s="27" t="n"/>
      <c r="I146" s="20">
        <f>IF(OR($A146="",$G146&lt;&gt;"Active"),0,IF($H146&lt;&gt;"",$H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</f>
        <v/>
      </c>
      <c r="J146" s="23">
        <f>IF($C146="",0,IFERROR(INDEX(Deals!$H$2:$H$355,MATCH($C146,Deals!$A$2:$A$355,0)),0))</f>
        <v/>
      </c>
      <c r="K146" s="20">
        <f>IF(Settings!$B$4="Yes",$I146*$J146,$I146)</f>
        <v/>
      </c>
      <c r="L146" s="31">
        <f>IF($C146="","",IFERROR(IF(INDEX(Deals!$I$2:$I$355,MATCH($C146,Deals!$A$2:$A$355,0))=0,"",INDEX(Deals!$I$2:$I$355,MATCH($C146,Deals!$A$2:$A$355,0))),""))</f>
        <v/>
      </c>
      <c r="M146" s="31">
        <f>IF($C146="","",IFERROR(IF(INDEX(Deals!$J$2:$J$355,MATCH($C146,Deals!$A$2:$A$355,0))=0,"",INDEX(Deals!$J$2:$J$355,MATCH($C146,Deals!$A$2:$A$355,0))),""))</f>
        <v/>
      </c>
      <c r="N146" s="24">
        <f>IF($L146="",DATE(1900,1,1),$L146)</f>
        <v/>
      </c>
      <c r="O146" s="24">
        <f>IF($M146="",DATE(2100,12,31),$M146)</f>
        <v/>
      </c>
      <c r="P146" s="16" t="inlineStr"/>
      <c r="Q146" s="16" t="inlineStr"/>
      <c r="R146" s="29">
        <f>IF($C146="","",IFERROR(IF(INDEX(Deals!$U$2:$U$355,MATCH($C146,Deals!$A$2:$A$355,0))=0,"",INDEX(Deals!$U$2:$U$355,MATCH($C146,Deals!$A$2:$A$355,0))),""))</f>
        <v/>
      </c>
      <c r="S146" s="22">
        <f>IFERROR(IF($U146="",1,INDEX(Deals!$V$2:$V$355,MATCH($C146,Deals!$A$2:$A$355,0))),1)</f>
        <v/>
      </c>
      <c r="T146" s="22">
        <f>IFERROR(IF($U146="",1,INDEX(Deals!$W$2:$W$355,MATCH($C146,Deals!$A$2:$A$355,0))),1)</f>
        <v/>
      </c>
      <c r="U146" s="31">
        <f>IF($C146="","",IFERROR(IF(INDEX(Deals!$Y$2:$Y$355,MATCH($C146,Deals!$A$2:$A$355,0))=0,"",INDEX(Deals!$Y$2:$Y$355,MATCH($C146,Deals!$A$2:$A$355,0))),""))</f>
        <v/>
      </c>
      <c r="V146" s="24">
        <f>IF($U146="",DATE(1900,1,1),$N146)</f>
        <v/>
      </c>
      <c r="W146" s="24">
        <f>IF($U146="",DATE(2100,12,31),$U146)</f>
        <v/>
      </c>
      <c r="X146" s="20">
        <f>IF($U146="",$K146,$K146*$S146)</f>
        <v/>
      </c>
      <c r="Y146" s="24">
        <f>IF($U146="",DATE(2100,12,31),$U146+1)</f>
        <v/>
      </c>
      <c r="Z146" s="24">
        <f>IF($U146="",DATE(1900,1,1),$O146)</f>
        <v/>
      </c>
      <c r="AA146" s="20">
        <f>IF($U146="",0,$K146*$T146)</f>
        <v/>
      </c>
    </row>
    <row r="147">
      <c r="A147" s="15" t="inlineStr">
        <is>
          <t>Zack</t>
        </is>
      </c>
      <c r="B147" s="29">
        <f>IF($A147="","",IFERROR(INDEX(Roster!$B$2:$B$40,MATCH($A147,Roster!$A$2:$A$40,0)),"?"))</f>
        <v/>
      </c>
      <c r="C147" s="15" t="inlineStr">
        <is>
          <t>MIF_1</t>
        </is>
      </c>
      <c r="D147" s="29">
        <f>IF($C147="","",IFERROR(IF(INDEX(Deals!$C$2:$C$355,MATCH($C147,Deals!$A$2:$A$355,0))=0,"",INDEX(Deals!$C$2:$C$355,MATCH($C147,Deals!$A$2:$A$355,0))),"?"))</f>
        <v/>
      </c>
      <c r="E147" s="29">
        <f>IF($C147="","",IFERROR(INDEX(Deals!$F$2:$F$355,MATCH($C147,Deals!$A$2:$A$355,0)),"?"))</f>
        <v/>
      </c>
      <c r="F147" s="15" t="inlineStr">
        <is>
          <t>MD</t>
        </is>
      </c>
      <c r="G147" s="15" t="inlineStr">
        <is>
          <t>Active</t>
        </is>
      </c>
      <c r="H147" s="27" t="n"/>
      <c r="I147" s="20">
        <f>IF(OR($A147="",$G147&lt;&gt;"Active"),0,IF($H147&lt;&gt;"",$H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</f>
        <v/>
      </c>
      <c r="J147" s="23">
        <f>IF($C147="",0,IFERROR(INDEX(Deals!$H$2:$H$355,MATCH($C147,Deals!$A$2:$A$355,0)),0))</f>
        <v/>
      </c>
      <c r="K147" s="20">
        <f>IF(Settings!$B$4="Yes",$I147*$J147,$I147)</f>
        <v/>
      </c>
      <c r="L147" s="31">
        <f>IF($C147="","",IFERROR(IF(INDEX(Deals!$I$2:$I$355,MATCH($C147,Deals!$A$2:$A$355,0))=0,"",INDEX(Deals!$I$2:$I$355,MATCH($C147,Deals!$A$2:$A$355,0))),""))</f>
        <v/>
      </c>
      <c r="M147" s="31">
        <f>IF($C147="","",IFERROR(IF(INDEX(Deals!$J$2:$J$355,MATCH($C147,Deals!$A$2:$A$355,0))=0,"",INDEX(Deals!$J$2:$J$355,MATCH($C147,Deals!$A$2:$A$355,0))),""))</f>
        <v/>
      </c>
      <c r="N147" s="24">
        <f>IF($L147="",DATE(1900,1,1),$L147)</f>
        <v/>
      </c>
      <c r="O147" s="24">
        <f>IF($M147="",DATE(2100,12,31),$M147)</f>
        <v/>
      </c>
      <c r="P147" s="16" t="inlineStr"/>
      <c r="Q147" s="16" t="inlineStr"/>
      <c r="R147" s="29">
        <f>IF($C147="","",IFERROR(IF(INDEX(Deals!$U$2:$U$355,MATCH($C147,Deals!$A$2:$A$355,0))=0,"",INDEX(Deals!$U$2:$U$355,MATCH($C147,Deals!$A$2:$A$355,0))),""))</f>
        <v/>
      </c>
      <c r="S147" s="22">
        <f>IFERROR(IF($U147="",1,INDEX(Deals!$V$2:$V$355,MATCH($C147,Deals!$A$2:$A$355,0))),1)</f>
        <v/>
      </c>
      <c r="T147" s="22">
        <f>IFERROR(IF($U147="",1,INDEX(Deals!$W$2:$W$355,MATCH($C147,Deals!$A$2:$A$355,0))),1)</f>
        <v/>
      </c>
      <c r="U147" s="31">
        <f>IF($C147="","",IFERROR(IF(INDEX(Deals!$Y$2:$Y$355,MATCH($C147,Deals!$A$2:$A$355,0))=0,"",INDEX(Deals!$Y$2:$Y$355,MATCH($C147,Deals!$A$2:$A$355,0))),""))</f>
        <v/>
      </c>
      <c r="V147" s="24">
        <f>IF($U147="",DATE(1900,1,1),$N147)</f>
        <v/>
      </c>
      <c r="W147" s="24">
        <f>IF($U147="",DATE(2100,12,31),$U147)</f>
        <v/>
      </c>
      <c r="X147" s="20">
        <f>IF($U147="",$K147,$K147*$S147)</f>
        <v/>
      </c>
      <c r="Y147" s="24">
        <f>IF($U147="",DATE(2100,12,31),$U147+1)</f>
        <v/>
      </c>
      <c r="Z147" s="24">
        <f>IF($U147="",DATE(1900,1,1),$O147)</f>
        <v/>
      </c>
      <c r="AA147" s="20">
        <f>IF($U147="",0,$K147*$T147)</f>
        <v/>
      </c>
    </row>
    <row r="148">
      <c r="A148" s="15" t="inlineStr">
        <is>
          <t>Zack</t>
        </is>
      </c>
      <c r="B148" s="29">
        <f>IF($A148="","",IFERROR(INDEX(Roster!$B$2:$B$40,MATCH($A148,Roster!$A$2:$A$40,0)),"?"))</f>
        <v/>
      </c>
      <c r="C148" s="15" t="inlineStr">
        <is>
          <t>Model_4</t>
        </is>
      </c>
      <c r="D148" s="29">
        <f>IF($C148="","",IFERROR(IF(INDEX(Deals!$C$2:$C$355,MATCH($C148,Deals!$A$2:$A$355,0))=0,"",INDEX(Deals!$C$2:$C$355,MATCH($C148,Deals!$A$2:$A$355,0))),"?"))</f>
        <v/>
      </c>
      <c r="E148" s="29">
        <f>IF($C148="","",IFERROR(INDEX(Deals!$F$2:$F$355,MATCH($C148,Deals!$A$2:$A$355,0)),"?"))</f>
        <v/>
      </c>
      <c r="F148" s="15" t="inlineStr">
        <is>
          <t>MD</t>
        </is>
      </c>
      <c r="G148" s="15" t="inlineStr">
        <is>
          <t>Active</t>
        </is>
      </c>
      <c r="H148" s="27" t="n"/>
      <c r="I148" s="20">
        <f>IF(OR($A148="",$G148&lt;&gt;"Active"),0,IF($H148&lt;&gt;"",$H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</f>
        <v/>
      </c>
      <c r="J148" s="23">
        <f>IF($C148="",0,IFERROR(INDEX(Deals!$H$2:$H$355,MATCH($C148,Deals!$A$2:$A$355,0)),0))</f>
        <v/>
      </c>
      <c r="K148" s="20">
        <f>IF(Settings!$B$4="Yes",$I148*$J148,$I148)</f>
        <v/>
      </c>
      <c r="L148" s="31">
        <f>IF($C148="","",IFERROR(IF(INDEX(Deals!$I$2:$I$355,MATCH($C148,Deals!$A$2:$A$355,0))=0,"",INDEX(Deals!$I$2:$I$355,MATCH($C148,Deals!$A$2:$A$355,0))),""))</f>
        <v/>
      </c>
      <c r="M148" s="31">
        <f>IF($C148="","",IFERROR(IF(INDEX(Deals!$J$2:$J$355,MATCH($C148,Deals!$A$2:$A$355,0))=0,"",INDEX(Deals!$J$2:$J$355,MATCH($C148,Deals!$A$2:$A$355,0))),""))</f>
        <v/>
      </c>
      <c r="N148" s="24">
        <f>IF($L148="",DATE(1900,1,1),$L148)</f>
        <v/>
      </c>
      <c r="O148" s="24">
        <f>IF($M148="",DATE(2100,12,31),$M148)</f>
        <v/>
      </c>
      <c r="P148" s="16" t="inlineStr"/>
      <c r="Q148" s="16" t="inlineStr"/>
      <c r="R148" s="29">
        <f>IF($C148="","",IFERROR(IF(INDEX(Deals!$U$2:$U$355,MATCH($C148,Deals!$A$2:$A$355,0))=0,"",INDEX(Deals!$U$2:$U$355,MATCH($C148,Deals!$A$2:$A$355,0))),""))</f>
        <v/>
      </c>
      <c r="S148" s="22">
        <f>IFERROR(IF($U148="",1,INDEX(Deals!$V$2:$V$355,MATCH($C148,Deals!$A$2:$A$355,0))),1)</f>
        <v/>
      </c>
      <c r="T148" s="22">
        <f>IFERROR(IF($U148="",1,INDEX(Deals!$W$2:$W$355,MATCH($C148,Deals!$A$2:$A$355,0))),1)</f>
        <v/>
      </c>
      <c r="U148" s="31">
        <f>IF($C148="","",IFERROR(IF(INDEX(Deals!$Y$2:$Y$355,MATCH($C148,Deals!$A$2:$A$355,0))=0,"",INDEX(Deals!$Y$2:$Y$355,MATCH($C148,Deals!$A$2:$A$355,0))),""))</f>
        <v/>
      </c>
      <c r="V148" s="24">
        <f>IF($U148="",DATE(1900,1,1),$N148)</f>
        <v/>
      </c>
      <c r="W148" s="24">
        <f>IF($U148="",DATE(2100,12,31),$U148)</f>
        <v/>
      </c>
      <c r="X148" s="20">
        <f>IF($U148="",$K148,$K148*$S148)</f>
        <v/>
      </c>
      <c r="Y148" s="24">
        <f>IF($U148="",DATE(2100,12,31),$U148+1)</f>
        <v/>
      </c>
      <c r="Z148" s="24">
        <f>IF($U148="",DATE(1900,1,1),$O148)</f>
        <v/>
      </c>
      <c r="AA148" s="20">
        <f>IF($U148="",0,$K148*$T148)</f>
        <v/>
      </c>
    </row>
    <row r="149">
      <c r="A149" s="15" t="inlineStr">
        <is>
          <t>Zack</t>
        </is>
      </c>
      <c r="B149" s="29">
        <f>IF($A149="","",IFERROR(INDEX(Roster!$B$2:$B$40,MATCH($A149,Roster!$A$2:$A$40,0)),"?"))</f>
        <v/>
      </c>
      <c r="C149" s="15" t="inlineStr">
        <is>
          <t>Ninedot_3</t>
        </is>
      </c>
      <c r="D149" s="29">
        <f>IF($C149="","",IFERROR(IF(INDEX(Deals!$C$2:$C$355,MATCH($C149,Deals!$A$2:$A$355,0))=0,"",INDEX(Deals!$C$2:$C$355,MATCH($C149,Deals!$A$2:$A$355,0))),"?"))</f>
        <v/>
      </c>
      <c r="E149" s="29">
        <f>IF($C149="","",IFERROR(INDEX(Deals!$F$2:$F$355,MATCH($C149,Deals!$A$2:$A$355,0)),"?"))</f>
        <v/>
      </c>
      <c r="F149" s="15" t="inlineStr">
        <is>
          <t>MD</t>
        </is>
      </c>
      <c r="G149" s="15" t="inlineStr">
        <is>
          <t>Active</t>
        </is>
      </c>
      <c r="H149" s="27" t="n"/>
      <c r="I149" s="20">
        <f>IF(OR($A149="",$G149&lt;&gt;"Active"),0,IF($H149&lt;&gt;"",$H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</f>
        <v/>
      </c>
      <c r="J149" s="23">
        <f>IF($C149="",0,IFERROR(INDEX(Deals!$H$2:$H$355,MATCH($C149,Deals!$A$2:$A$355,0)),0))</f>
        <v/>
      </c>
      <c r="K149" s="20">
        <f>IF(Settings!$B$4="Yes",$I149*$J149,$I149)</f>
        <v/>
      </c>
      <c r="L149" s="31">
        <f>IF($C149="","",IFERROR(IF(INDEX(Deals!$I$2:$I$355,MATCH($C149,Deals!$A$2:$A$355,0))=0,"",INDEX(Deals!$I$2:$I$355,MATCH($C149,Deals!$A$2:$A$355,0))),""))</f>
        <v/>
      </c>
      <c r="M149" s="31">
        <f>IF($C149="","",IFERROR(IF(INDEX(Deals!$J$2:$J$355,MATCH($C149,Deals!$A$2:$A$355,0))=0,"",INDEX(Deals!$J$2:$J$355,MATCH($C149,Deals!$A$2:$A$355,0))),""))</f>
        <v/>
      </c>
      <c r="N149" s="24">
        <f>IF($L149="",DATE(1900,1,1),$L149)</f>
        <v/>
      </c>
      <c r="O149" s="24">
        <f>IF($M149="",DATE(2100,12,31),$M149)</f>
        <v/>
      </c>
      <c r="P149" s="16" t="inlineStr"/>
      <c r="Q149" s="16" t="inlineStr"/>
      <c r="R149" s="29">
        <f>IF($C149="","",IFERROR(IF(INDEX(Deals!$U$2:$U$355,MATCH($C149,Deals!$A$2:$A$355,0))=0,"",INDEX(Deals!$U$2:$U$355,MATCH($C149,Deals!$A$2:$A$355,0))),""))</f>
        <v/>
      </c>
      <c r="S149" s="22">
        <f>IFERROR(IF($U149="",1,INDEX(Deals!$V$2:$V$355,MATCH($C149,Deals!$A$2:$A$355,0))),1)</f>
        <v/>
      </c>
      <c r="T149" s="22">
        <f>IFERROR(IF($U149="",1,INDEX(Deals!$W$2:$W$355,MATCH($C149,Deals!$A$2:$A$355,0))),1)</f>
        <v/>
      </c>
      <c r="U149" s="31">
        <f>IF($C149="","",IFERROR(IF(INDEX(Deals!$Y$2:$Y$355,MATCH($C149,Deals!$A$2:$A$355,0))=0,"",INDEX(Deals!$Y$2:$Y$355,MATCH($C149,Deals!$A$2:$A$355,0))),""))</f>
        <v/>
      </c>
      <c r="V149" s="24">
        <f>IF($U149="",DATE(1900,1,1),$N149)</f>
        <v/>
      </c>
      <c r="W149" s="24">
        <f>IF($U149="",DATE(2100,12,31),$U149)</f>
        <v/>
      </c>
      <c r="X149" s="20">
        <f>IF($U149="",$K149,$K149*$S149)</f>
        <v/>
      </c>
      <c r="Y149" s="24">
        <f>IF($U149="",DATE(2100,12,31),$U149+1)</f>
        <v/>
      </c>
      <c r="Z149" s="24">
        <f>IF($U149="",DATE(1900,1,1),$O149)</f>
        <v/>
      </c>
      <c r="AA149" s="20">
        <f>IF($U149="",0,$K149*$T149)</f>
        <v/>
      </c>
    </row>
    <row r="150">
      <c r="A150" s="15" t="inlineStr">
        <is>
          <t>Zack</t>
        </is>
      </c>
      <c r="B150" s="29">
        <f>IF($A150="","",IFERROR(INDEX(Roster!$B$2:$B$40,MATCH($A150,Roster!$A$2:$A$40,0)),"?"))</f>
        <v/>
      </c>
      <c r="C150" s="15" t="inlineStr">
        <is>
          <t>Ontario_1</t>
        </is>
      </c>
      <c r="D150" s="29">
        <f>IF($C150="","",IFERROR(IF(INDEX(Deals!$C$2:$C$355,MATCH($C150,Deals!$A$2:$A$355,0))=0,"",INDEX(Deals!$C$2:$C$355,MATCH($C150,Deals!$A$2:$A$355,0))),"?"))</f>
        <v/>
      </c>
      <c r="E150" s="29">
        <f>IF($C150="","",IFERROR(INDEX(Deals!$F$2:$F$355,MATCH($C150,Deals!$A$2:$A$355,0)),"?"))</f>
        <v/>
      </c>
      <c r="F150" s="15" t="inlineStr">
        <is>
          <t>MD</t>
        </is>
      </c>
      <c r="G150" s="15" t="inlineStr">
        <is>
          <t>Active</t>
        </is>
      </c>
      <c r="H150" s="27" t="n"/>
      <c r="I150" s="20">
        <f>IF(OR($A150="",$G150&lt;&gt;"Active"),0,IF($H150&lt;&gt;"",$H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</f>
        <v/>
      </c>
      <c r="J150" s="23">
        <f>IF($C150="",0,IFERROR(INDEX(Deals!$H$2:$H$355,MATCH($C150,Deals!$A$2:$A$355,0)),0))</f>
        <v/>
      </c>
      <c r="K150" s="20">
        <f>IF(Settings!$B$4="Yes",$I150*$J150,$I150)</f>
        <v/>
      </c>
      <c r="L150" s="31">
        <f>IF($C150="","",IFERROR(IF(INDEX(Deals!$I$2:$I$355,MATCH($C150,Deals!$A$2:$A$355,0))=0,"",INDEX(Deals!$I$2:$I$355,MATCH($C150,Deals!$A$2:$A$355,0))),""))</f>
        <v/>
      </c>
      <c r="M150" s="31">
        <f>IF($C150="","",IFERROR(IF(INDEX(Deals!$J$2:$J$355,MATCH($C150,Deals!$A$2:$A$355,0))=0,"",INDEX(Deals!$J$2:$J$355,MATCH($C150,Deals!$A$2:$A$355,0))),""))</f>
        <v/>
      </c>
      <c r="N150" s="24">
        <f>IF($L150="",DATE(1900,1,1),$L150)</f>
        <v/>
      </c>
      <c r="O150" s="24">
        <f>IF($M150="",DATE(2100,12,31),$M150)</f>
        <v/>
      </c>
      <c r="P150" s="16" t="inlineStr"/>
      <c r="Q150" s="16" t="inlineStr"/>
      <c r="R150" s="29">
        <f>IF($C150="","",IFERROR(IF(INDEX(Deals!$U$2:$U$355,MATCH($C150,Deals!$A$2:$A$355,0))=0,"",INDEX(Deals!$U$2:$U$355,MATCH($C150,Deals!$A$2:$A$355,0))),""))</f>
        <v/>
      </c>
      <c r="S150" s="22">
        <f>IFERROR(IF($U150="",1,INDEX(Deals!$V$2:$V$355,MATCH($C150,Deals!$A$2:$A$355,0))),1)</f>
        <v/>
      </c>
      <c r="T150" s="22">
        <f>IFERROR(IF($U150="",1,INDEX(Deals!$W$2:$W$355,MATCH($C150,Deals!$A$2:$A$355,0))),1)</f>
        <v/>
      </c>
      <c r="U150" s="31">
        <f>IF($C150="","",IFERROR(IF(INDEX(Deals!$Y$2:$Y$355,MATCH($C150,Deals!$A$2:$A$355,0))=0,"",INDEX(Deals!$Y$2:$Y$355,MATCH($C150,Deals!$A$2:$A$355,0))),""))</f>
        <v/>
      </c>
      <c r="V150" s="24">
        <f>IF($U150="",DATE(1900,1,1),$N150)</f>
        <v/>
      </c>
      <c r="W150" s="24">
        <f>IF($U150="",DATE(2100,12,31),$U150)</f>
        <v/>
      </c>
      <c r="X150" s="20">
        <f>IF($U150="",$K150,$K150*$S150)</f>
        <v/>
      </c>
      <c r="Y150" s="24">
        <f>IF($U150="",DATE(2100,12,31),$U150+1)</f>
        <v/>
      </c>
      <c r="Z150" s="24">
        <f>IF($U150="",DATE(1900,1,1),$O150)</f>
        <v/>
      </c>
      <c r="AA150" s="20">
        <f>IF($U150="",0,$K150*$T150)</f>
        <v/>
      </c>
    </row>
    <row r="151">
      <c r="A151" s="15" t="inlineStr">
        <is>
          <t>Zack</t>
        </is>
      </c>
      <c r="B151" s="29">
        <f>IF($A151="","",IFERROR(INDEX(Roster!$B$2:$B$40,MATCH($A151,Roster!$A$2:$A$40,0)),"?"))</f>
        <v/>
      </c>
      <c r="C151" s="15" t="inlineStr">
        <is>
          <t>Prince_3</t>
        </is>
      </c>
      <c r="D151" s="29">
        <f>IF($C151="","",IFERROR(IF(INDEX(Deals!$C$2:$C$355,MATCH($C151,Deals!$A$2:$A$355,0))=0,"",INDEX(Deals!$C$2:$C$355,MATCH($C151,Deals!$A$2:$A$355,0))),"?"))</f>
        <v/>
      </c>
      <c r="E151" s="29">
        <f>IF($C151="","",IFERROR(INDEX(Deals!$F$2:$F$355,MATCH($C151,Deals!$A$2:$A$355,0)),"?"))</f>
        <v/>
      </c>
      <c r="F151" s="15" t="inlineStr">
        <is>
          <t>MD</t>
        </is>
      </c>
      <c r="G151" s="15" t="inlineStr">
        <is>
          <t>Active</t>
        </is>
      </c>
      <c r="H151" s="27" t="n"/>
      <c r="I151" s="20">
        <f>IF(OR($A151="",$G151&lt;&gt;"Active"),0,IF($H151&lt;&gt;"",$H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</f>
        <v/>
      </c>
      <c r="J151" s="23">
        <f>IF($C151="",0,IFERROR(INDEX(Deals!$H$2:$H$355,MATCH($C151,Deals!$A$2:$A$355,0)),0))</f>
        <v/>
      </c>
      <c r="K151" s="20">
        <f>IF(Settings!$B$4="Yes",$I151*$J151,$I151)</f>
        <v/>
      </c>
      <c r="L151" s="31">
        <f>IF($C151="","",IFERROR(IF(INDEX(Deals!$I$2:$I$355,MATCH($C151,Deals!$A$2:$A$355,0))=0,"",INDEX(Deals!$I$2:$I$355,MATCH($C151,Deals!$A$2:$A$355,0))),""))</f>
        <v/>
      </c>
      <c r="M151" s="31">
        <f>IF($C151="","",IFERROR(IF(INDEX(Deals!$J$2:$J$355,MATCH($C151,Deals!$A$2:$A$355,0))=0,"",INDEX(Deals!$J$2:$J$355,MATCH($C151,Deals!$A$2:$A$355,0))),""))</f>
        <v/>
      </c>
      <c r="N151" s="24">
        <f>IF($L151="",DATE(1900,1,1),$L151)</f>
        <v/>
      </c>
      <c r="O151" s="24">
        <f>IF($M151="",DATE(2100,12,31),$M151)</f>
        <v/>
      </c>
      <c r="P151" s="16" t="inlineStr"/>
      <c r="Q151" s="16" t="inlineStr"/>
      <c r="R151" s="29">
        <f>IF($C151="","",IFERROR(IF(INDEX(Deals!$U$2:$U$355,MATCH($C151,Deals!$A$2:$A$355,0))=0,"",INDEX(Deals!$U$2:$U$355,MATCH($C151,Deals!$A$2:$A$355,0))),""))</f>
        <v/>
      </c>
      <c r="S151" s="22">
        <f>IFERROR(IF($U151="",1,INDEX(Deals!$V$2:$V$355,MATCH($C151,Deals!$A$2:$A$355,0))),1)</f>
        <v/>
      </c>
      <c r="T151" s="22">
        <f>IFERROR(IF($U151="",1,INDEX(Deals!$W$2:$W$355,MATCH($C151,Deals!$A$2:$A$355,0))),1)</f>
        <v/>
      </c>
      <c r="U151" s="31">
        <f>IF($C151="","",IFERROR(IF(INDEX(Deals!$Y$2:$Y$355,MATCH($C151,Deals!$A$2:$A$355,0))=0,"",INDEX(Deals!$Y$2:$Y$355,MATCH($C151,Deals!$A$2:$A$355,0))),""))</f>
        <v/>
      </c>
      <c r="V151" s="24">
        <f>IF($U151="",DATE(1900,1,1),$N151)</f>
        <v/>
      </c>
      <c r="W151" s="24">
        <f>IF($U151="",DATE(2100,12,31),$U151)</f>
        <v/>
      </c>
      <c r="X151" s="20">
        <f>IF($U151="",$K151,$K151*$S151)</f>
        <v/>
      </c>
      <c r="Y151" s="24">
        <f>IF($U151="",DATE(2100,12,31),$U151+1)</f>
        <v/>
      </c>
      <c r="Z151" s="24">
        <f>IF($U151="",DATE(1900,1,1),$O151)</f>
        <v/>
      </c>
      <c r="AA151" s="20">
        <f>IF($U151="",0,$K151*$T151)</f>
        <v/>
      </c>
    </row>
    <row r="152">
      <c r="A152" s="15" t="inlineStr">
        <is>
          <t>Zack</t>
        </is>
      </c>
      <c r="B152" s="29">
        <f>IF($A152="","",IFERROR(INDEX(Roster!$B$2:$B$40,MATCH($A152,Roster!$A$2:$A$40,0)),"?"))</f>
        <v/>
      </c>
      <c r="C152" s="15" t="inlineStr">
        <is>
          <t>Pythagoras_1</t>
        </is>
      </c>
      <c r="D152" s="29">
        <f>IF($C152="","",IFERROR(IF(INDEX(Deals!$C$2:$C$355,MATCH($C152,Deals!$A$2:$A$355,0))=0,"",INDEX(Deals!$C$2:$C$355,MATCH($C152,Deals!$A$2:$A$355,0))),"?"))</f>
        <v/>
      </c>
      <c r="E152" s="29">
        <f>IF($C152="","",IFERROR(INDEX(Deals!$F$2:$F$355,MATCH($C152,Deals!$A$2:$A$355,0)),"?"))</f>
        <v/>
      </c>
      <c r="F152" s="15" t="inlineStr">
        <is>
          <t>MD</t>
        </is>
      </c>
      <c r="G152" s="15" t="inlineStr">
        <is>
          <t>Active</t>
        </is>
      </c>
      <c r="H152" s="27" t="n"/>
      <c r="I152" s="20">
        <f>IF(OR($A152="",$G152&lt;&gt;"Active"),0,IF($H152&lt;&gt;"",$H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</f>
        <v/>
      </c>
      <c r="J152" s="23">
        <f>IF($C152="",0,IFERROR(INDEX(Deals!$H$2:$H$355,MATCH($C152,Deals!$A$2:$A$355,0)),0))</f>
        <v/>
      </c>
      <c r="K152" s="20">
        <f>IF(Settings!$B$4="Yes",$I152*$J152,$I152)</f>
        <v/>
      </c>
      <c r="L152" s="31">
        <f>IF($C152="","",IFERROR(IF(INDEX(Deals!$I$2:$I$355,MATCH($C152,Deals!$A$2:$A$355,0))=0,"",INDEX(Deals!$I$2:$I$355,MATCH($C152,Deals!$A$2:$A$355,0))),""))</f>
        <v/>
      </c>
      <c r="M152" s="31">
        <f>IF($C152="","",IFERROR(IF(INDEX(Deals!$J$2:$J$355,MATCH($C152,Deals!$A$2:$A$355,0))=0,"",INDEX(Deals!$J$2:$J$355,MATCH($C152,Deals!$A$2:$A$355,0))),""))</f>
        <v/>
      </c>
      <c r="N152" s="24">
        <f>IF($L152="",DATE(1900,1,1),$L152)</f>
        <v/>
      </c>
      <c r="O152" s="24">
        <f>IF($M152="",DATE(2100,12,31),$M152)</f>
        <v/>
      </c>
      <c r="P152" s="16" t="inlineStr"/>
      <c r="Q152" s="16" t="inlineStr"/>
      <c r="R152" s="29">
        <f>IF($C152="","",IFERROR(IF(INDEX(Deals!$U$2:$U$355,MATCH($C152,Deals!$A$2:$A$355,0))=0,"",INDEX(Deals!$U$2:$U$355,MATCH($C152,Deals!$A$2:$A$355,0))),""))</f>
        <v/>
      </c>
      <c r="S152" s="22">
        <f>IFERROR(IF($U152="",1,INDEX(Deals!$V$2:$V$355,MATCH($C152,Deals!$A$2:$A$355,0))),1)</f>
        <v/>
      </c>
      <c r="T152" s="22">
        <f>IFERROR(IF($U152="",1,INDEX(Deals!$W$2:$W$355,MATCH($C152,Deals!$A$2:$A$355,0))),1)</f>
        <v/>
      </c>
      <c r="U152" s="31">
        <f>IF($C152="","",IFERROR(IF(INDEX(Deals!$Y$2:$Y$355,MATCH($C152,Deals!$A$2:$A$355,0))=0,"",INDEX(Deals!$Y$2:$Y$355,MATCH($C152,Deals!$A$2:$A$355,0))),""))</f>
        <v/>
      </c>
      <c r="V152" s="24">
        <f>IF($U152="",DATE(1900,1,1),$N152)</f>
        <v/>
      </c>
      <c r="W152" s="24">
        <f>IF($U152="",DATE(2100,12,31),$U152)</f>
        <v/>
      </c>
      <c r="X152" s="20">
        <f>IF($U152="",$K152,$K152*$S152)</f>
        <v/>
      </c>
      <c r="Y152" s="24">
        <f>IF($U152="",DATE(2100,12,31),$U152+1)</f>
        <v/>
      </c>
      <c r="Z152" s="24">
        <f>IF($U152="",DATE(1900,1,1),$O152)</f>
        <v/>
      </c>
      <c r="AA152" s="20">
        <f>IF($U152="",0,$K152*$T152)</f>
        <v/>
      </c>
    </row>
    <row r="153">
      <c r="A153" s="15" t="inlineStr">
        <is>
          <t>Zack</t>
        </is>
      </c>
      <c r="B153" s="29">
        <f>IF($A153="","",IFERROR(INDEX(Roster!$B$2:$B$40,MATCH($A153,Roster!$A$2:$A$40,0)),"?"))</f>
        <v/>
      </c>
      <c r="C153" s="15" t="inlineStr">
        <is>
          <t>Railcar_1</t>
        </is>
      </c>
      <c r="D153" s="29">
        <f>IF($C153="","",IFERROR(IF(INDEX(Deals!$C$2:$C$355,MATCH($C153,Deals!$A$2:$A$355,0))=0,"",INDEX(Deals!$C$2:$C$355,MATCH($C153,Deals!$A$2:$A$355,0))),"?"))</f>
        <v/>
      </c>
      <c r="E153" s="29">
        <f>IF($C153="","",IFERROR(INDEX(Deals!$F$2:$F$355,MATCH($C153,Deals!$A$2:$A$355,0)),"?"))</f>
        <v/>
      </c>
      <c r="F153" s="15" t="inlineStr">
        <is>
          <t>MD</t>
        </is>
      </c>
      <c r="G153" s="15" t="inlineStr">
        <is>
          <t>Active</t>
        </is>
      </c>
      <c r="H153" s="27" t="n"/>
      <c r="I153" s="20">
        <f>IF(OR($A153="",$G153&lt;&gt;"Active"),0,IF($H153&lt;&gt;"",$H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</f>
        <v/>
      </c>
      <c r="J153" s="23">
        <f>IF($C153="",0,IFERROR(INDEX(Deals!$H$2:$H$355,MATCH($C153,Deals!$A$2:$A$355,0)),0))</f>
        <v/>
      </c>
      <c r="K153" s="20">
        <f>IF(Settings!$B$4="Yes",$I153*$J153,$I153)</f>
        <v/>
      </c>
      <c r="L153" s="31">
        <f>IF($C153="","",IFERROR(IF(INDEX(Deals!$I$2:$I$355,MATCH($C153,Deals!$A$2:$A$355,0))=0,"",INDEX(Deals!$I$2:$I$355,MATCH($C153,Deals!$A$2:$A$355,0))),""))</f>
        <v/>
      </c>
      <c r="M153" s="31">
        <f>IF($C153="","",IFERROR(IF(INDEX(Deals!$J$2:$J$355,MATCH($C153,Deals!$A$2:$A$355,0))=0,"",INDEX(Deals!$J$2:$J$355,MATCH($C153,Deals!$A$2:$A$355,0))),""))</f>
        <v/>
      </c>
      <c r="N153" s="24">
        <f>IF($L153="",DATE(1900,1,1),$L153)</f>
        <v/>
      </c>
      <c r="O153" s="24">
        <f>IF($M153="",DATE(2100,12,31),$M153)</f>
        <v/>
      </c>
      <c r="P153" s="16" t="inlineStr"/>
      <c r="Q153" s="16" t="inlineStr"/>
      <c r="R153" s="29">
        <f>IF($C153="","",IFERROR(IF(INDEX(Deals!$U$2:$U$355,MATCH($C153,Deals!$A$2:$A$355,0))=0,"",INDEX(Deals!$U$2:$U$355,MATCH($C153,Deals!$A$2:$A$355,0))),""))</f>
        <v/>
      </c>
      <c r="S153" s="22">
        <f>IFERROR(IF($U153="",1,INDEX(Deals!$V$2:$V$355,MATCH($C153,Deals!$A$2:$A$355,0))),1)</f>
        <v/>
      </c>
      <c r="T153" s="22">
        <f>IFERROR(IF($U153="",1,INDEX(Deals!$W$2:$W$355,MATCH($C153,Deals!$A$2:$A$355,0))),1)</f>
        <v/>
      </c>
      <c r="U153" s="31">
        <f>IF($C153="","",IFERROR(IF(INDEX(Deals!$Y$2:$Y$355,MATCH($C153,Deals!$A$2:$A$355,0))=0,"",INDEX(Deals!$Y$2:$Y$355,MATCH($C153,Deals!$A$2:$A$355,0))),""))</f>
        <v/>
      </c>
      <c r="V153" s="24">
        <f>IF($U153="",DATE(1900,1,1),$N153)</f>
        <v/>
      </c>
      <c r="W153" s="24">
        <f>IF($U153="",DATE(2100,12,31),$U153)</f>
        <v/>
      </c>
      <c r="X153" s="20">
        <f>IF($U153="",$K153,$K153*$S153)</f>
        <v/>
      </c>
      <c r="Y153" s="24">
        <f>IF($U153="",DATE(2100,12,31),$U153+1)</f>
        <v/>
      </c>
      <c r="Z153" s="24">
        <f>IF($U153="",DATE(1900,1,1),$O153)</f>
        <v/>
      </c>
      <c r="AA153" s="20">
        <f>IF($U153="",0,$K153*$T153)</f>
        <v/>
      </c>
    </row>
    <row r="154">
      <c r="A154" s="15" t="inlineStr">
        <is>
          <t>Zack</t>
        </is>
      </c>
      <c r="B154" s="29">
        <f>IF($A154="","",IFERROR(INDEX(Roster!$B$2:$B$40,MATCH($A154,Roster!$A$2:$A$40,0)),"?"))</f>
        <v/>
      </c>
      <c r="C154" s="15" t="inlineStr">
        <is>
          <t>Redwood_2</t>
        </is>
      </c>
      <c r="D154" s="29">
        <f>IF($C154="","",IFERROR(IF(INDEX(Deals!$C$2:$C$355,MATCH($C154,Deals!$A$2:$A$355,0))=0,"",INDEX(Deals!$C$2:$C$355,MATCH($C154,Deals!$A$2:$A$355,0))),"?"))</f>
        <v/>
      </c>
      <c r="E154" s="29">
        <f>IF($C154="","",IFERROR(INDEX(Deals!$F$2:$F$355,MATCH($C154,Deals!$A$2:$A$355,0)),"?"))</f>
        <v/>
      </c>
      <c r="F154" s="15" t="inlineStr">
        <is>
          <t>MD</t>
        </is>
      </c>
      <c r="G154" s="15" t="inlineStr">
        <is>
          <t>Active</t>
        </is>
      </c>
      <c r="H154" s="27" t="n"/>
      <c r="I154" s="20">
        <f>IF(OR($A154="",$G154&lt;&gt;"Active"),0,IF($H154&lt;&gt;"",$H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</f>
        <v/>
      </c>
      <c r="J154" s="23">
        <f>IF($C154="",0,IFERROR(INDEX(Deals!$H$2:$H$355,MATCH($C154,Deals!$A$2:$A$355,0)),0))</f>
        <v/>
      </c>
      <c r="K154" s="20">
        <f>IF(Settings!$B$4="Yes",$I154*$J154,$I154)</f>
        <v/>
      </c>
      <c r="L154" s="31">
        <f>IF($C154="","",IFERROR(IF(INDEX(Deals!$I$2:$I$355,MATCH($C154,Deals!$A$2:$A$355,0))=0,"",INDEX(Deals!$I$2:$I$355,MATCH($C154,Deals!$A$2:$A$355,0))),""))</f>
        <v/>
      </c>
      <c r="M154" s="31">
        <f>IF($C154="","",IFERROR(IF(INDEX(Deals!$J$2:$J$355,MATCH($C154,Deals!$A$2:$A$355,0))=0,"",INDEX(Deals!$J$2:$J$355,MATCH($C154,Deals!$A$2:$A$355,0))),""))</f>
        <v/>
      </c>
      <c r="N154" s="24">
        <f>IF($L154="",DATE(1900,1,1),$L154)</f>
        <v/>
      </c>
      <c r="O154" s="24">
        <f>IF($M154="",DATE(2100,12,31),$M154)</f>
        <v/>
      </c>
      <c r="P154" s="16" t="inlineStr"/>
      <c r="Q154" s="16" t="inlineStr"/>
      <c r="R154" s="29">
        <f>IF($C154="","",IFERROR(IF(INDEX(Deals!$U$2:$U$355,MATCH($C154,Deals!$A$2:$A$355,0))=0,"",INDEX(Deals!$U$2:$U$355,MATCH($C154,Deals!$A$2:$A$355,0))),""))</f>
        <v/>
      </c>
      <c r="S154" s="22">
        <f>IFERROR(IF($U154="",1,INDEX(Deals!$V$2:$V$355,MATCH($C154,Deals!$A$2:$A$355,0))),1)</f>
        <v/>
      </c>
      <c r="T154" s="22">
        <f>IFERROR(IF($U154="",1,INDEX(Deals!$W$2:$W$355,MATCH($C154,Deals!$A$2:$A$355,0))),1)</f>
        <v/>
      </c>
      <c r="U154" s="31">
        <f>IF($C154="","",IFERROR(IF(INDEX(Deals!$Y$2:$Y$355,MATCH($C154,Deals!$A$2:$A$355,0))=0,"",INDEX(Deals!$Y$2:$Y$355,MATCH($C154,Deals!$A$2:$A$355,0))),""))</f>
        <v/>
      </c>
      <c r="V154" s="24">
        <f>IF($U154="",DATE(1900,1,1),$N154)</f>
        <v/>
      </c>
      <c r="W154" s="24">
        <f>IF($U154="",DATE(2100,12,31),$U154)</f>
        <v/>
      </c>
      <c r="X154" s="20">
        <f>IF($U154="",$K154,$K154*$S154)</f>
        <v/>
      </c>
      <c r="Y154" s="24">
        <f>IF($U154="",DATE(2100,12,31),$U154+1)</f>
        <v/>
      </c>
      <c r="Z154" s="24">
        <f>IF($U154="",DATE(1900,1,1),$O154)</f>
        <v/>
      </c>
      <c r="AA154" s="20">
        <f>IF($U154="",0,$K154*$T154)</f>
        <v/>
      </c>
    </row>
    <row r="155">
      <c r="A155" s="15" t="inlineStr">
        <is>
          <t>Zack</t>
        </is>
      </c>
      <c r="B155" s="29">
        <f>IF($A155="","",IFERROR(INDEX(Roster!$B$2:$B$40,MATCH($A155,Roster!$A$2:$A$40,0)),"?"))</f>
        <v/>
      </c>
      <c r="C155" s="15" t="inlineStr">
        <is>
          <t>Ridgeline_2</t>
        </is>
      </c>
      <c r="D155" s="29">
        <f>IF($C155="","",IFERROR(IF(INDEX(Deals!$C$2:$C$355,MATCH($C155,Deals!$A$2:$A$355,0))=0,"",INDEX(Deals!$C$2:$C$355,MATCH($C155,Deals!$A$2:$A$355,0))),"?"))</f>
        <v/>
      </c>
      <c r="E155" s="29">
        <f>IF($C155="","",IFERROR(INDEX(Deals!$F$2:$F$355,MATCH($C155,Deals!$A$2:$A$355,0)),"?"))</f>
        <v/>
      </c>
      <c r="F155" s="15" t="inlineStr">
        <is>
          <t>MD</t>
        </is>
      </c>
      <c r="G155" s="15" t="inlineStr">
        <is>
          <t>Active</t>
        </is>
      </c>
      <c r="H155" s="27" t="n"/>
      <c r="I155" s="20">
        <f>IF(OR($A155="",$G155&lt;&gt;"Active"),0,IF($H155&lt;&gt;"",$H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</f>
        <v/>
      </c>
      <c r="J155" s="23">
        <f>IF($C155="",0,IFERROR(INDEX(Deals!$H$2:$H$355,MATCH($C155,Deals!$A$2:$A$355,0)),0))</f>
        <v/>
      </c>
      <c r="K155" s="20">
        <f>IF(Settings!$B$4="Yes",$I155*$J155,$I155)</f>
        <v/>
      </c>
      <c r="L155" s="31">
        <f>IF($C155="","",IFERROR(IF(INDEX(Deals!$I$2:$I$355,MATCH($C155,Deals!$A$2:$A$355,0))=0,"",INDEX(Deals!$I$2:$I$355,MATCH($C155,Deals!$A$2:$A$355,0))),""))</f>
        <v/>
      </c>
      <c r="M155" s="31">
        <f>IF($C155="","",IFERROR(IF(INDEX(Deals!$J$2:$J$355,MATCH($C155,Deals!$A$2:$A$355,0))=0,"",INDEX(Deals!$J$2:$J$355,MATCH($C155,Deals!$A$2:$A$355,0))),""))</f>
        <v/>
      </c>
      <c r="N155" s="24">
        <f>IF($L155="",DATE(1900,1,1),$L155)</f>
        <v/>
      </c>
      <c r="O155" s="24">
        <f>IF($M155="",DATE(2100,12,31),$M155)</f>
        <v/>
      </c>
      <c r="P155" s="16" t="inlineStr"/>
      <c r="Q155" s="16" t="inlineStr"/>
      <c r="R155" s="29">
        <f>IF($C155="","",IFERROR(IF(INDEX(Deals!$U$2:$U$355,MATCH($C155,Deals!$A$2:$A$355,0))=0,"",INDEX(Deals!$U$2:$U$355,MATCH($C155,Deals!$A$2:$A$355,0))),""))</f>
        <v/>
      </c>
      <c r="S155" s="22">
        <f>IFERROR(IF($U155="",1,INDEX(Deals!$V$2:$V$355,MATCH($C155,Deals!$A$2:$A$355,0))),1)</f>
        <v/>
      </c>
      <c r="T155" s="22">
        <f>IFERROR(IF($U155="",1,INDEX(Deals!$W$2:$W$355,MATCH($C155,Deals!$A$2:$A$355,0))),1)</f>
        <v/>
      </c>
      <c r="U155" s="31">
        <f>IF($C155="","",IFERROR(IF(INDEX(Deals!$Y$2:$Y$355,MATCH($C155,Deals!$A$2:$A$355,0))=0,"",INDEX(Deals!$Y$2:$Y$355,MATCH($C155,Deals!$A$2:$A$355,0))),""))</f>
        <v/>
      </c>
      <c r="V155" s="24">
        <f>IF($U155="",DATE(1900,1,1),$N155)</f>
        <v/>
      </c>
      <c r="W155" s="24">
        <f>IF($U155="",DATE(2100,12,31),$U155)</f>
        <v/>
      </c>
      <c r="X155" s="20">
        <f>IF($U155="",$K155,$K155*$S155)</f>
        <v/>
      </c>
      <c r="Y155" s="24">
        <f>IF($U155="",DATE(2100,12,31),$U155+1)</f>
        <v/>
      </c>
      <c r="Z155" s="24">
        <f>IF($U155="",DATE(1900,1,1),$O155)</f>
        <v/>
      </c>
      <c r="AA155" s="20">
        <f>IF($U155="",0,$K155*$T155)</f>
        <v/>
      </c>
    </row>
    <row r="156">
      <c r="A156" s="15" t="inlineStr">
        <is>
          <t>Zack</t>
        </is>
      </c>
      <c r="B156" s="29">
        <f>IF($A156="","",IFERROR(INDEX(Roster!$B$2:$B$40,MATCH($A156,Roster!$A$2:$A$40,0)),"?"))</f>
        <v/>
      </c>
      <c r="C156" s="15" t="inlineStr">
        <is>
          <t>Roadrunner_1</t>
        </is>
      </c>
      <c r="D156" s="29">
        <f>IF($C156="","",IFERROR(IF(INDEX(Deals!$C$2:$C$355,MATCH($C156,Deals!$A$2:$A$355,0))=0,"",INDEX(Deals!$C$2:$C$355,MATCH($C156,Deals!$A$2:$A$355,0))),"?"))</f>
        <v/>
      </c>
      <c r="E156" s="29">
        <f>IF($C156="","",IFERROR(INDEX(Deals!$F$2:$F$355,MATCH($C156,Deals!$A$2:$A$355,0)),"?"))</f>
        <v/>
      </c>
      <c r="F156" s="15" t="inlineStr">
        <is>
          <t>MD</t>
        </is>
      </c>
      <c r="G156" s="15" t="inlineStr">
        <is>
          <t>Active</t>
        </is>
      </c>
      <c r="H156" s="27" t="n"/>
      <c r="I156" s="20">
        <f>IF(OR($A156="",$G156&lt;&gt;"Active"),0,IF($H156&lt;&gt;"",$H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</f>
        <v/>
      </c>
      <c r="J156" s="23">
        <f>IF($C156="",0,IFERROR(INDEX(Deals!$H$2:$H$355,MATCH($C156,Deals!$A$2:$A$355,0)),0))</f>
        <v/>
      </c>
      <c r="K156" s="20">
        <f>IF(Settings!$B$4="Yes",$I156*$J156,$I156)</f>
        <v/>
      </c>
      <c r="L156" s="31">
        <f>IF($C156="","",IFERROR(IF(INDEX(Deals!$I$2:$I$355,MATCH($C156,Deals!$A$2:$A$355,0))=0,"",INDEX(Deals!$I$2:$I$355,MATCH($C156,Deals!$A$2:$A$355,0))),""))</f>
        <v/>
      </c>
      <c r="M156" s="31">
        <f>IF($C156="","",IFERROR(IF(INDEX(Deals!$J$2:$J$355,MATCH($C156,Deals!$A$2:$A$355,0))=0,"",INDEX(Deals!$J$2:$J$355,MATCH($C156,Deals!$A$2:$A$355,0))),""))</f>
        <v/>
      </c>
      <c r="N156" s="24">
        <f>IF($L156="",DATE(1900,1,1),$L156)</f>
        <v/>
      </c>
      <c r="O156" s="24">
        <f>IF($M156="",DATE(2100,12,31),$M156)</f>
        <v/>
      </c>
      <c r="P156" s="16" t="inlineStr"/>
      <c r="Q156" s="16" t="inlineStr"/>
      <c r="R156" s="29">
        <f>IF($C156="","",IFERROR(IF(INDEX(Deals!$U$2:$U$355,MATCH($C156,Deals!$A$2:$A$355,0))=0,"",INDEX(Deals!$U$2:$U$355,MATCH($C156,Deals!$A$2:$A$355,0))),""))</f>
        <v/>
      </c>
      <c r="S156" s="22">
        <f>IFERROR(IF($U156="",1,INDEX(Deals!$V$2:$V$355,MATCH($C156,Deals!$A$2:$A$355,0))),1)</f>
        <v/>
      </c>
      <c r="T156" s="22">
        <f>IFERROR(IF($U156="",1,INDEX(Deals!$W$2:$W$355,MATCH($C156,Deals!$A$2:$A$355,0))),1)</f>
        <v/>
      </c>
      <c r="U156" s="31">
        <f>IF($C156="","",IFERROR(IF(INDEX(Deals!$Y$2:$Y$355,MATCH($C156,Deals!$A$2:$A$355,0))=0,"",INDEX(Deals!$Y$2:$Y$355,MATCH($C156,Deals!$A$2:$A$355,0))),""))</f>
        <v/>
      </c>
      <c r="V156" s="24">
        <f>IF($U156="",DATE(1900,1,1),$N156)</f>
        <v/>
      </c>
      <c r="W156" s="24">
        <f>IF($U156="",DATE(2100,12,31),$U156)</f>
        <v/>
      </c>
      <c r="X156" s="20">
        <f>IF($U156="",$K156,$K156*$S156)</f>
        <v/>
      </c>
      <c r="Y156" s="24">
        <f>IF($U156="",DATE(2100,12,31),$U156+1)</f>
        <v/>
      </c>
      <c r="Z156" s="24">
        <f>IF($U156="",DATE(1900,1,1),$O156)</f>
        <v/>
      </c>
      <c r="AA156" s="20">
        <f>IF($U156="",0,$K156*$T156)</f>
        <v/>
      </c>
    </row>
    <row r="157">
      <c r="A157" s="15" t="inlineStr">
        <is>
          <t>Zack</t>
        </is>
      </c>
      <c r="B157" s="29">
        <f>IF($A157="","",IFERROR(INDEX(Roster!$B$2:$B$40,MATCH($A157,Roster!$A$2:$A$40,0)),"?"))</f>
        <v/>
      </c>
      <c r="C157" s="15" t="inlineStr">
        <is>
          <t>Soltra_1</t>
        </is>
      </c>
      <c r="D157" s="29">
        <f>IF($C157="","",IFERROR(IF(INDEX(Deals!$C$2:$C$355,MATCH($C157,Deals!$A$2:$A$355,0))=0,"",INDEX(Deals!$C$2:$C$355,MATCH($C157,Deals!$A$2:$A$355,0))),"?"))</f>
        <v/>
      </c>
      <c r="E157" s="29">
        <f>IF($C157="","",IFERROR(INDEX(Deals!$F$2:$F$355,MATCH($C157,Deals!$A$2:$A$355,0)),"?"))</f>
        <v/>
      </c>
      <c r="F157" s="15" t="inlineStr">
        <is>
          <t>MD</t>
        </is>
      </c>
      <c r="G157" s="15" t="inlineStr">
        <is>
          <t>Active</t>
        </is>
      </c>
      <c r="H157" s="27" t="n"/>
      <c r="I157" s="20">
        <f>IF(OR($A157="",$G157&lt;&gt;"Active"),0,IF($H157&lt;&gt;"",$H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</f>
        <v/>
      </c>
      <c r="J157" s="23">
        <f>IF($C157="",0,IFERROR(INDEX(Deals!$H$2:$H$355,MATCH($C157,Deals!$A$2:$A$355,0)),0))</f>
        <v/>
      </c>
      <c r="K157" s="20">
        <f>IF(Settings!$B$4="Yes",$I157*$J157,$I157)</f>
        <v/>
      </c>
      <c r="L157" s="31">
        <f>IF($C157="","",IFERROR(IF(INDEX(Deals!$I$2:$I$355,MATCH($C157,Deals!$A$2:$A$355,0))=0,"",INDEX(Deals!$I$2:$I$355,MATCH($C157,Deals!$A$2:$A$355,0))),""))</f>
        <v/>
      </c>
      <c r="M157" s="31">
        <f>IF($C157="","",IFERROR(IF(INDEX(Deals!$J$2:$J$355,MATCH($C157,Deals!$A$2:$A$355,0))=0,"",INDEX(Deals!$J$2:$J$355,MATCH($C157,Deals!$A$2:$A$355,0))),""))</f>
        <v/>
      </c>
      <c r="N157" s="24">
        <f>IF($L157="",DATE(1900,1,1),$L157)</f>
        <v/>
      </c>
      <c r="O157" s="24">
        <f>IF($M157="",DATE(2100,12,31),$M157)</f>
        <v/>
      </c>
      <c r="P157" s="16" t="inlineStr"/>
      <c r="Q157" s="16" t="inlineStr"/>
      <c r="R157" s="29">
        <f>IF($C157="","",IFERROR(IF(INDEX(Deals!$U$2:$U$355,MATCH($C157,Deals!$A$2:$A$355,0))=0,"",INDEX(Deals!$U$2:$U$355,MATCH($C157,Deals!$A$2:$A$355,0))),""))</f>
        <v/>
      </c>
      <c r="S157" s="22">
        <f>IFERROR(IF($U157="",1,INDEX(Deals!$V$2:$V$355,MATCH($C157,Deals!$A$2:$A$355,0))),1)</f>
        <v/>
      </c>
      <c r="T157" s="22">
        <f>IFERROR(IF($U157="",1,INDEX(Deals!$W$2:$W$355,MATCH($C157,Deals!$A$2:$A$355,0))),1)</f>
        <v/>
      </c>
      <c r="U157" s="31">
        <f>IF($C157="","",IFERROR(IF(INDEX(Deals!$Y$2:$Y$355,MATCH($C157,Deals!$A$2:$A$355,0))=0,"",INDEX(Deals!$Y$2:$Y$355,MATCH($C157,Deals!$A$2:$A$355,0))),""))</f>
        <v/>
      </c>
      <c r="V157" s="24">
        <f>IF($U157="",DATE(1900,1,1),$N157)</f>
        <v/>
      </c>
      <c r="W157" s="24">
        <f>IF($U157="",DATE(2100,12,31),$U157)</f>
        <v/>
      </c>
      <c r="X157" s="20">
        <f>IF($U157="",$K157,$K157*$S157)</f>
        <v/>
      </c>
      <c r="Y157" s="24">
        <f>IF($U157="",DATE(2100,12,31),$U157+1)</f>
        <v/>
      </c>
      <c r="Z157" s="24">
        <f>IF($U157="",DATE(1900,1,1),$O157)</f>
        <v/>
      </c>
      <c r="AA157" s="20">
        <f>IF($U157="",0,$K157*$T157)</f>
        <v/>
      </c>
    </row>
    <row r="158">
      <c r="A158" s="15" t="inlineStr">
        <is>
          <t>Zack</t>
        </is>
      </c>
      <c r="B158" s="29">
        <f>IF($A158="","",IFERROR(INDEX(Roster!$B$2:$B$40,MATCH($A158,Roster!$A$2:$A$40,0)),"?"))</f>
        <v/>
      </c>
      <c r="C158" s="15" t="inlineStr">
        <is>
          <t>Steam_2</t>
        </is>
      </c>
      <c r="D158" s="29">
        <f>IF($C158="","",IFERROR(IF(INDEX(Deals!$C$2:$C$355,MATCH($C158,Deals!$A$2:$A$355,0))=0,"",INDEX(Deals!$C$2:$C$355,MATCH($C158,Deals!$A$2:$A$355,0))),"?"))</f>
        <v/>
      </c>
      <c r="E158" s="29">
        <f>IF($C158="","",IFERROR(INDEX(Deals!$F$2:$F$355,MATCH($C158,Deals!$A$2:$A$355,0)),"?"))</f>
        <v/>
      </c>
      <c r="F158" s="15" t="inlineStr">
        <is>
          <t>MD</t>
        </is>
      </c>
      <c r="G158" s="15" t="inlineStr">
        <is>
          <t>Active</t>
        </is>
      </c>
      <c r="H158" s="27" t="n"/>
      <c r="I158" s="20">
        <f>IF(OR($A158="",$G158&lt;&gt;"Active"),0,IF($H158&lt;&gt;"",$H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</f>
        <v/>
      </c>
      <c r="J158" s="23">
        <f>IF($C158="",0,IFERROR(INDEX(Deals!$H$2:$H$355,MATCH($C158,Deals!$A$2:$A$355,0)),0))</f>
        <v/>
      </c>
      <c r="K158" s="20">
        <f>IF(Settings!$B$4="Yes",$I158*$J158,$I158)</f>
        <v/>
      </c>
      <c r="L158" s="31">
        <f>IF($C158="","",IFERROR(IF(INDEX(Deals!$I$2:$I$355,MATCH($C158,Deals!$A$2:$A$355,0))=0,"",INDEX(Deals!$I$2:$I$355,MATCH($C158,Deals!$A$2:$A$355,0))),""))</f>
        <v/>
      </c>
      <c r="M158" s="31">
        <f>IF($C158="","",IFERROR(IF(INDEX(Deals!$J$2:$J$355,MATCH($C158,Deals!$A$2:$A$355,0))=0,"",INDEX(Deals!$J$2:$J$355,MATCH($C158,Deals!$A$2:$A$355,0))),""))</f>
        <v/>
      </c>
      <c r="N158" s="24">
        <f>IF($L158="",DATE(1900,1,1),$L158)</f>
        <v/>
      </c>
      <c r="O158" s="24">
        <f>IF($M158="",DATE(2100,12,31),$M158)</f>
        <v/>
      </c>
      <c r="P158" s="16" t="inlineStr"/>
      <c r="Q158" s="16" t="inlineStr"/>
      <c r="R158" s="29">
        <f>IF($C158="","",IFERROR(IF(INDEX(Deals!$U$2:$U$355,MATCH($C158,Deals!$A$2:$A$355,0))=0,"",INDEX(Deals!$U$2:$U$355,MATCH($C158,Deals!$A$2:$A$355,0))),""))</f>
        <v/>
      </c>
      <c r="S158" s="22">
        <f>IFERROR(IF($U158="",1,INDEX(Deals!$V$2:$V$355,MATCH($C158,Deals!$A$2:$A$355,0))),1)</f>
        <v/>
      </c>
      <c r="T158" s="22">
        <f>IFERROR(IF($U158="",1,INDEX(Deals!$W$2:$W$355,MATCH($C158,Deals!$A$2:$A$355,0))),1)</f>
        <v/>
      </c>
      <c r="U158" s="31">
        <f>IF($C158="","",IFERROR(IF(INDEX(Deals!$Y$2:$Y$355,MATCH($C158,Deals!$A$2:$A$355,0))=0,"",INDEX(Deals!$Y$2:$Y$355,MATCH($C158,Deals!$A$2:$A$355,0))),""))</f>
        <v/>
      </c>
      <c r="V158" s="24">
        <f>IF($U158="",DATE(1900,1,1),$N158)</f>
        <v/>
      </c>
      <c r="W158" s="24">
        <f>IF($U158="",DATE(2100,12,31),$U158)</f>
        <v/>
      </c>
      <c r="X158" s="20">
        <f>IF($U158="",$K158,$K158*$S158)</f>
        <v/>
      </c>
      <c r="Y158" s="24">
        <f>IF($U158="",DATE(2100,12,31),$U158+1)</f>
        <v/>
      </c>
      <c r="Z158" s="24">
        <f>IF($U158="",DATE(1900,1,1),$O158)</f>
        <v/>
      </c>
      <c r="AA158" s="20">
        <f>IF($U158="",0,$K158*$T158)</f>
        <v/>
      </c>
    </row>
    <row r="159">
      <c r="A159" s="15" t="inlineStr">
        <is>
          <t>Zack</t>
        </is>
      </c>
      <c r="B159" s="29">
        <f>IF($A159="","",IFERROR(INDEX(Roster!$B$2:$B$40,MATCH($A159,Roster!$A$2:$A$40,0)),"?"))</f>
        <v/>
      </c>
      <c r="C159" s="15" t="inlineStr">
        <is>
          <t>Tracer II_2</t>
        </is>
      </c>
      <c r="D159" s="29">
        <f>IF($C159="","",IFERROR(IF(INDEX(Deals!$C$2:$C$355,MATCH($C159,Deals!$A$2:$A$355,0))=0,"",INDEX(Deals!$C$2:$C$355,MATCH($C159,Deals!$A$2:$A$355,0))),"?"))</f>
        <v/>
      </c>
      <c r="E159" s="29">
        <f>IF($C159="","",IFERROR(INDEX(Deals!$F$2:$F$355,MATCH($C159,Deals!$A$2:$A$355,0)),"?"))</f>
        <v/>
      </c>
      <c r="F159" s="15" t="inlineStr">
        <is>
          <t>MD</t>
        </is>
      </c>
      <c r="G159" s="15" t="inlineStr">
        <is>
          <t>Active</t>
        </is>
      </c>
      <c r="H159" s="27" t="n"/>
      <c r="I159" s="20">
        <f>IF(OR($A159="",$G159&lt;&gt;"Active"),0,IF($H159&lt;&gt;"",$H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</f>
        <v/>
      </c>
      <c r="J159" s="23">
        <f>IF($C159="",0,IFERROR(INDEX(Deals!$H$2:$H$355,MATCH($C159,Deals!$A$2:$A$355,0)),0))</f>
        <v/>
      </c>
      <c r="K159" s="20">
        <f>IF(Settings!$B$4="Yes",$I159*$J159,$I159)</f>
        <v/>
      </c>
      <c r="L159" s="31">
        <f>IF($C159="","",IFERROR(IF(INDEX(Deals!$I$2:$I$355,MATCH($C159,Deals!$A$2:$A$355,0))=0,"",INDEX(Deals!$I$2:$I$355,MATCH($C159,Deals!$A$2:$A$355,0))),""))</f>
        <v/>
      </c>
      <c r="M159" s="31">
        <f>IF($C159="","",IFERROR(IF(INDEX(Deals!$J$2:$J$355,MATCH($C159,Deals!$A$2:$A$355,0))=0,"",INDEX(Deals!$J$2:$J$355,MATCH($C159,Deals!$A$2:$A$355,0))),""))</f>
        <v/>
      </c>
      <c r="N159" s="24">
        <f>IF($L159="",DATE(1900,1,1),$L159)</f>
        <v/>
      </c>
      <c r="O159" s="24">
        <f>IF($M159="",DATE(2100,12,31),$M159)</f>
        <v/>
      </c>
      <c r="P159" s="16" t="inlineStr"/>
      <c r="Q159" s="16" t="inlineStr"/>
      <c r="R159" s="29">
        <f>IF($C159="","",IFERROR(IF(INDEX(Deals!$U$2:$U$355,MATCH($C159,Deals!$A$2:$A$355,0))=0,"",INDEX(Deals!$U$2:$U$355,MATCH($C159,Deals!$A$2:$A$355,0))),""))</f>
        <v/>
      </c>
      <c r="S159" s="22">
        <f>IFERROR(IF($U159="",1,INDEX(Deals!$V$2:$V$355,MATCH($C159,Deals!$A$2:$A$355,0))),1)</f>
        <v/>
      </c>
      <c r="T159" s="22">
        <f>IFERROR(IF($U159="",1,INDEX(Deals!$W$2:$W$355,MATCH($C159,Deals!$A$2:$A$355,0))),1)</f>
        <v/>
      </c>
      <c r="U159" s="31">
        <f>IF($C159="","",IFERROR(IF(INDEX(Deals!$Y$2:$Y$355,MATCH($C159,Deals!$A$2:$A$355,0))=0,"",INDEX(Deals!$Y$2:$Y$355,MATCH($C159,Deals!$A$2:$A$355,0))),""))</f>
        <v/>
      </c>
      <c r="V159" s="24">
        <f>IF($U159="",DATE(1900,1,1),$N159)</f>
        <v/>
      </c>
      <c r="W159" s="24">
        <f>IF($U159="",DATE(2100,12,31),$U159)</f>
        <v/>
      </c>
      <c r="X159" s="20">
        <f>IF($U159="",$K159,$K159*$S159)</f>
        <v/>
      </c>
      <c r="Y159" s="24">
        <f>IF($U159="",DATE(2100,12,31),$U159+1)</f>
        <v/>
      </c>
      <c r="Z159" s="24">
        <f>IF($U159="",DATE(1900,1,1),$O159)</f>
        <v/>
      </c>
      <c r="AA159" s="20">
        <f>IF($U159="",0,$K159*$T159)</f>
        <v/>
      </c>
    </row>
    <row r="160">
      <c r="A160" s="15" t="inlineStr">
        <is>
          <t>Zack</t>
        </is>
      </c>
      <c r="B160" s="29">
        <f>IF($A160="","",IFERROR(INDEX(Roster!$B$2:$B$40,MATCH($A160,Roster!$A$2:$A$40,0)),"?"))</f>
        <v/>
      </c>
      <c r="C160" s="15" t="inlineStr">
        <is>
          <t>UPS_1</t>
        </is>
      </c>
      <c r="D160" s="29">
        <f>IF($C160="","",IFERROR(IF(INDEX(Deals!$C$2:$C$355,MATCH($C160,Deals!$A$2:$A$355,0))=0,"",INDEX(Deals!$C$2:$C$355,MATCH($C160,Deals!$A$2:$A$355,0))),"?"))</f>
        <v/>
      </c>
      <c r="E160" s="29">
        <f>IF($C160="","",IFERROR(INDEX(Deals!$F$2:$F$355,MATCH($C160,Deals!$A$2:$A$355,0)),"?"))</f>
        <v/>
      </c>
      <c r="F160" s="15" t="inlineStr">
        <is>
          <t>MD</t>
        </is>
      </c>
      <c r="G160" s="15" t="inlineStr">
        <is>
          <t>Active</t>
        </is>
      </c>
      <c r="H160" s="27" t="n"/>
      <c r="I160" s="20">
        <f>IF(OR($A160="",$G160&lt;&gt;"Active"),0,IF($H160&lt;&gt;"",$H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</f>
        <v/>
      </c>
      <c r="J160" s="23">
        <f>IF($C160="",0,IFERROR(INDEX(Deals!$H$2:$H$355,MATCH($C160,Deals!$A$2:$A$355,0)),0))</f>
        <v/>
      </c>
      <c r="K160" s="20">
        <f>IF(Settings!$B$4="Yes",$I160*$J160,$I160)</f>
        <v/>
      </c>
      <c r="L160" s="31">
        <f>IF($C160="","",IFERROR(IF(INDEX(Deals!$I$2:$I$355,MATCH($C160,Deals!$A$2:$A$355,0))=0,"",INDEX(Deals!$I$2:$I$355,MATCH($C160,Deals!$A$2:$A$355,0))),""))</f>
        <v/>
      </c>
      <c r="M160" s="31">
        <f>IF($C160="","",IFERROR(IF(INDEX(Deals!$J$2:$J$355,MATCH($C160,Deals!$A$2:$A$355,0))=0,"",INDEX(Deals!$J$2:$J$355,MATCH($C160,Deals!$A$2:$A$355,0))),""))</f>
        <v/>
      </c>
      <c r="N160" s="24">
        <f>IF($L160="",DATE(1900,1,1),$L160)</f>
        <v/>
      </c>
      <c r="O160" s="24">
        <f>IF($M160="",DATE(2100,12,31),$M160)</f>
        <v/>
      </c>
      <c r="P160" s="16" t="inlineStr"/>
      <c r="Q160" s="16" t="inlineStr"/>
      <c r="R160" s="29">
        <f>IF($C160="","",IFERROR(IF(INDEX(Deals!$U$2:$U$355,MATCH($C160,Deals!$A$2:$A$355,0))=0,"",INDEX(Deals!$U$2:$U$355,MATCH($C160,Deals!$A$2:$A$355,0))),""))</f>
        <v/>
      </c>
      <c r="S160" s="22">
        <f>IFERROR(IF($U160="",1,INDEX(Deals!$V$2:$V$355,MATCH($C160,Deals!$A$2:$A$355,0))),1)</f>
        <v/>
      </c>
      <c r="T160" s="22">
        <f>IFERROR(IF($U160="",1,INDEX(Deals!$W$2:$W$355,MATCH($C160,Deals!$A$2:$A$355,0))),1)</f>
        <v/>
      </c>
      <c r="U160" s="31">
        <f>IF($C160="","",IFERROR(IF(INDEX(Deals!$Y$2:$Y$355,MATCH($C160,Deals!$A$2:$A$355,0))=0,"",INDEX(Deals!$Y$2:$Y$355,MATCH($C160,Deals!$A$2:$A$355,0))),""))</f>
        <v/>
      </c>
      <c r="V160" s="24">
        <f>IF($U160="",DATE(1900,1,1),$N160)</f>
        <v/>
      </c>
      <c r="W160" s="24">
        <f>IF($U160="",DATE(2100,12,31),$U160)</f>
        <v/>
      </c>
      <c r="X160" s="20">
        <f>IF($U160="",$K160,$K160*$S160)</f>
        <v/>
      </c>
      <c r="Y160" s="24">
        <f>IF($U160="",DATE(2100,12,31),$U160+1)</f>
        <v/>
      </c>
      <c r="Z160" s="24">
        <f>IF($U160="",DATE(1900,1,1),$O160)</f>
        <v/>
      </c>
      <c r="AA160" s="20">
        <f>IF($U160="",0,$K160*$T160)</f>
        <v/>
      </c>
    </row>
    <row r="161">
      <c r="A161" s="15" t="inlineStr">
        <is>
          <t>Zack</t>
        </is>
      </c>
      <c r="B161" s="29">
        <f>IF($A161="","",IFERROR(INDEX(Roster!$B$2:$B$40,MATCH($A161,Roster!$A$2:$A$40,0)),"?"))</f>
        <v/>
      </c>
      <c r="C161" s="15" t="inlineStr">
        <is>
          <t>West_2</t>
        </is>
      </c>
      <c r="D161" s="29">
        <f>IF($C161="","",IFERROR(IF(INDEX(Deals!$C$2:$C$355,MATCH($C161,Deals!$A$2:$A$355,0))=0,"",INDEX(Deals!$C$2:$C$355,MATCH($C161,Deals!$A$2:$A$355,0))),"?"))</f>
        <v/>
      </c>
      <c r="E161" s="29">
        <f>IF($C161="","",IFERROR(INDEX(Deals!$F$2:$F$355,MATCH($C161,Deals!$A$2:$A$355,0)),"?"))</f>
        <v/>
      </c>
      <c r="F161" s="15" t="inlineStr">
        <is>
          <t>MD</t>
        </is>
      </c>
      <c r="G161" s="15" t="inlineStr">
        <is>
          <t>Active</t>
        </is>
      </c>
      <c r="H161" s="27" t="n"/>
      <c r="I161" s="20">
        <f>IF(OR($A161="",$G161&lt;&gt;"Active"),0,IF($H161&lt;&gt;"",$H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</f>
        <v/>
      </c>
      <c r="J161" s="23">
        <f>IF($C161="",0,IFERROR(INDEX(Deals!$H$2:$H$355,MATCH($C161,Deals!$A$2:$A$355,0)),0))</f>
        <v/>
      </c>
      <c r="K161" s="20">
        <f>IF(Settings!$B$4="Yes",$I161*$J161,$I161)</f>
        <v/>
      </c>
      <c r="L161" s="31">
        <f>IF($C161="","",IFERROR(IF(INDEX(Deals!$I$2:$I$355,MATCH($C161,Deals!$A$2:$A$355,0))=0,"",INDEX(Deals!$I$2:$I$355,MATCH($C161,Deals!$A$2:$A$355,0))),""))</f>
        <v/>
      </c>
      <c r="M161" s="31">
        <f>IF($C161="","",IFERROR(IF(INDEX(Deals!$J$2:$J$355,MATCH($C161,Deals!$A$2:$A$355,0))=0,"",INDEX(Deals!$J$2:$J$355,MATCH($C161,Deals!$A$2:$A$355,0))),""))</f>
        <v/>
      </c>
      <c r="N161" s="24">
        <f>IF($L161="",DATE(1900,1,1),$L161)</f>
        <v/>
      </c>
      <c r="O161" s="24">
        <f>IF($M161="",DATE(2100,12,31),$M161)</f>
        <v/>
      </c>
      <c r="P161" s="16" t="inlineStr"/>
      <c r="Q161" s="16" t="inlineStr"/>
      <c r="R161" s="29">
        <f>IF($C161="","",IFERROR(IF(INDEX(Deals!$U$2:$U$355,MATCH($C161,Deals!$A$2:$A$355,0))=0,"",INDEX(Deals!$U$2:$U$355,MATCH($C161,Deals!$A$2:$A$355,0))),""))</f>
        <v/>
      </c>
      <c r="S161" s="22">
        <f>IFERROR(IF($U161="",1,INDEX(Deals!$V$2:$V$355,MATCH($C161,Deals!$A$2:$A$355,0))),1)</f>
        <v/>
      </c>
      <c r="T161" s="22">
        <f>IFERROR(IF($U161="",1,INDEX(Deals!$W$2:$W$355,MATCH($C161,Deals!$A$2:$A$355,0))),1)</f>
        <v/>
      </c>
      <c r="U161" s="31">
        <f>IF($C161="","",IFERROR(IF(INDEX(Deals!$Y$2:$Y$355,MATCH($C161,Deals!$A$2:$A$355,0))=0,"",INDEX(Deals!$Y$2:$Y$355,MATCH($C161,Deals!$A$2:$A$355,0))),""))</f>
        <v/>
      </c>
      <c r="V161" s="24">
        <f>IF($U161="",DATE(1900,1,1),$N161)</f>
        <v/>
      </c>
      <c r="W161" s="24">
        <f>IF($U161="",DATE(2100,12,31),$U161)</f>
        <v/>
      </c>
      <c r="X161" s="20">
        <f>IF($U161="",$K161,$K161*$S161)</f>
        <v/>
      </c>
      <c r="Y161" s="24">
        <f>IF($U161="",DATE(2100,12,31),$U161+1)</f>
        <v/>
      </c>
      <c r="Z161" s="24">
        <f>IF($U161="",DATE(1900,1,1),$O161)</f>
        <v/>
      </c>
      <c r="AA161" s="20">
        <f>IF($U161="",0,$K161*$T161)</f>
        <v/>
      </c>
    </row>
    <row r="162">
      <c r="A162" s="15" t="inlineStr">
        <is>
          <t>Zack</t>
        </is>
      </c>
      <c r="B162" s="29">
        <f>IF($A162="","",IFERROR(INDEX(Roster!$B$2:$B$40,MATCH($A162,Roster!$A$2:$A$40,0)),"?"))</f>
        <v/>
      </c>
      <c r="C162" s="15" t="inlineStr">
        <is>
          <t>Wolverine_3</t>
        </is>
      </c>
      <c r="D162" s="29">
        <f>IF($C162="","",IFERROR(IF(INDEX(Deals!$C$2:$C$355,MATCH($C162,Deals!$A$2:$A$355,0))=0,"",INDEX(Deals!$C$2:$C$355,MATCH($C162,Deals!$A$2:$A$355,0))),"?"))</f>
        <v/>
      </c>
      <c r="E162" s="29">
        <f>IF($C162="","",IFERROR(INDEX(Deals!$F$2:$F$355,MATCH($C162,Deals!$A$2:$A$355,0)),"?"))</f>
        <v/>
      </c>
      <c r="F162" s="15" t="inlineStr">
        <is>
          <t>MD</t>
        </is>
      </c>
      <c r="G162" s="15" t="inlineStr">
        <is>
          <t>Active</t>
        </is>
      </c>
      <c r="H162" s="27" t="n"/>
      <c r="I162" s="20">
        <f>IF(OR($A162="",$G162&lt;&gt;"Active"),0,IF($H162&lt;&gt;"",$H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</f>
        <v/>
      </c>
      <c r="J162" s="23">
        <f>IF($C162="",0,IFERROR(INDEX(Deals!$H$2:$H$355,MATCH($C162,Deals!$A$2:$A$355,0)),0))</f>
        <v/>
      </c>
      <c r="K162" s="20">
        <f>IF(Settings!$B$4="Yes",$I162*$J162,$I162)</f>
        <v/>
      </c>
      <c r="L162" s="31">
        <f>IF($C162="","",IFERROR(IF(INDEX(Deals!$I$2:$I$355,MATCH($C162,Deals!$A$2:$A$355,0))=0,"",INDEX(Deals!$I$2:$I$355,MATCH($C162,Deals!$A$2:$A$355,0))),""))</f>
        <v/>
      </c>
      <c r="M162" s="31">
        <f>IF($C162="","",IFERROR(IF(INDEX(Deals!$J$2:$J$355,MATCH($C162,Deals!$A$2:$A$355,0))=0,"",INDEX(Deals!$J$2:$J$355,MATCH($C162,Deals!$A$2:$A$355,0))),""))</f>
        <v/>
      </c>
      <c r="N162" s="24">
        <f>IF($L162="",DATE(1900,1,1),$L162)</f>
        <v/>
      </c>
      <c r="O162" s="24">
        <f>IF($M162="",DATE(2100,12,31),$M162)</f>
        <v/>
      </c>
      <c r="P162" s="16" t="inlineStr"/>
      <c r="Q162" s="16" t="inlineStr"/>
      <c r="R162" s="29">
        <f>IF($C162="","",IFERROR(IF(INDEX(Deals!$U$2:$U$355,MATCH($C162,Deals!$A$2:$A$355,0))=0,"",INDEX(Deals!$U$2:$U$355,MATCH($C162,Deals!$A$2:$A$355,0))),""))</f>
        <v/>
      </c>
      <c r="S162" s="22">
        <f>IFERROR(IF($U162="",1,INDEX(Deals!$V$2:$V$355,MATCH($C162,Deals!$A$2:$A$355,0))),1)</f>
        <v/>
      </c>
      <c r="T162" s="22">
        <f>IFERROR(IF($U162="",1,INDEX(Deals!$W$2:$W$355,MATCH($C162,Deals!$A$2:$A$355,0))),1)</f>
        <v/>
      </c>
      <c r="U162" s="31">
        <f>IF($C162="","",IFERROR(IF(INDEX(Deals!$Y$2:$Y$355,MATCH($C162,Deals!$A$2:$A$355,0))=0,"",INDEX(Deals!$Y$2:$Y$355,MATCH($C162,Deals!$A$2:$A$355,0))),""))</f>
        <v/>
      </c>
      <c r="V162" s="24">
        <f>IF($U162="",DATE(1900,1,1),$N162)</f>
        <v/>
      </c>
      <c r="W162" s="24">
        <f>IF($U162="",DATE(2100,12,31),$U162)</f>
        <v/>
      </c>
      <c r="X162" s="20">
        <f>IF($U162="",$K162,$K162*$S162)</f>
        <v/>
      </c>
      <c r="Y162" s="24">
        <f>IF($U162="",DATE(2100,12,31),$U162+1)</f>
        <v/>
      </c>
      <c r="Z162" s="24">
        <f>IF($U162="",DATE(1900,1,1),$O162)</f>
        <v/>
      </c>
      <c r="AA162" s="20">
        <f>IF($U162="",0,$K162*$T162)</f>
        <v/>
      </c>
    </row>
    <row r="163">
      <c r="A163" s="15" t="inlineStr">
        <is>
          <t>Zack</t>
        </is>
      </c>
      <c r="B163" s="29">
        <f>IF($A163="","",IFERROR(INDEX(Roster!$B$2:$B$40,MATCH($A163,Roster!$A$2:$A$40,0)),"?"))</f>
        <v/>
      </c>
      <c r="C163" s="15" t="inlineStr">
        <is>
          <t>Zircon 2_1</t>
        </is>
      </c>
      <c r="D163" s="29">
        <f>IF($C163="","",IFERROR(IF(INDEX(Deals!$C$2:$C$355,MATCH($C163,Deals!$A$2:$A$355,0))=0,"",INDEX(Deals!$C$2:$C$355,MATCH($C163,Deals!$A$2:$A$355,0))),"?"))</f>
        <v/>
      </c>
      <c r="E163" s="29">
        <f>IF($C163="","",IFERROR(INDEX(Deals!$F$2:$F$355,MATCH($C163,Deals!$A$2:$A$355,0)),"?"))</f>
        <v/>
      </c>
      <c r="F163" s="15" t="inlineStr">
        <is>
          <t>MD</t>
        </is>
      </c>
      <c r="G163" s="15" t="inlineStr">
        <is>
          <t>Active</t>
        </is>
      </c>
      <c r="H163" s="27" t="n"/>
      <c r="I163" s="20">
        <f>IF(OR($A163="",$G163&lt;&gt;"Active"),0,IF($H163&lt;&gt;"",$H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</f>
        <v/>
      </c>
      <c r="J163" s="23">
        <f>IF($C163="",0,IFERROR(INDEX(Deals!$H$2:$H$355,MATCH($C163,Deals!$A$2:$A$355,0)),0))</f>
        <v/>
      </c>
      <c r="K163" s="20">
        <f>IF(Settings!$B$4="Yes",$I163*$J163,$I163)</f>
        <v/>
      </c>
      <c r="L163" s="31">
        <f>IF($C163="","",IFERROR(IF(INDEX(Deals!$I$2:$I$355,MATCH($C163,Deals!$A$2:$A$355,0))=0,"",INDEX(Deals!$I$2:$I$355,MATCH($C163,Deals!$A$2:$A$355,0))),""))</f>
        <v/>
      </c>
      <c r="M163" s="31">
        <f>IF($C163="","",IFERROR(IF(INDEX(Deals!$J$2:$J$355,MATCH($C163,Deals!$A$2:$A$355,0))=0,"",INDEX(Deals!$J$2:$J$355,MATCH($C163,Deals!$A$2:$A$355,0))),""))</f>
        <v/>
      </c>
      <c r="N163" s="24">
        <f>IF($L163="",DATE(1900,1,1),$L163)</f>
        <v/>
      </c>
      <c r="O163" s="24">
        <f>IF($M163="",DATE(2100,12,31),$M163)</f>
        <v/>
      </c>
      <c r="P163" s="16" t="inlineStr"/>
      <c r="Q163" s="16" t="inlineStr"/>
      <c r="R163" s="29">
        <f>IF($C163="","",IFERROR(IF(INDEX(Deals!$U$2:$U$355,MATCH($C163,Deals!$A$2:$A$355,0))=0,"",INDEX(Deals!$U$2:$U$355,MATCH($C163,Deals!$A$2:$A$355,0))),""))</f>
        <v/>
      </c>
      <c r="S163" s="22">
        <f>IFERROR(IF($U163="",1,INDEX(Deals!$V$2:$V$355,MATCH($C163,Deals!$A$2:$A$355,0))),1)</f>
        <v/>
      </c>
      <c r="T163" s="22">
        <f>IFERROR(IF($U163="",1,INDEX(Deals!$W$2:$W$355,MATCH($C163,Deals!$A$2:$A$355,0))),1)</f>
        <v/>
      </c>
      <c r="U163" s="31">
        <f>IF($C163="","",IFERROR(IF(INDEX(Deals!$Y$2:$Y$355,MATCH($C163,Deals!$A$2:$A$355,0))=0,"",INDEX(Deals!$Y$2:$Y$355,MATCH($C163,Deals!$A$2:$A$355,0))),""))</f>
        <v/>
      </c>
      <c r="V163" s="24">
        <f>IF($U163="",DATE(1900,1,1),$N163)</f>
        <v/>
      </c>
      <c r="W163" s="24">
        <f>IF($U163="",DATE(2100,12,31),$U163)</f>
        <v/>
      </c>
      <c r="X163" s="20">
        <f>IF($U163="",$K163,$K163*$S163)</f>
        <v/>
      </c>
      <c r="Y163" s="24">
        <f>IF($U163="",DATE(2100,12,31),$U163+1)</f>
        <v/>
      </c>
      <c r="Z163" s="24">
        <f>IF($U163="",DATE(1900,1,1),$O163)</f>
        <v/>
      </c>
      <c r="AA163" s="20">
        <f>IF($U163="",0,$K163*$T163)</f>
        <v/>
      </c>
    </row>
    <row r="164">
      <c r="A164" s="15" t="inlineStr">
        <is>
          <t>Ethan</t>
        </is>
      </c>
      <c r="B164" s="29">
        <f>IF($A164="","",IFERROR(INDEX(Roster!$B$2:$B$40,MATCH($A164,Roster!$A$2:$A$40,0)),"?"))</f>
        <v/>
      </c>
      <c r="C164" s="15" t="inlineStr">
        <is>
          <t>Bay_2</t>
        </is>
      </c>
      <c r="D164" s="29">
        <f>IF($C164="","",IFERROR(IF(INDEX(Deals!$C$2:$C$355,MATCH($C164,Deals!$A$2:$A$355,0))=0,"",INDEX(Deals!$C$2:$C$355,MATCH($C164,Deals!$A$2:$A$355,0))),"?"))</f>
        <v/>
      </c>
      <c r="E164" s="29">
        <f>IF($C164="","",IFERROR(INDEX(Deals!$F$2:$F$355,MATCH($C164,Deals!$A$2:$A$355,0)),"?"))</f>
        <v/>
      </c>
      <c r="F164" s="15" t="inlineStr">
        <is>
          <t>MD</t>
        </is>
      </c>
      <c r="G164" s="15" t="inlineStr">
        <is>
          <t>Active</t>
        </is>
      </c>
      <c r="H164" s="27" t="n"/>
      <c r="I164" s="20">
        <f>IF(OR($A164="",$G164&lt;&gt;"Active"),0,IF($H164&lt;&gt;"",$H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</f>
        <v/>
      </c>
      <c r="J164" s="23">
        <f>IF($C164="",0,IFERROR(INDEX(Deals!$H$2:$H$355,MATCH($C164,Deals!$A$2:$A$355,0)),0))</f>
        <v/>
      </c>
      <c r="K164" s="20">
        <f>IF(Settings!$B$4="Yes",$I164*$J164,$I164)</f>
        <v/>
      </c>
      <c r="L164" s="31">
        <f>IF($C164="","",IFERROR(IF(INDEX(Deals!$I$2:$I$355,MATCH($C164,Deals!$A$2:$A$355,0))=0,"",INDEX(Deals!$I$2:$I$355,MATCH($C164,Deals!$A$2:$A$355,0))),""))</f>
        <v/>
      </c>
      <c r="M164" s="31">
        <f>IF($C164="","",IFERROR(IF(INDEX(Deals!$J$2:$J$355,MATCH($C164,Deals!$A$2:$A$355,0))=0,"",INDEX(Deals!$J$2:$J$355,MATCH($C164,Deals!$A$2:$A$355,0))),""))</f>
        <v/>
      </c>
      <c r="N164" s="24">
        <f>IF($L164="",DATE(1900,1,1),$L164)</f>
        <v/>
      </c>
      <c r="O164" s="24">
        <f>IF($M164="",DATE(2100,12,31),$M164)</f>
        <v/>
      </c>
      <c r="P164" s="16" t="inlineStr"/>
      <c r="Q164" s="16" t="inlineStr"/>
      <c r="R164" s="29">
        <f>IF($C164="","",IFERROR(IF(INDEX(Deals!$U$2:$U$355,MATCH($C164,Deals!$A$2:$A$355,0))=0,"",INDEX(Deals!$U$2:$U$355,MATCH($C164,Deals!$A$2:$A$355,0))),""))</f>
        <v/>
      </c>
      <c r="S164" s="22">
        <f>IFERROR(IF($U164="",1,INDEX(Deals!$V$2:$V$355,MATCH($C164,Deals!$A$2:$A$355,0))),1)</f>
        <v/>
      </c>
      <c r="T164" s="22">
        <f>IFERROR(IF($U164="",1,INDEX(Deals!$W$2:$W$355,MATCH($C164,Deals!$A$2:$A$355,0))),1)</f>
        <v/>
      </c>
      <c r="U164" s="31">
        <f>IF($C164="","",IFERROR(IF(INDEX(Deals!$Y$2:$Y$355,MATCH($C164,Deals!$A$2:$A$355,0))=0,"",INDEX(Deals!$Y$2:$Y$355,MATCH($C164,Deals!$A$2:$A$355,0))),""))</f>
        <v/>
      </c>
      <c r="V164" s="24">
        <f>IF($U164="",DATE(1900,1,1),$N164)</f>
        <v/>
      </c>
      <c r="W164" s="24">
        <f>IF($U164="",DATE(2100,12,31),$U164)</f>
        <v/>
      </c>
      <c r="X164" s="20">
        <f>IF($U164="",$K164,$K164*$S164)</f>
        <v/>
      </c>
      <c r="Y164" s="24">
        <f>IF($U164="",DATE(2100,12,31),$U164+1)</f>
        <v/>
      </c>
      <c r="Z164" s="24">
        <f>IF($U164="",DATE(1900,1,1),$O164)</f>
        <v/>
      </c>
      <c r="AA164" s="20">
        <f>IF($U164="",0,$K164*$T164)</f>
        <v/>
      </c>
    </row>
    <row r="165">
      <c r="A165" s="15" t="inlineStr">
        <is>
          <t>Ethan</t>
        </is>
      </c>
      <c r="B165" s="29">
        <f>IF($A165="","",IFERROR(INDEX(Roster!$B$2:$B$40,MATCH($A165,Roster!$A$2:$A$40,0)),"?"))</f>
        <v/>
      </c>
      <c r="C165" s="15" t="inlineStr">
        <is>
          <t>Bernhard_3</t>
        </is>
      </c>
      <c r="D165" s="29">
        <f>IF($C165="","",IFERROR(IF(INDEX(Deals!$C$2:$C$355,MATCH($C165,Deals!$A$2:$A$355,0))=0,"",INDEX(Deals!$C$2:$C$355,MATCH($C165,Deals!$A$2:$A$355,0))),"?"))</f>
        <v/>
      </c>
      <c r="E165" s="29">
        <f>IF($C165="","",IFERROR(INDEX(Deals!$F$2:$F$355,MATCH($C165,Deals!$A$2:$A$355,0)),"?"))</f>
        <v/>
      </c>
      <c r="F165" s="15" t="inlineStr">
        <is>
          <t>MD</t>
        </is>
      </c>
      <c r="G165" s="15" t="inlineStr">
        <is>
          <t>Active</t>
        </is>
      </c>
      <c r="H165" s="27" t="n"/>
      <c r="I165" s="20">
        <f>IF(OR($A165="",$G165&lt;&gt;"Active"),0,IF($H165&lt;&gt;"",$H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</f>
        <v/>
      </c>
      <c r="J165" s="23">
        <f>IF($C165="",0,IFERROR(INDEX(Deals!$H$2:$H$355,MATCH($C165,Deals!$A$2:$A$355,0)),0))</f>
        <v/>
      </c>
      <c r="K165" s="20">
        <f>IF(Settings!$B$4="Yes",$I165*$J165,$I165)</f>
        <v/>
      </c>
      <c r="L165" s="31">
        <f>IF($C165="","",IFERROR(IF(INDEX(Deals!$I$2:$I$355,MATCH($C165,Deals!$A$2:$A$355,0))=0,"",INDEX(Deals!$I$2:$I$355,MATCH($C165,Deals!$A$2:$A$355,0))),""))</f>
        <v/>
      </c>
      <c r="M165" s="31">
        <f>IF($C165="","",IFERROR(IF(INDEX(Deals!$J$2:$J$355,MATCH($C165,Deals!$A$2:$A$355,0))=0,"",INDEX(Deals!$J$2:$J$355,MATCH($C165,Deals!$A$2:$A$355,0))),""))</f>
        <v/>
      </c>
      <c r="N165" s="24">
        <f>IF($L165="",DATE(1900,1,1),$L165)</f>
        <v/>
      </c>
      <c r="O165" s="24">
        <f>IF($M165="",DATE(2100,12,31),$M165)</f>
        <v/>
      </c>
      <c r="P165" s="16" t="inlineStr"/>
      <c r="Q165" s="16" t="inlineStr"/>
      <c r="R165" s="29">
        <f>IF($C165="","",IFERROR(IF(INDEX(Deals!$U$2:$U$355,MATCH($C165,Deals!$A$2:$A$355,0))=0,"",INDEX(Deals!$U$2:$U$355,MATCH($C165,Deals!$A$2:$A$355,0))),""))</f>
        <v/>
      </c>
      <c r="S165" s="22">
        <f>IFERROR(IF($U165="",1,INDEX(Deals!$V$2:$V$355,MATCH($C165,Deals!$A$2:$A$355,0))),1)</f>
        <v/>
      </c>
      <c r="T165" s="22">
        <f>IFERROR(IF($U165="",1,INDEX(Deals!$W$2:$W$355,MATCH($C165,Deals!$A$2:$A$355,0))),1)</f>
        <v/>
      </c>
      <c r="U165" s="31">
        <f>IF($C165="","",IFERROR(IF(INDEX(Deals!$Y$2:$Y$355,MATCH($C165,Deals!$A$2:$A$355,0))=0,"",INDEX(Deals!$Y$2:$Y$355,MATCH($C165,Deals!$A$2:$A$355,0))),""))</f>
        <v/>
      </c>
      <c r="V165" s="24">
        <f>IF($U165="",DATE(1900,1,1),$N165)</f>
        <v/>
      </c>
      <c r="W165" s="24">
        <f>IF($U165="",DATE(2100,12,31),$U165)</f>
        <v/>
      </c>
      <c r="X165" s="20">
        <f>IF($U165="",$K165,$K165*$S165)</f>
        <v/>
      </c>
      <c r="Y165" s="24">
        <f>IF($U165="",DATE(2100,12,31),$U165+1)</f>
        <v/>
      </c>
      <c r="Z165" s="24">
        <f>IF($U165="",DATE(1900,1,1),$O165)</f>
        <v/>
      </c>
      <c r="AA165" s="20">
        <f>IF($U165="",0,$K165*$T165)</f>
        <v/>
      </c>
    </row>
    <row r="166">
      <c r="A166" s="15" t="inlineStr">
        <is>
          <t>Ethan</t>
        </is>
      </c>
      <c r="B166" s="29">
        <f>IF($A166="","",IFERROR(INDEX(Roster!$B$2:$B$40,MATCH($A166,Roster!$A$2:$A$40,0)),"?"))</f>
        <v/>
      </c>
      <c r="C166" s="15" t="inlineStr">
        <is>
          <t>Bledsoe_1</t>
        </is>
      </c>
      <c r="D166" s="29">
        <f>IF($C166="","",IFERROR(IF(INDEX(Deals!$C$2:$C$355,MATCH($C166,Deals!$A$2:$A$355,0))=0,"",INDEX(Deals!$C$2:$C$355,MATCH($C166,Deals!$A$2:$A$355,0))),"?"))</f>
        <v/>
      </c>
      <c r="E166" s="29">
        <f>IF($C166="","",IFERROR(INDEX(Deals!$F$2:$F$355,MATCH($C166,Deals!$A$2:$A$355,0)),"?"))</f>
        <v/>
      </c>
      <c r="F166" s="15" t="inlineStr">
        <is>
          <t>MD</t>
        </is>
      </c>
      <c r="G166" s="15" t="inlineStr">
        <is>
          <t>Active</t>
        </is>
      </c>
      <c r="H166" s="27" t="n"/>
      <c r="I166" s="20">
        <f>IF(OR($A166="",$G166&lt;&gt;"Active"),0,IF($H166&lt;&gt;"",$H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</f>
        <v/>
      </c>
      <c r="J166" s="23">
        <f>IF($C166="",0,IFERROR(INDEX(Deals!$H$2:$H$355,MATCH($C166,Deals!$A$2:$A$355,0)),0))</f>
        <v/>
      </c>
      <c r="K166" s="20">
        <f>IF(Settings!$B$4="Yes",$I166*$J166,$I166)</f>
        <v/>
      </c>
      <c r="L166" s="31">
        <f>IF($C166="","",IFERROR(IF(INDEX(Deals!$I$2:$I$355,MATCH($C166,Deals!$A$2:$A$355,0))=0,"",INDEX(Deals!$I$2:$I$355,MATCH($C166,Deals!$A$2:$A$355,0))),""))</f>
        <v/>
      </c>
      <c r="M166" s="31">
        <f>IF($C166="","",IFERROR(IF(INDEX(Deals!$J$2:$J$355,MATCH($C166,Deals!$A$2:$A$355,0))=0,"",INDEX(Deals!$J$2:$J$355,MATCH($C166,Deals!$A$2:$A$355,0))),""))</f>
        <v/>
      </c>
      <c r="N166" s="24">
        <f>IF($L166="",DATE(1900,1,1),$L166)</f>
        <v/>
      </c>
      <c r="O166" s="24">
        <f>IF($M166="",DATE(2100,12,31),$M166)</f>
        <v/>
      </c>
      <c r="P166" s="16" t="inlineStr"/>
      <c r="Q166" s="16" t="inlineStr"/>
      <c r="R166" s="29">
        <f>IF($C166="","",IFERROR(IF(INDEX(Deals!$U$2:$U$355,MATCH($C166,Deals!$A$2:$A$355,0))=0,"",INDEX(Deals!$U$2:$U$355,MATCH($C166,Deals!$A$2:$A$355,0))),""))</f>
        <v/>
      </c>
      <c r="S166" s="22">
        <f>IFERROR(IF($U166="",1,INDEX(Deals!$V$2:$V$355,MATCH($C166,Deals!$A$2:$A$355,0))),1)</f>
        <v/>
      </c>
      <c r="T166" s="22">
        <f>IFERROR(IF($U166="",1,INDEX(Deals!$W$2:$W$355,MATCH($C166,Deals!$A$2:$A$355,0))),1)</f>
        <v/>
      </c>
      <c r="U166" s="31">
        <f>IF($C166="","",IFERROR(IF(INDEX(Deals!$Y$2:$Y$355,MATCH($C166,Deals!$A$2:$A$355,0))=0,"",INDEX(Deals!$Y$2:$Y$355,MATCH($C166,Deals!$A$2:$A$355,0))),""))</f>
        <v/>
      </c>
      <c r="V166" s="24">
        <f>IF($U166="",DATE(1900,1,1),$N166)</f>
        <v/>
      </c>
      <c r="W166" s="24">
        <f>IF($U166="",DATE(2100,12,31),$U166)</f>
        <v/>
      </c>
      <c r="X166" s="20">
        <f>IF($U166="",$K166,$K166*$S166)</f>
        <v/>
      </c>
      <c r="Y166" s="24">
        <f>IF($U166="",DATE(2100,12,31),$U166+1)</f>
        <v/>
      </c>
      <c r="Z166" s="24">
        <f>IF($U166="",DATE(1900,1,1),$O166)</f>
        <v/>
      </c>
      <c r="AA166" s="20">
        <f>IF($U166="",0,$K166*$T166)</f>
        <v/>
      </c>
    </row>
    <row r="167">
      <c r="A167" s="15" t="inlineStr">
        <is>
          <t>Ethan</t>
        </is>
      </c>
      <c r="B167" s="29">
        <f>IF($A167="","",IFERROR(INDEX(Roster!$B$2:$B$40,MATCH($A167,Roster!$A$2:$A$40,0)),"?"))</f>
        <v/>
      </c>
      <c r="C167" s="15" t="inlineStr">
        <is>
          <t>Broadway_1</t>
        </is>
      </c>
      <c r="D167" s="29">
        <f>IF($C167="","",IFERROR(IF(INDEX(Deals!$C$2:$C$355,MATCH($C167,Deals!$A$2:$A$355,0))=0,"",INDEX(Deals!$C$2:$C$355,MATCH($C167,Deals!$A$2:$A$355,0))),"?"))</f>
        <v/>
      </c>
      <c r="E167" s="29">
        <f>IF($C167="","",IFERROR(INDEX(Deals!$F$2:$F$355,MATCH($C167,Deals!$A$2:$A$355,0)),"?"))</f>
        <v/>
      </c>
      <c r="F167" s="15" t="inlineStr">
        <is>
          <t>MD</t>
        </is>
      </c>
      <c r="G167" s="15" t="inlineStr">
        <is>
          <t>Active</t>
        </is>
      </c>
      <c r="H167" s="27" t="n"/>
      <c r="I167" s="20">
        <f>IF(OR($A167="",$G167&lt;&gt;"Active"),0,IF($H167&lt;&gt;"",$H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</f>
        <v/>
      </c>
      <c r="J167" s="23">
        <f>IF($C167="",0,IFERROR(INDEX(Deals!$H$2:$H$355,MATCH($C167,Deals!$A$2:$A$355,0)),0))</f>
        <v/>
      </c>
      <c r="K167" s="20">
        <f>IF(Settings!$B$4="Yes",$I167*$J167,$I167)</f>
        <v/>
      </c>
      <c r="L167" s="31">
        <f>IF($C167="","",IFERROR(IF(INDEX(Deals!$I$2:$I$355,MATCH($C167,Deals!$A$2:$A$355,0))=0,"",INDEX(Deals!$I$2:$I$355,MATCH($C167,Deals!$A$2:$A$355,0))),""))</f>
        <v/>
      </c>
      <c r="M167" s="31">
        <f>IF($C167="","",IFERROR(IF(INDEX(Deals!$J$2:$J$355,MATCH($C167,Deals!$A$2:$A$355,0))=0,"",INDEX(Deals!$J$2:$J$355,MATCH($C167,Deals!$A$2:$A$355,0))),""))</f>
        <v/>
      </c>
      <c r="N167" s="24">
        <f>IF($L167="",DATE(1900,1,1),$L167)</f>
        <v/>
      </c>
      <c r="O167" s="24">
        <f>IF($M167="",DATE(2100,12,31),$M167)</f>
        <v/>
      </c>
      <c r="P167" s="16" t="inlineStr"/>
      <c r="Q167" s="16" t="inlineStr"/>
      <c r="R167" s="29">
        <f>IF($C167="","",IFERROR(IF(INDEX(Deals!$U$2:$U$355,MATCH($C167,Deals!$A$2:$A$355,0))=0,"",INDEX(Deals!$U$2:$U$355,MATCH($C167,Deals!$A$2:$A$355,0))),""))</f>
        <v/>
      </c>
      <c r="S167" s="22">
        <f>IFERROR(IF($U167="",1,INDEX(Deals!$V$2:$V$355,MATCH($C167,Deals!$A$2:$A$355,0))),1)</f>
        <v/>
      </c>
      <c r="T167" s="22">
        <f>IFERROR(IF($U167="",1,INDEX(Deals!$W$2:$W$355,MATCH($C167,Deals!$A$2:$A$355,0))),1)</f>
        <v/>
      </c>
      <c r="U167" s="31">
        <f>IF($C167="","",IFERROR(IF(INDEX(Deals!$Y$2:$Y$355,MATCH($C167,Deals!$A$2:$A$355,0))=0,"",INDEX(Deals!$Y$2:$Y$355,MATCH($C167,Deals!$A$2:$A$355,0))),""))</f>
        <v/>
      </c>
      <c r="V167" s="24">
        <f>IF($U167="",DATE(1900,1,1),$N167)</f>
        <v/>
      </c>
      <c r="W167" s="24">
        <f>IF($U167="",DATE(2100,12,31),$U167)</f>
        <v/>
      </c>
      <c r="X167" s="20">
        <f>IF($U167="",$K167,$K167*$S167)</f>
        <v/>
      </c>
      <c r="Y167" s="24">
        <f>IF($U167="",DATE(2100,12,31),$U167+1)</f>
        <v/>
      </c>
      <c r="Z167" s="24">
        <f>IF($U167="",DATE(1900,1,1),$O167)</f>
        <v/>
      </c>
      <c r="AA167" s="20">
        <f>IF($U167="",0,$K167*$T167)</f>
        <v/>
      </c>
    </row>
    <row r="168">
      <c r="A168" s="15" t="inlineStr">
        <is>
          <t>Ethan</t>
        </is>
      </c>
      <c r="B168" s="29">
        <f>IF($A168="","",IFERROR(INDEX(Roster!$B$2:$B$40,MATCH($A168,Roster!$A$2:$A$40,0)),"?"))</f>
        <v/>
      </c>
      <c r="C168" s="15" t="inlineStr">
        <is>
          <t>Camaro_1</t>
        </is>
      </c>
      <c r="D168" s="29">
        <f>IF($C168="","",IFERROR(IF(INDEX(Deals!$C$2:$C$355,MATCH($C168,Deals!$A$2:$A$355,0))=0,"",INDEX(Deals!$C$2:$C$355,MATCH($C168,Deals!$A$2:$A$355,0))),"?"))</f>
        <v/>
      </c>
      <c r="E168" s="29">
        <f>IF($C168="","",IFERROR(INDEX(Deals!$F$2:$F$355,MATCH($C168,Deals!$A$2:$A$355,0)),"?"))</f>
        <v/>
      </c>
      <c r="F168" s="15" t="inlineStr">
        <is>
          <t>MD</t>
        </is>
      </c>
      <c r="G168" s="15" t="inlineStr">
        <is>
          <t>Active</t>
        </is>
      </c>
      <c r="H168" s="27" t="n"/>
      <c r="I168" s="20">
        <f>IF(OR($A168="",$G168&lt;&gt;"Active"),0,IF($H168&lt;&gt;"",$H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</f>
        <v/>
      </c>
      <c r="J168" s="23">
        <f>IF($C168="",0,IFERROR(INDEX(Deals!$H$2:$H$355,MATCH($C168,Deals!$A$2:$A$355,0)),0))</f>
        <v/>
      </c>
      <c r="K168" s="20">
        <f>IF(Settings!$B$4="Yes",$I168*$J168,$I168)</f>
        <v/>
      </c>
      <c r="L168" s="31">
        <f>IF($C168="","",IFERROR(IF(INDEX(Deals!$I$2:$I$355,MATCH($C168,Deals!$A$2:$A$355,0))=0,"",INDEX(Deals!$I$2:$I$355,MATCH($C168,Deals!$A$2:$A$355,0))),""))</f>
        <v/>
      </c>
      <c r="M168" s="31">
        <f>IF($C168="","",IFERROR(IF(INDEX(Deals!$J$2:$J$355,MATCH($C168,Deals!$A$2:$A$355,0))=0,"",INDEX(Deals!$J$2:$J$355,MATCH($C168,Deals!$A$2:$A$355,0))),""))</f>
        <v/>
      </c>
      <c r="N168" s="24">
        <f>IF($L168="",DATE(1900,1,1),$L168)</f>
        <v/>
      </c>
      <c r="O168" s="24">
        <f>IF($M168="",DATE(2100,12,31),$M168)</f>
        <v/>
      </c>
      <c r="P168" s="16" t="inlineStr"/>
      <c r="Q168" s="16" t="inlineStr"/>
      <c r="R168" s="29">
        <f>IF($C168="","",IFERROR(IF(INDEX(Deals!$U$2:$U$355,MATCH($C168,Deals!$A$2:$A$355,0))=0,"",INDEX(Deals!$U$2:$U$355,MATCH($C168,Deals!$A$2:$A$355,0))),""))</f>
        <v/>
      </c>
      <c r="S168" s="22">
        <f>IFERROR(IF($U168="",1,INDEX(Deals!$V$2:$V$355,MATCH($C168,Deals!$A$2:$A$355,0))),1)</f>
        <v/>
      </c>
      <c r="T168" s="22">
        <f>IFERROR(IF($U168="",1,INDEX(Deals!$W$2:$W$355,MATCH($C168,Deals!$A$2:$A$355,0))),1)</f>
        <v/>
      </c>
      <c r="U168" s="31">
        <f>IF($C168="","",IFERROR(IF(INDEX(Deals!$Y$2:$Y$355,MATCH($C168,Deals!$A$2:$A$355,0))=0,"",INDEX(Deals!$Y$2:$Y$355,MATCH($C168,Deals!$A$2:$A$355,0))),""))</f>
        <v/>
      </c>
      <c r="V168" s="24">
        <f>IF($U168="",DATE(1900,1,1),$N168)</f>
        <v/>
      </c>
      <c r="W168" s="24">
        <f>IF($U168="",DATE(2100,12,31),$U168)</f>
        <v/>
      </c>
      <c r="X168" s="20">
        <f>IF($U168="",$K168,$K168*$S168)</f>
        <v/>
      </c>
      <c r="Y168" s="24">
        <f>IF($U168="",DATE(2100,12,31),$U168+1)</f>
        <v/>
      </c>
      <c r="Z168" s="24">
        <f>IF($U168="",DATE(1900,1,1),$O168)</f>
        <v/>
      </c>
      <c r="AA168" s="20">
        <f>IF($U168="",0,$K168*$T168)</f>
        <v/>
      </c>
    </row>
    <row r="169">
      <c r="A169" s="15" t="inlineStr">
        <is>
          <t>Ethan</t>
        </is>
      </c>
      <c r="B169" s="29">
        <f>IF($A169="","",IFERROR(INDEX(Roster!$B$2:$B$40,MATCH($A169,Roster!$A$2:$A$40,0)),"?"))</f>
        <v/>
      </c>
      <c r="C169" s="15" t="inlineStr">
        <is>
          <t>Coral II_1</t>
        </is>
      </c>
      <c r="D169" s="29">
        <f>IF($C169="","",IFERROR(IF(INDEX(Deals!$C$2:$C$355,MATCH($C169,Deals!$A$2:$A$355,0))=0,"",INDEX(Deals!$C$2:$C$355,MATCH($C169,Deals!$A$2:$A$355,0))),"?"))</f>
        <v/>
      </c>
      <c r="E169" s="29">
        <f>IF($C169="","",IFERROR(INDEX(Deals!$F$2:$F$355,MATCH($C169,Deals!$A$2:$A$355,0)),"?"))</f>
        <v/>
      </c>
      <c r="F169" s="15" t="inlineStr">
        <is>
          <t>MD</t>
        </is>
      </c>
      <c r="G169" s="15" t="inlineStr">
        <is>
          <t>Active</t>
        </is>
      </c>
      <c r="H169" s="27" t="n"/>
      <c r="I169" s="20">
        <f>IF(OR($A169="",$G169&lt;&gt;"Active"),0,IF($H169&lt;&gt;"",$H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</f>
        <v/>
      </c>
      <c r="J169" s="23">
        <f>IF($C169="",0,IFERROR(INDEX(Deals!$H$2:$H$355,MATCH($C169,Deals!$A$2:$A$355,0)),0))</f>
        <v/>
      </c>
      <c r="K169" s="20">
        <f>IF(Settings!$B$4="Yes",$I169*$J169,$I169)</f>
        <v/>
      </c>
      <c r="L169" s="31">
        <f>IF($C169="","",IFERROR(IF(INDEX(Deals!$I$2:$I$355,MATCH($C169,Deals!$A$2:$A$355,0))=0,"",INDEX(Deals!$I$2:$I$355,MATCH($C169,Deals!$A$2:$A$355,0))),""))</f>
        <v/>
      </c>
      <c r="M169" s="31">
        <f>IF($C169="","",IFERROR(IF(INDEX(Deals!$J$2:$J$355,MATCH($C169,Deals!$A$2:$A$355,0))=0,"",INDEX(Deals!$J$2:$J$355,MATCH($C169,Deals!$A$2:$A$355,0))),""))</f>
        <v/>
      </c>
      <c r="N169" s="24">
        <f>IF($L169="",DATE(1900,1,1),$L169)</f>
        <v/>
      </c>
      <c r="O169" s="24">
        <f>IF($M169="",DATE(2100,12,31),$M169)</f>
        <v/>
      </c>
      <c r="P169" s="16" t="inlineStr"/>
      <c r="Q169" s="16" t="inlineStr"/>
      <c r="R169" s="29">
        <f>IF($C169="","",IFERROR(IF(INDEX(Deals!$U$2:$U$355,MATCH($C169,Deals!$A$2:$A$355,0))=0,"",INDEX(Deals!$U$2:$U$355,MATCH($C169,Deals!$A$2:$A$355,0))),""))</f>
        <v/>
      </c>
      <c r="S169" s="22">
        <f>IFERROR(IF($U169="",1,INDEX(Deals!$V$2:$V$355,MATCH($C169,Deals!$A$2:$A$355,0))),1)</f>
        <v/>
      </c>
      <c r="T169" s="22">
        <f>IFERROR(IF($U169="",1,INDEX(Deals!$W$2:$W$355,MATCH($C169,Deals!$A$2:$A$355,0))),1)</f>
        <v/>
      </c>
      <c r="U169" s="31">
        <f>IF($C169="","",IFERROR(IF(INDEX(Deals!$Y$2:$Y$355,MATCH($C169,Deals!$A$2:$A$355,0))=0,"",INDEX(Deals!$Y$2:$Y$355,MATCH($C169,Deals!$A$2:$A$355,0))),""))</f>
        <v/>
      </c>
      <c r="V169" s="24">
        <f>IF($U169="",DATE(1900,1,1),$N169)</f>
        <v/>
      </c>
      <c r="W169" s="24">
        <f>IF($U169="",DATE(2100,12,31),$U169)</f>
        <v/>
      </c>
      <c r="X169" s="20">
        <f>IF($U169="",$K169,$K169*$S169)</f>
        <v/>
      </c>
      <c r="Y169" s="24">
        <f>IF($U169="",DATE(2100,12,31),$U169+1)</f>
        <v/>
      </c>
      <c r="Z169" s="24">
        <f>IF($U169="",DATE(1900,1,1),$O169)</f>
        <v/>
      </c>
      <c r="AA169" s="20">
        <f>IF($U169="",0,$K169*$T169)</f>
        <v/>
      </c>
    </row>
    <row r="170">
      <c r="A170" s="15" t="inlineStr">
        <is>
          <t>Ethan</t>
        </is>
      </c>
      <c r="B170" s="29">
        <f>IF($A170="","",IFERROR(INDEX(Roster!$B$2:$B$40,MATCH($A170,Roster!$A$2:$A$40,0)),"?"))</f>
        <v/>
      </c>
      <c r="C170" s="15" t="inlineStr">
        <is>
          <t>Dawn_1</t>
        </is>
      </c>
      <c r="D170" s="29">
        <f>IF($C170="","",IFERROR(IF(INDEX(Deals!$C$2:$C$355,MATCH($C170,Deals!$A$2:$A$355,0))=0,"",INDEX(Deals!$C$2:$C$355,MATCH($C170,Deals!$A$2:$A$355,0))),"?"))</f>
        <v/>
      </c>
      <c r="E170" s="29">
        <f>IF($C170="","",IFERROR(INDEX(Deals!$F$2:$F$355,MATCH($C170,Deals!$A$2:$A$355,0)),"?"))</f>
        <v/>
      </c>
      <c r="F170" s="15" t="inlineStr">
        <is>
          <t>MD</t>
        </is>
      </c>
      <c r="G170" s="15" t="inlineStr">
        <is>
          <t>Active</t>
        </is>
      </c>
      <c r="H170" s="27" t="n"/>
      <c r="I170" s="20">
        <f>IF(OR($A170="",$G170&lt;&gt;"Active"),0,IF($H170&lt;&gt;"",$H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</f>
        <v/>
      </c>
      <c r="J170" s="23">
        <f>IF($C170="",0,IFERROR(INDEX(Deals!$H$2:$H$355,MATCH($C170,Deals!$A$2:$A$355,0)),0))</f>
        <v/>
      </c>
      <c r="K170" s="20">
        <f>IF(Settings!$B$4="Yes",$I170*$J170,$I170)</f>
        <v/>
      </c>
      <c r="L170" s="31">
        <f>IF($C170="","",IFERROR(IF(INDEX(Deals!$I$2:$I$355,MATCH($C170,Deals!$A$2:$A$355,0))=0,"",INDEX(Deals!$I$2:$I$355,MATCH($C170,Deals!$A$2:$A$355,0))),""))</f>
        <v/>
      </c>
      <c r="M170" s="31">
        <f>IF($C170="","",IFERROR(IF(INDEX(Deals!$J$2:$J$355,MATCH($C170,Deals!$A$2:$A$355,0))=0,"",INDEX(Deals!$J$2:$J$355,MATCH($C170,Deals!$A$2:$A$355,0))),""))</f>
        <v/>
      </c>
      <c r="N170" s="24">
        <f>IF($L170="",DATE(1900,1,1),$L170)</f>
        <v/>
      </c>
      <c r="O170" s="24">
        <f>IF($M170="",DATE(2100,12,31),$M170)</f>
        <v/>
      </c>
      <c r="P170" s="16" t="inlineStr"/>
      <c r="Q170" s="16" t="inlineStr"/>
      <c r="R170" s="29">
        <f>IF($C170="","",IFERROR(IF(INDEX(Deals!$U$2:$U$355,MATCH($C170,Deals!$A$2:$A$355,0))=0,"",INDEX(Deals!$U$2:$U$355,MATCH($C170,Deals!$A$2:$A$355,0))),""))</f>
        <v/>
      </c>
      <c r="S170" s="22">
        <f>IFERROR(IF($U170="",1,INDEX(Deals!$V$2:$V$355,MATCH($C170,Deals!$A$2:$A$355,0))),1)</f>
        <v/>
      </c>
      <c r="T170" s="22">
        <f>IFERROR(IF($U170="",1,INDEX(Deals!$W$2:$W$355,MATCH($C170,Deals!$A$2:$A$355,0))),1)</f>
        <v/>
      </c>
      <c r="U170" s="31">
        <f>IF($C170="","",IFERROR(IF(INDEX(Deals!$Y$2:$Y$355,MATCH($C170,Deals!$A$2:$A$355,0))=0,"",INDEX(Deals!$Y$2:$Y$355,MATCH($C170,Deals!$A$2:$A$355,0))),""))</f>
        <v/>
      </c>
      <c r="V170" s="24">
        <f>IF($U170="",DATE(1900,1,1),$N170)</f>
        <v/>
      </c>
      <c r="W170" s="24">
        <f>IF($U170="",DATE(2100,12,31),$U170)</f>
        <v/>
      </c>
      <c r="X170" s="20">
        <f>IF($U170="",$K170,$K170*$S170)</f>
        <v/>
      </c>
      <c r="Y170" s="24">
        <f>IF($U170="",DATE(2100,12,31),$U170+1)</f>
        <v/>
      </c>
      <c r="Z170" s="24">
        <f>IF($U170="",DATE(1900,1,1),$O170)</f>
        <v/>
      </c>
      <c r="AA170" s="20">
        <f>IF($U170="",0,$K170*$T170)</f>
        <v/>
      </c>
    </row>
    <row r="171">
      <c r="A171" s="15" t="inlineStr">
        <is>
          <t>Ethan</t>
        </is>
      </c>
      <c r="B171" s="29">
        <f>IF($A171="","",IFERROR(INDEX(Roster!$B$2:$B$40,MATCH($A171,Roster!$A$2:$A$40,0)),"?"))</f>
        <v/>
      </c>
      <c r="C171" s="15" t="inlineStr">
        <is>
          <t>Dupont_1</t>
        </is>
      </c>
      <c r="D171" s="29">
        <f>IF($C171="","",IFERROR(IF(INDEX(Deals!$C$2:$C$355,MATCH($C171,Deals!$A$2:$A$355,0))=0,"",INDEX(Deals!$C$2:$C$355,MATCH($C171,Deals!$A$2:$A$355,0))),"?"))</f>
        <v/>
      </c>
      <c r="E171" s="29">
        <f>IF($C171="","",IFERROR(INDEX(Deals!$F$2:$F$355,MATCH($C171,Deals!$A$2:$A$355,0)),"?"))</f>
        <v/>
      </c>
      <c r="F171" s="15" t="inlineStr">
        <is>
          <t>MD</t>
        </is>
      </c>
      <c r="G171" s="15" t="inlineStr">
        <is>
          <t>Active</t>
        </is>
      </c>
      <c r="H171" s="27" t="n"/>
      <c r="I171" s="20">
        <f>IF(OR($A171="",$G171&lt;&gt;"Active"),0,IF($H171&lt;&gt;"",$H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</f>
        <v/>
      </c>
      <c r="J171" s="23">
        <f>IF($C171="",0,IFERROR(INDEX(Deals!$H$2:$H$355,MATCH($C171,Deals!$A$2:$A$355,0)),0))</f>
        <v/>
      </c>
      <c r="K171" s="20">
        <f>IF(Settings!$B$4="Yes",$I171*$J171,$I171)</f>
        <v/>
      </c>
      <c r="L171" s="31">
        <f>IF($C171="","",IFERROR(IF(INDEX(Deals!$I$2:$I$355,MATCH($C171,Deals!$A$2:$A$355,0))=0,"",INDEX(Deals!$I$2:$I$355,MATCH($C171,Deals!$A$2:$A$355,0))),""))</f>
        <v/>
      </c>
      <c r="M171" s="31">
        <f>IF($C171="","",IFERROR(IF(INDEX(Deals!$J$2:$J$355,MATCH($C171,Deals!$A$2:$A$355,0))=0,"",INDEX(Deals!$J$2:$J$355,MATCH($C171,Deals!$A$2:$A$355,0))),""))</f>
        <v/>
      </c>
      <c r="N171" s="24">
        <f>IF($L171="",DATE(1900,1,1),$L171)</f>
        <v/>
      </c>
      <c r="O171" s="24">
        <f>IF($M171="",DATE(2100,12,31),$M171)</f>
        <v/>
      </c>
      <c r="P171" s="16" t="inlineStr"/>
      <c r="Q171" s="16" t="inlineStr"/>
      <c r="R171" s="29">
        <f>IF($C171="","",IFERROR(IF(INDEX(Deals!$U$2:$U$355,MATCH($C171,Deals!$A$2:$A$355,0))=0,"",INDEX(Deals!$U$2:$U$355,MATCH($C171,Deals!$A$2:$A$355,0))),""))</f>
        <v/>
      </c>
      <c r="S171" s="22">
        <f>IFERROR(IF($U171="",1,INDEX(Deals!$V$2:$V$355,MATCH($C171,Deals!$A$2:$A$355,0))),1)</f>
        <v/>
      </c>
      <c r="T171" s="22">
        <f>IFERROR(IF($U171="",1,INDEX(Deals!$W$2:$W$355,MATCH($C171,Deals!$A$2:$A$355,0))),1)</f>
        <v/>
      </c>
      <c r="U171" s="31">
        <f>IF($C171="","",IFERROR(IF(INDEX(Deals!$Y$2:$Y$355,MATCH($C171,Deals!$A$2:$A$355,0))=0,"",INDEX(Deals!$Y$2:$Y$355,MATCH($C171,Deals!$A$2:$A$355,0))),""))</f>
        <v/>
      </c>
      <c r="V171" s="24">
        <f>IF($U171="",DATE(1900,1,1),$N171)</f>
        <v/>
      </c>
      <c r="W171" s="24">
        <f>IF($U171="",DATE(2100,12,31),$U171)</f>
        <v/>
      </c>
      <c r="X171" s="20">
        <f>IF($U171="",$K171,$K171*$S171)</f>
        <v/>
      </c>
      <c r="Y171" s="24">
        <f>IF($U171="",DATE(2100,12,31),$U171+1)</f>
        <v/>
      </c>
      <c r="Z171" s="24">
        <f>IF($U171="",DATE(1900,1,1),$O171)</f>
        <v/>
      </c>
      <c r="AA171" s="20">
        <f>IF($U171="",0,$K171*$T171)</f>
        <v/>
      </c>
    </row>
    <row r="172">
      <c r="A172" s="15" t="inlineStr">
        <is>
          <t>Ethan</t>
        </is>
      </c>
      <c r="B172" s="29">
        <f>IF($A172="","",IFERROR(INDEX(Roster!$B$2:$B$40,MATCH($A172,Roster!$A$2:$A$40,0)),"?"))</f>
        <v/>
      </c>
      <c r="C172" s="15" t="inlineStr">
        <is>
          <t>Gambit_1</t>
        </is>
      </c>
      <c r="D172" s="29">
        <f>IF($C172="","",IFERROR(IF(INDEX(Deals!$C$2:$C$355,MATCH($C172,Deals!$A$2:$A$355,0))=0,"",INDEX(Deals!$C$2:$C$355,MATCH($C172,Deals!$A$2:$A$355,0))),"?"))</f>
        <v/>
      </c>
      <c r="E172" s="29">
        <f>IF($C172="","",IFERROR(INDEX(Deals!$F$2:$F$355,MATCH($C172,Deals!$A$2:$A$355,0)),"?"))</f>
        <v/>
      </c>
      <c r="F172" s="15" t="inlineStr">
        <is>
          <t>MD</t>
        </is>
      </c>
      <c r="G172" s="15" t="inlineStr">
        <is>
          <t>Active</t>
        </is>
      </c>
      <c r="H172" s="27" t="n"/>
      <c r="I172" s="20">
        <f>IF(OR($A172="",$G172&lt;&gt;"Active"),0,IF($H172&lt;&gt;"",$H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</f>
        <v/>
      </c>
      <c r="J172" s="23">
        <f>IF($C172="",0,IFERROR(INDEX(Deals!$H$2:$H$355,MATCH($C172,Deals!$A$2:$A$355,0)),0))</f>
        <v/>
      </c>
      <c r="K172" s="20">
        <f>IF(Settings!$B$4="Yes",$I172*$J172,$I172)</f>
        <v/>
      </c>
      <c r="L172" s="31">
        <f>IF($C172="","",IFERROR(IF(INDEX(Deals!$I$2:$I$355,MATCH($C172,Deals!$A$2:$A$355,0))=0,"",INDEX(Deals!$I$2:$I$355,MATCH($C172,Deals!$A$2:$A$355,0))),""))</f>
        <v/>
      </c>
      <c r="M172" s="31">
        <f>IF($C172="","",IFERROR(IF(INDEX(Deals!$J$2:$J$355,MATCH($C172,Deals!$A$2:$A$355,0))=0,"",INDEX(Deals!$J$2:$J$355,MATCH($C172,Deals!$A$2:$A$355,0))),""))</f>
        <v/>
      </c>
      <c r="N172" s="24">
        <f>IF($L172="",DATE(1900,1,1),$L172)</f>
        <v/>
      </c>
      <c r="O172" s="24">
        <f>IF($M172="",DATE(2100,12,31),$M172)</f>
        <v/>
      </c>
      <c r="P172" s="16" t="inlineStr"/>
      <c r="Q172" s="16" t="inlineStr"/>
      <c r="R172" s="29">
        <f>IF($C172="","",IFERROR(IF(INDEX(Deals!$U$2:$U$355,MATCH($C172,Deals!$A$2:$A$355,0))=0,"",INDEX(Deals!$U$2:$U$355,MATCH($C172,Deals!$A$2:$A$355,0))),""))</f>
        <v/>
      </c>
      <c r="S172" s="22">
        <f>IFERROR(IF($U172="",1,INDEX(Deals!$V$2:$V$355,MATCH($C172,Deals!$A$2:$A$355,0))),1)</f>
        <v/>
      </c>
      <c r="T172" s="22">
        <f>IFERROR(IF($U172="",1,INDEX(Deals!$W$2:$W$355,MATCH($C172,Deals!$A$2:$A$355,0))),1)</f>
        <v/>
      </c>
      <c r="U172" s="31">
        <f>IF($C172="","",IFERROR(IF(INDEX(Deals!$Y$2:$Y$355,MATCH($C172,Deals!$A$2:$A$355,0))=0,"",INDEX(Deals!$Y$2:$Y$355,MATCH($C172,Deals!$A$2:$A$355,0))),""))</f>
        <v/>
      </c>
      <c r="V172" s="24">
        <f>IF($U172="",DATE(1900,1,1),$N172)</f>
        <v/>
      </c>
      <c r="W172" s="24">
        <f>IF($U172="",DATE(2100,12,31),$U172)</f>
        <v/>
      </c>
      <c r="X172" s="20">
        <f>IF($U172="",$K172,$K172*$S172)</f>
        <v/>
      </c>
      <c r="Y172" s="24">
        <f>IF($U172="",DATE(2100,12,31),$U172+1)</f>
        <v/>
      </c>
      <c r="Z172" s="24">
        <f>IF($U172="",DATE(1900,1,1),$O172)</f>
        <v/>
      </c>
      <c r="AA172" s="20">
        <f>IF($U172="",0,$K172*$T172)</f>
        <v/>
      </c>
    </row>
    <row r="173">
      <c r="A173" s="15" t="inlineStr">
        <is>
          <t>Ethan</t>
        </is>
      </c>
      <c r="B173" s="29">
        <f>IF($A173="","",IFERROR(INDEX(Roster!$B$2:$B$40,MATCH($A173,Roster!$A$2:$A$40,0)),"?"))</f>
        <v/>
      </c>
      <c r="C173" s="15" t="inlineStr">
        <is>
          <t>Geneseo_1</t>
        </is>
      </c>
      <c r="D173" s="29">
        <f>IF($C173="","",IFERROR(IF(INDEX(Deals!$C$2:$C$355,MATCH($C173,Deals!$A$2:$A$355,0))=0,"",INDEX(Deals!$C$2:$C$355,MATCH($C173,Deals!$A$2:$A$355,0))),"?"))</f>
        <v/>
      </c>
      <c r="E173" s="29">
        <f>IF($C173="","",IFERROR(INDEX(Deals!$F$2:$F$355,MATCH($C173,Deals!$A$2:$A$355,0)),"?"))</f>
        <v/>
      </c>
      <c r="F173" s="15" t="inlineStr">
        <is>
          <t>MD</t>
        </is>
      </c>
      <c r="G173" s="15" t="inlineStr">
        <is>
          <t>Active</t>
        </is>
      </c>
      <c r="H173" s="27" t="n"/>
      <c r="I173" s="20">
        <f>IF(OR($A173="",$G173&lt;&gt;"Active"),0,IF($H173&lt;&gt;"",$H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</f>
        <v/>
      </c>
      <c r="J173" s="23">
        <f>IF($C173="",0,IFERROR(INDEX(Deals!$H$2:$H$355,MATCH($C173,Deals!$A$2:$A$355,0)),0))</f>
        <v/>
      </c>
      <c r="K173" s="20">
        <f>IF(Settings!$B$4="Yes",$I173*$J173,$I173)</f>
        <v/>
      </c>
      <c r="L173" s="31">
        <f>IF($C173="","",IFERROR(IF(INDEX(Deals!$I$2:$I$355,MATCH($C173,Deals!$A$2:$A$355,0))=0,"",INDEX(Deals!$I$2:$I$355,MATCH($C173,Deals!$A$2:$A$355,0))),""))</f>
        <v/>
      </c>
      <c r="M173" s="31">
        <f>IF($C173="","",IFERROR(IF(INDEX(Deals!$J$2:$J$355,MATCH($C173,Deals!$A$2:$A$355,0))=0,"",INDEX(Deals!$J$2:$J$355,MATCH($C173,Deals!$A$2:$A$355,0))),""))</f>
        <v/>
      </c>
      <c r="N173" s="24">
        <f>IF($L173="",DATE(1900,1,1),$L173)</f>
        <v/>
      </c>
      <c r="O173" s="24">
        <f>IF($M173="",DATE(2100,12,31),$M173)</f>
        <v/>
      </c>
      <c r="P173" s="16" t="inlineStr"/>
      <c r="Q173" s="16" t="inlineStr"/>
      <c r="R173" s="29">
        <f>IF($C173="","",IFERROR(IF(INDEX(Deals!$U$2:$U$355,MATCH($C173,Deals!$A$2:$A$355,0))=0,"",INDEX(Deals!$U$2:$U$355,MATCH($C173,Deals!$A$2:$A$355,0))),""))</f>
        <v/>
      </c>
      <c r="S173" s="22">
        <f>IFERROR(IF($U173="",1,INDEX(Deals!$V$2:$V$355,MATCH($C173,Deals!$A$2:$A$355,0))),1)</f>
        <v/>
      </c>
      <c r="T173" s="22">
        <f>IFERROR(IF($U173="",1,INDEX(Deals!$W$2:$W$355,MATCH($C173,Deals!$A$2:$A$355,0))),1)</f>
        <v/>
      </c>
      <c r="U173" s="31">
        <f>IF($C173="","",IFERROR(IF(INDEX(Deals!$Y$2:$Y$355,MATCH($C173,Deals!$A$2:$A$355,0))=0,"",INDEX(Deals!$Y$2:$Y$355,MATCH($C173,Deals!$A$2:$A$355,0))),""))</f>
        <v/>
      </c>
      <c r="V173" s="24">
        <f>IF($U173="",DATE(1900,1,1),$N173)</f>
        <v/>
      </c>
      <c r="W173" s="24">
        <f>IF($U173="",DATE(2100,12,31),$U173)</f>
        <v/>
      </c>
      <c r="X173" s="20">
        <f>IF($U173="",$K173,$K173*$S173)</f>
        <v/>
      </c>
      <c r="Y173" s="24">
        <f>IF($U173="",DATE(2100,12,31),$U173+1)</f>
        <v/>
      </c>
      <c r="Z173" s="24">
        <f>IF($U173="",DATE(1900,1,1),$O173)</f>
        <v/>
      </c>
      <c r="AA173" s="20">
        <f>IF($U173="",0,$K173*$T173)</f>
        <v/>
      </c>
    </row>
    <row r="174">
      <c r="A174" s="15" t="inlineStr">
        <is>
          <t>Ethan</t>
        </is>
      </c>
      <c r="B174" s="29">
        <f>IF($A174="","",IFERROR(INDEX(Roster!$B$2:$B$40,MATCH($A174,Roster!$A$2:$A$40,0)),"?"))</f>
        <v/>
      </c>
      <c r="C174" s="15" t="inlineStr">
        <is>
          <t>Mash_1</t>
        </is>
      </c>
      <c r="D174" s="29">
        <f>IF($C174="","",IFERROR(IF(INDEX(Deals!$C$2:$C$355,MATCH($C174,Deals!$A$2:$A$355,0))=0,"",INDEX(Deals!$C$2:$C$355,MATCH($C174,Deals!$A$2:$A$355,0))),"?"))</f>
        <v/>
      </c>
      <c r="E174" s="29">
        <f>IF($C174="","",IFERROR(INDEX(Deals!$F$2:$F$355,MATCH($C174,Deals!$A$2:$A$355,0)),"?"))</f>
        <v/>
      </c>
      <c r="F174" s="15" t="inlineStr">
        <is>
          <t>MD</t>
        </is>
      </c>
      <c r="G174" s="15" t="inlineStr">
        <is>
          <t>Active</t>
        </is>
      </c>
      <c r="H174" s="27" t="n"/>
      <c r="I174" s="20">
        <f>IF(OR($A174="",$G174&lt;&gt;"Active"),0,IF($H174&lt;&gt;"",$H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</f>
        <v/>
      </c>
      <c r="J174" s="23">
        <f>IF($C174="",0,IFERROR(INDEX(Deals!$H$2:$H$355,MATCH($C174,Deals!$A$2:$A$355,0)),0))</f>
        <v/>
      </c>
      <c r="K174" s="20">
        <f>IF(Settings!$B$4="Yes",$I174*$J174,$I174)</f>
        <v/>
      </c>
      <c r="L174" s="31">
        <f>IF($C174="","",IFERROR(IF(INDEX(Deals!$I$2:$I$355,MATCH($C174,Deals!$A$2:$A$355,0))=0,"",INDEX(Deals!$I$2:$I$355,MATCH($C174,Deals!$A$2:$A$355,0))),""))</f>
        <v/>
      </c>
      <c r="M174" s="31">
        <f>IF($C174="","",IFERROR(IF(INDEX(Deals!$J$2:$J$355,MATCH($C174,Deals!$A$2:$A$355,0))=0,"",INDEX(Deals!$J$2:$J$355,MATCH($C174,Deals!$A$2:$A$355,0))),""))</f>
        <v/>
      </c>
      <c r="N174" s="24">
        <f>IF($L174="",DATE(1900,1,1),$L174)</f>
        <v/>
      </c>
      <c r="O174" s="24">
        <f>IF($M174="",DATE(2100,12,31),$M174)</f>
        <v/>
      </c>
      <c r="P174" s="16" t="inlineStr"/>
      <c r="Q174" s="16" t="inlineStr"/>
      <c r="R174" s="29">
        <f>IF($C174="","",IFERROR(IF(INDEX(Deals!$U$2:$U$355,MATCH($C174,Deals!$A$2:$A$355,0))=0,"",INDEX(Deals!$U$2:$U$355,MATCH($C174,Deals!$A$2:$A$355,0))),""))</f>
        <v/>
      </c>
      <c r="S174" s="22">
        <f>IFERROR(IF($U174="",1,INDEX(Deals!$V$2:$V$355,MATCH($C174,Deals!$A$2:$A$355,0))),1)</f>
        <v/>
      </c>
      <c r="T174" s="22">
        <f>IFERROR(IF($U174="",1,INDEX(Deals!$W$2:$W$355,MATCH($C174,Deals!$A$2:$A$355,0))),1)</f>
        <v/>
      </c>
      <c r="U174" s="31">
        <f>IF($C174="","",IFERROR(IF(INDEX(Deals!$Y$2:$Y$355,MATCH($C174,Deals!$A$2:$A$355,0))=0,"",INDEX(Deals!$Y$2:$Y$355,MATCH($C174,Deals!$A$2:$A$355,0))),""))</f>
        <v/>
      </c>
      <c r="V174" s="24">
        <f>IF($U174="",DATE(1900,1,1),$N174)</f>
        <v/>
      </c>
      <c r="W174" s="24">
        <f>IF($U174="",DATE(2100,12,31),$U174)</f>
        <v/>
      </c>
      <c r="X174" s="20">
        <f>IF($U174="",$K174,$K174*$S174)</f>
        <v/>
      </c>
      <c r="Y174" s="24">
        <f>IF($U174="",DATE(2100,12,31),$U174+1)</f>
        <v/>
      </c>
      <c r="Z174" s="24">
        <f>IF($U174="",DATE(1900,1,1),$O174)</f>
        <v/>
      </c>
      <c r="AA174" s="20">
        <f>IF($U174="",0,$K174*$T174)</f>
        <v/>
      </c>
    </row>
    <row r="175">
      <c r="A175" s="15" t="inlineStr">
        <is>
          <t>Ethan</t>
        </is>
      </c>
      <c r="B175" s="29">
        <f>IF($A175="","",IFERROR(INDEX(Roster!$B$2:$B$40,MATCH($A175,Roster!$A$2:$A$40,0)),"?"))</f>
        <v/>
      </c>
      <c r="C175" s="15" t="inlineStr">
        <is>
          <t>Pelican_1</t>
        </is>
      </c>
      <c r="D175" s="29">
        <f>IF($C175="","",IFERROR(IF(INDEX(Deals!$C$2:$C$355,MATCH($C175,Deals!$A$2:$A$355,0))=0,"",INDEX(Deals!$C$2:$C$355,MATCH($C175,Deals!$A$2:$A$355,0))),"?"))</f>
        <v/>
      </c>
      <c r="E175" s="29">
        <f>IF($C175="","",IFERROR(INDEX(Deals!$F$2:$F$355,MATCH($C175,Deals!$A$2:$A$355,0)),"?"))</f>
        <v/>
      </c>
      <c r="F175" s="15" t="inlineStr">
        <is>
          <t>MD</t>
        </is>
      </c>
      <c r="G175" s="15" t="inlineStr">
        <is>
          <t>Active</t>
        </is>
      </c>
      <c r="H175" s="27" t="n"/>
      <c r="I175" s="20">
        <f>IF(OR($A175="",$G175&lt;&gt;"Active"),0,IF($H175&lt;&gt;"",$H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</f>
        <v/>
      </c>
      <c r="J175" s="23">
        <f>IF($C175="",0,IFERROR(INDEX(Deals!$H$2:$H$355,MATCH($C175,Deals!$A$2:$A$355,0)),0))</f>
        <v/>
      </c>
      <c r="K175" s="20">
        <f>IF(Settings!$B$4="Yes",$I175*$J175,$I175)</f>
        <v/>
      </c>
      <c r="L175" s="31">
        <f>IF($C175="","",IFERROR(IF(INDEX(Deals!$I$2:$I$355,MATCH($C175,Deals!$A$2:$A$355,0))=0,"",INDEX(Deals!$I$2:$I$355,MATCH($C175,Deals!$A$2:$A$355,0))),""))</f>
        <v/>
      </c>
      <c r="M175" s="31">
        <f>IF($C175="","",IFERROR(IF(INDEX(Deals!$J$2:$J$355,MATCH($C175,Deals!$A$2:$A$355,0))=0,"",INDEX(Deals!$J$2:$J$355,MATCH($C175,Deals!$A$2:$A$355,0))),""))</f>
        <v/>
      </c>
      <c r="N175" s="24">
        <f>IF($L175="",DATE(1900,1,1),$L175)</f>
        <v/>
      </c>
      <c r="O175" s="24">
        <f>IF($M175="",DATE(2100,12,31),$M175)</f>
        <v/>
      </c>
      <c r="P175" s="16" t="inlineStr"/>
      <c r="Q175" s="16" t="inlineStr"/>
      <c r="R175" s="29">
        <f>IF($C175="","",IFERROR(IF(INDEX(Deals!$U$2:$U$355,MATCH($C175,Deals!$A$2:$A$355,0))=0,"",INDEX(Deals!$U$2:$U$355,MATCH($C175,Deals!$A$2:$A$355,0))),""))</f>
        <v/>
      </c>
      <c r="S175" s="22">
        <f>IFERROR(IF($U175="",1,INDEX(Deals!$V$2:$V$355,MATCH($C175,Deals!$A$2:$A$355,0))),1)</f>
        <v/>
      </c>
      <c r="T175" s="22">
        <f>IFERROR(IF($U175="",1,INDEX(Deals!$W$2:$W$355,MATCH($C175,Deals!$A$2:$A$355,0))),1)</f>
        <v/>
      </c>
      <c r="U175" s="31">
        <f>IF($C175="","",IFERROR(IF(INDEX(Deals!$Y$2:$Y$355,MATCH($C175,Deals!$A$2:$A$355,0))=0,"",INDEX(Deals!$Y$2:$Y$355,MATCH($C175,Deals!$A$2:$A$355,0))),""))</f>
        <v/>
      </c>
      <c r="V175" s="24">
        <f>IF($U175="",DATE(1900,1,1),$N175)</f>
        <v/>
      </c>
      <c r="W175" s="24">
        <f>IF($U175="",DATE(2100,12,31),$U175)</f>
        <v/>
      </c>
      <c r="X175" s="20">
        <f>IF($U175="",$K175,$K175*$S175)</f>
        <v/>
      </c>
      <c r="Y175" s="24">
        <f>IF($U175="",DATE(2100,12,31),$U175+1)</f>
        <v/>
      </c>
      <c r="Z175" s="24">
        <f>IF($U175="",DATE(1900,1,1),$O175)</f>
        <v/>
      </c>
      <c r="AA175" s="20">
        <f>IF($U175="",0,$K175*$T175)</f>
        <v/>
      </c>
    </row>
    <row r="176">
      <c r="A176" s="15" t="inlineStr">
        <is>
          <t>Ethan</t>
        </is>
      </c>
      <c r="B176" s="29">
        <f>IF($A176="","",IFERROR(INDEX(Roster!$B$2:$B$40,MATCH($A176,Roster!$A$2:$A$40,0)),"?"))</f>
        <v/>
      </c>
      <c r="C176" s="15" t="inlineStr">
        <is>
          <t>Pennsylvania_1</t>
        </is>
      </c>
      <c r="D176" s="29">
        <f>IF($C176="","",IFERROR(IF(INDEX(Deals!$C$2:$C$355,MATCH($C176,Deals!$A$2:$A$355,0))=0,"",INDEX(Deals!$C$2:$C$355,MATCH($C176,Deals!$A$2:$A$355,0))),"?"))</f>
        <v/>
      </c>
      <c r="E176" s="29">
        <f>IF($C176="","",IFERROR(INDEX(Deals!$F$2:$F$355,MATCH($C176,Deals!$A$2:$A$355,0)),"?"))</f>
        <v/>
      </c>
      <c r="F176" s="15" t="inlineStr">
        <is>
          <t>MD</t>
        </is>
      </c>
      <c r="G176" s="15" t="inlineStr">
        <is>
          <t>Active</t>
        </is>
      </c>
      <c r="H176" s="27" t="n"/>
      <c r="I176" s="20">
        <f>IF(OR($A176="",$G176&lt;&gt;"Active"),0,IF($H176&lt;&gt;"",$H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</f>
        <v/>
      </c>
      <c r="J176" s="23">
        <f>IF($C176="",0,IFERROR(INDEX(Deals!$H$2:$H$355,MATCH($C176,Deals!$A$2:$A$355,0)),0))</f>
        <v/>
      </c>
      <c r="K176" s="20">
        <f>IF(Settings!$B$4="Yes",$I176*$J176,$I176)</f>
        <v/>
      </c>
      <c r="L176" s="31">
        <f>IF($C176="","",IFERROR(IF(INDEX(Deals!$I$2:$I$355,MATCH($C176,Deals!$A$2:$A$355,0))=0,"",INDEX(Deals!$I$2:$I$355,MATCH($C176,Deals!$A$2:$A$355,0))),""))</f>
        <v/>
      </c>
      <c r="M176" s="31">
        <f>IF($C176="","",IFERROR(IF(INDEX(Deals!$J$2:$J$355,MATCH($C176,Deals!$A$2:$A$355,0))=0,"",INDEX(Deals!$J$2:$J$355,MATCH($C176,Deals!$A$2:$A$355,0))),""))</f>
        <v/>
      </c>
      <c r="N176" s="24">
        <f>IF($L176="",DATE(1900,1,1),$L176)</f>
        <v/>
      </c>
      <c r="O176" s="24">
        <f>IF($M176="",DATE(2100,12,31),$M176)</f>
        <v/>
      </c>
      <c r="P176" s="16" t="inlineStr"/>
      <c r="Q176" s="16" t="inlineStr"/>
      <c r="R176" s="29">
        <f>IF($C176="","",IFERROR(IF(INDEX(Deals!$U$2:$U$355,MATCH($C176,Deals!$A$2:$A$355,0))=0,"",INDEX(Deals!$U$2:$U$355,MATCH($C176,Deals!$A$2:$A$355,0))),""))</f>
        <v/>
      </c>
      <c r="S176" s="22">
        <f>IFERROR(IF($U176="",1,INDEX(Deals!$V$2:$V$355,MATCH($C176,Deals!$A$2:$A$355,0))),1)</f>
        <v/>
      </c>
      <c r="T176" s="22">
        <f>IFERROR(IF($U176="",1,INDEX(Deals!$W$2:$W$355,MATCH($C176,Deals!$A$2:$A$355,0))),1)</f>
        <v/>
      </c>
      <c r="U176" s="31">
        <f>IF($C176="","",IFERROR(IF(INDEX(Deals!$Y$2:$Y$355,MATCH($C176,Deals!$A$2:$A$355,0))=0,"",INDEX(Deals!$Y$2:$Y$355,MATCH($C176,Deals!$A$2:$A$355,0))),""))</f>
        <v/>
      </c>
      <c r="V176" s="24">
        <f>IF($U176="",DATE(1900,1,1),$N176)</f>
        <v/>
      </c>
      <c r="W176" s="24">
        <f>IF($U176="",DATE(2100,12,31),$U176)</f>
        <v/>
      </c>
      <c r="X176" s="20">
        <f>IF($U176="",$K176,$K176*$S176)</f>
        <v/>
      </c>
      <c r="Y176" s="24">
        <f>IF($U176="",DATE(2100,12,31),$U176+1)</f>
        <v/>
      </c>
      <c r="Z176" s="24">
        <f>IF($U176="",DATE(1900,1,1),$O176)</f>
        <v/>
      </c>
      <c r="AA176" s="20">
        <f>IF($U176="",0,$K176*$T176)</f>
        <v/>
      </c>
    </row>
    <row r="177">
      <c r="A177" s="15" t="inlineStr">
        <is>
          <t>Ethan</t>
        </is>
      </c>
      <c r="B177" s="29">
        <f>IF($A177="","",IFERROR(INDEX(Roster!$B$2:$B$40,MATCH($A177,Roster!$A$2:$A$40,0)),"?"))</f>
        <v/>
      </c>
      <c r="C177" s="15" t="inlineStr">
        <is>
          <t>Pisces 2_1</t>
        </is>
      </c>
      <c r="D177" s="29">
        <f>IF($C177="","",IFERROR(IF(INDEX(Deals!$C$2:$C$355,MATCH($C177,Deals!$A$2:$A$355,0))=0,"",INDEX(Deals!$C$2:$C$355,MATCH($C177,Deals!$A$2:$A$355,0))),"?"))</f>
        <v/>
      </c>
      <c r="E177" s="29">
        <f>IF($C177="","",IFERROR(INDEX(Deals!$F$2:$F$355,MATCH($C177,Deals!$A$2:$A$355,0)),"?"))</f>
        <v/>
      </c>
      <c r="F177" s="15" t="inlineStr">
        <is>
          <t>MD</t>
        </is>
      </c>
      <c r="G177" s="15" t="inlineStr">
        <is>
          <t>Active</t>
        </is>
      </c>
      <c r="H177" s="27" t="n"/>
      <c r="I177" s="20">
        <f>IF(OR($A177="",$G177&lt;&gt;"Active"),0,IF($H177&lt;&gt;"",$H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</f>
        <v/>
      </c>
      <c r="J177" s="23">
        <f>IF($C177="",0,IFERROR(INDEX(Deals!$H$2:$H$355,MATCH($C177,Deals!$A$2:$A$355,0)),0))</f>
        <v/>
      </c>
      <c r="K177" s="20">
        <f>IF(Settings!$B$4="Yes",$I177*$J177,$I177)</f>
        <v/>
      </c>
      <c r="L177" s="31">
        <f>IF($C177="","",IFERROR(IF(INDEX(Deals!$I$2:$I$355,MATCH($C177,Deals!$A$2:$A$355,0))=0,"",INDEX(Deals!$I$2:$I$355,MATCH($C177,Deals!$A$2:$A$355,0))),""))</f>
        <v/>
      </c>
      <c r="M177" s="31">
        <f>IF($C177="","",IFERROR(IF(INDEX(Deals!$J$2:$J$355,MATCH($C177,Deals!$A$2:$A$355,0))=0,"",INDEX(Deals!$J$2:$J$355,MATCH($C177,Deals!$A$2:$A$355,0))),""))</f>
        <v/>
      </c>
      <c r="N177" s="24">
        <f>IF($L177="",DATE(1900,1,1),$L177)</f>
        <v/>
      </c>
      <c r="O177" s="24">
        <f>IF($M177="",DATE(2100,12,31),$M177)</f>
        <v/>
      </c>
      <c r="P177" s="16" t="inlineStr"/>
      <c r="Q177" s="16" t="inlineStr"/>
      <c r="R177" s="29">
        <f>IF($C177="","",IFERROR(IF(INDEX(Deals!$U$2:$U$355,MATCH($C177,Deals!$A$2:$A$355,0))=0,"",INDEX(Deals!$U$2:$U$355,MATCH($C177,Deals!$A$2:$A$355,0))),""))</f>
        <v/>
      </c>
      <c r="S177" s="22">
        <f>IFERROR(IF($U177="",1,INDEX(Deals!$V$2:$V$355,MATCH($C177,Deals!$A$2:$A$355,0))),1)</f>
        <v/>
      </c>
      <c r="T177" s="22">
        <f>IFERROR(IF($U177="",1,INDEX(Deals!$W$2:$W$355,MATCH($C177,Deals!$A$2:$A$355,0))),1)</f>
        <v/>
      </c>
      <c r="U177" s="31">
        <f>IF($C177="","",IFERROR(IF(INDEX(Deals!$Y$2:$Y$355,MATCH($C177,Deals!$A$2:$A$355,0))=0,"",INDEX(Deals!$Y$2:$Y$355,MATCH($C177,Deals!$A$2:$A$355,0))),""))</f>
        <v/>
      </c>
      <c r="V177" s="24">
        <f>IF($U177="",DATE(1900,1,1),$N177)</f>
        <v/>
      </c>
      <c r="W177" s="24">
        <f>IF($U177="",DATE(2100,12,31),$U177)</f>
        <v/>
      </c>
      <c r="X177" s="20">
        <f>IF($U177="",$K177,$K177*$S177)</f>
        <v/>
      </c>
      <c r="Y177" s="24">
        <f>IF($U177="",DATE(2100,12,31),$U177+1)</f>
        <v/>
      </c>
      <c r="Z177" s="24">
        <f>IF($U177="",DATE(1900,1,1),$O177)</f>
        <v/>
      </c>
      <c r="AA177" s="20">
        <f>IF($U177="",0,$K177*$T177)</f>
        <v/>
      </c>
    </row>
    <row r="178">
      <c r="A178" s="15" t="inlineStr">
        <is>
          <t>Ethan</t>
        </is>
      </c>
      <c r="B178" s="29">
        <f>IF($A178="","",IFERROR(INDEX(Roster!$B$2:$B$40,MATCH($A178,Roster!$A$2:$A$40,0)),"?"))</f>
        <v/>
      </c>
      <c r="C178" s="15" t="inlineStr">
        <is>
          <t>Tennessee_1</t>
        </is>
      </c>
      <c r="D178" s="29">
        <f>IF($C178="","",IFERROR(IF(INDEX(Deals!$C$2:$C$355,MATCH($C178,Deals!$A$2:$A$355,0))=0,"",INDEX(Deals!$C$2:$C$355,MATCH($C178,Deals!$A$2:$A$355,0))),"?"))</f>
        <v/>
      </c>
      <c r="E178" s="29">
        <f>IF($C178="","",IFERROR(INDEX(Deals!$F$2:$F$355,MATCH($C178,Deals!$A$2:$A$355,0)),"?"))</f>
        <v/>
      </c>
      <c r="F178" s="15" t="inlineStr">
        <is>
          <t>MD</t>
        </is>
      </c>
      <c r="G178" s="15" t="inlineStr">
        <is>
          <t>Active</t>
        </is>
      </c>
      <c r="H178" s="27" t="n"/>
      <c r="I178" s="20">
        <f>IF(OR($A178="",$G178&lt;&gt;"Active"),0,IF($H178&lt;&gt;"",$H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</f>
        <v/>
      </c>
      <c r="J178" s="23">
        <f>IF($C178="",0,IFERROR(INDEX(Deals!$H$2:$H$355,MATCH($C178,Deals!$A$2:$A$355,0)),0))</f>
        <v/>
      </c>
      <c r="K178" s="20">
        <f>IF(Settings!$B$4="Yes",$I178*$J178,$I178)</f>
        <v/>
      </c>
      <c r="L178" s="31">
        <f>IF($C178="","",IFERROR(IF(INDEX(Deals!$I$2:$I$355,MATCH($C178,Deals!$A$2:$A$355,0))=0,"",INDEX(Deals!$I$2:$I$355,MATCH($C178,Deals!$A$2:$A$355,0))),""))</f>
        <v/>
      </c>
      <c r="M178" s="31">
        <f>IF($C178="","",IFERROR(IF(INDEX(Deals!$J$2:$J$355,MATCH($C178,Deals!$A$2:$A$355,0))=0,"",INDEX(Deals!$J$2:$J$355,MATCH($C178,Deals!$A$2:$A$355,0))),""))</f>
        <v/>
      </c>
      <c r="N178" s="24">
        <f>IF($L178="",DATE(1900,1,1),$L178)</f>
        <v/>
      </c>
      <c r="O178" s="24">
        <f>IF($M178="",DATE(2100,12,31),$M178)</f>
        <v/>
      </c>
      <c r="P178" s="16" t="inlineStr"/>
      <c r="Q178" s="16" t="inlineStr"/>
      <c r="R178" s="29">
        <f>IF($C178="","",IFERROR(IF(INDEX(Deals!$U$2:$U$355,MATCH($C178,Deals!$A$2:$A$355,0))=0,"",INDEX(Deals!$U$2:$U$355,MATCH($C178,Deals!$A$2:$A$355,0))),""))</f>
        <v/>
      </c>
      <c r="S178" s="22">
        <f>IFERROR(IF($U178="",1,INDEX(Deals!$V$2:$V$355,MATCH($C178,Deals!$A$2:$A$355,0))),1)</f>
        <v/>
      </c>
      <c r="T178" s="22">
        <f>IFERROR(IF($U178="",1,INDEX(Deals!$W$2:$W$355,MATCH($C178,Deals!$A$2:$A$355,0))),1)</f>
        <v/>
      </c>
      <c r="U178" s="31">
        <f>IF($C178="","",IFERROR(IF(INDEX(Deals!$Y$2:$Y$355,MATCH($C178,Deals!$A$2:$A$355,0))=0,"",INDEX(Deals!$Y$2:$Y$355,MATCH($C178,Deals!$A$2:$A$355,0))),""))</f>
        <v/>
      </c>
      <c r="V178" s="24">
        <f>IF($U178="",DATE(1900,1,1),$N178)</f>
        <v/>
      </c>
      <c r="W178" s="24">
        <f>IF($U178="",DATE(2100,12,31),$U178)</f>
        <v/>
      </c>
      <c r="X178" s="20">
        <f>IF($U178="",$K178,$K178*$S178)</f>
        <v/>
      </c>
      <c r="Y178" s="24">
        <f>IF($U178="",DATE(2100,12,31),$U178+1)</f>
        <v/>
      </c>
      <c r="Z178" s="24">
        <f>IF($U178="",DATE(1900,1,1),$O178)</f>
        <v/>
      </c>
      <c r="AA178" s="20">
        <f>IF($U178="",0,$K178*$T178)</f>
        <v/>
      </c>
    </row>
    <row r="179">
      <c r="A179" s="15" t="inlineStr">
        <is>
          <t>Ethan</t>
        </is>
      </c>
      <c r="B179" s="29">
        <f>IF($A179="","",IFERROR(INDEX(Roster!$B$2:$B$40,MATCH($A179,Roster!$A$2:$A$40,0)),"?"))</f>
        <v/>
      </c>
      <c r="C179" s="15" t="inlineStr">
        <is>
          <t>ValorC3_1</t>
        </is>
      </c>
      <c r="D179" s="29">
        <f>IF($C179="","",IFERROR(IF(INDEX(Deals!$C$2:$C$355,MATCH($C179,Deals!$A$2:$A$355,0))=0,"",INDEX(Deals!$C$2:$C$355,MATCH($C179,Deals!$A$2:$A$355,0))),"?"))</f>
        <v/>
      </c>
      <c r="E179" s="29">
        <f>IF($C179="","",IFERROR(INDEX(Deals!$F$2:$F$355,MATCH($C179,Deals!$A$2:$A$355,0)),"?"))</f>
        <v/>
      </c>
      <c r="F179" s="15" t="inlineStr">
        <is>
          <t>MD</t>
        </is>
      </c>
      <c r="G179" s="15" t="inlineStr">
        <is>
          <t>Active</t>
        </is>
      </c>
      <c r="H179" s="27" t="n"/>
      <c r="I179" s="20">
        <f>IF(OR($A179="",$G179&lt;&gt;"Active"),0,IF($H179&lt;&gt;"",$H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</f>
        <v/>
      </c>
      <c r="J179" s="23">
        <f>IF($C179="",0,IFERROR(INDEX(Deals!$H$2:$H$355,MATCH($C179,Deals!$A$2:$A$355,0)),0))</f>
        <v/>
      </c>
      <c r="K179" s="20">
        <f>IF(Settings!$B$4="Yes",$I179*$J179,$I179)</f>
        <v/>
      </c>
      <c r="L179" s="31">
        <f>IF($C179="","",IFERROR(IF(INDEX(Deals!$I$2:$I$355,MATCH($C179,Deals!$A$2:$A$355,0))=0,"",INDEX(Deals!$I$2:$I$355,MATCH($C179,Deals!$A$2:$A$355,0))),""))</f>
        <v/>
      </c>
      <c r="M179" s="31">
        <f>IF($C179="","",IFERROR(IF(INDEX(Deals!$J$2:$J$355,MATCH($C179,Deals!$A$2:$A$355,0))=0,"",INDEX(Deals!$J$2:$J$355,MATCH($C179,Deals!$A$2:$A$355,0))),""))</f>
        <v/>
      </c>
      <c r="N179" s="24">
        <f>IF($L179="",DATE(1900,1,1),$L179)</f>
        <v/>
      </c>
      <c r="O179" s="24">
        <f>IF($M179="",DATE(2100,12,31),$M179)</f>
        <v/>
      </c>
      <c r="P179" s="16" t="inlineStr"/>
      <c r="Q179" s="16" t="inlineStr"/>
      <c r="R179" s="29">
        <f>IF($C179="","",IFERROR(IF(INDEX(Deals!$U$2:$U$355,MATCH($C179,Deals!$A$2:$A$355,0))=0,"",INDEX(Deals!$U$2:$U$355,MATCH($C179,Deals!$A$2:$A$355,0))),""))</f>
        <v/>
      </c>
      <c r="S179" s="22">
        <f>IFERROR(IF($U179="",1,INDEX(Deals!$V$2:$V$355,MATCH($C179,Deals!$A$2:$A$355,0))),1)</f>
        <v/>
      </c>
      <c r="T179" s="22">
        <f>IFERROR(IF($U179="",1,INDEX(Deals!$W$2:$W$355,MATCH($C179,Deals!$A$2:$A$355,0))),1)</f>
        <v/>
      </c>
      <c r="U179" s="31">
        <f>IF($C179="","",IFERROR(IF(INDEX(Deals!$Y$2:$Y$355,MATCH($C179,Deals!$A$2:$A$355,0))=0,"",INDEX(Deals!$Y$2:$Y$355,MATCH($C179,Deals!$A$2:$A$355,0))),""))</f>
        <v/>
      </c>
      <c r="V179" s="24">
        <f>IF($U179="",DATE(1900,1,1),$N179)</f>
        <v/>
      </c>
      <c r="W179" s="24">
        <f>IF($U179="",DATE(2100,12,31),$U179)</f>
        <v/>
      </c>
      <c r="X179" s="20">
        <f>IF($U179="",$K179,$K179*$S179)</f>
        <v/>
      </c>
      <c r="Y179" s="24">
        <f>IF($U179="",DATE(2100,12,31),$U179+1)</f>
        <v/>
      </c>
      <c r="Z179" s="24">
        <f>IF($U179="",DATE(1900,1,1),$O179)</f>
        <v/>
      </c>
      <c r="AA179" s="20">
        <f>IF($U179="",0,$K179*$T179)</f>
        <v/>
      </c>
    </row>
    <row r="180">
      <c r="A180" s="15" t="inlineStr">
        <is>
          <t>Jeremy</t>
        </is>
      </c>
      <c r="B180" s="29">
        <f>IF($A180="","",IFERROR(INDEX(Roster!$B$2:$B$40,MATCH($A180,Roster!$A$2:$A$40,0)),"?"))</f>
        <v/>
      </c>
      <c r="C180" s="15" t="inlineStr">
        <is>
          <t>Blue_8</t>
        </is>
      </c>
      <c r="D180" s="29">
        <f>IF($C180="","",IFERROR(IF(INDEX(Deals!$C$2:$C$355,MATCH($C180,Deals!$A$2:$A$355,0))=0,"",INDEX(Deals!$C$2:$C$355,MATCH($C180,Deals!$A$2:$A$355,0))),"?"))</f>
        <v/>
      </c>
      <c r="E180" s="29">
        <f>IF($C180="","",IFERROR(INDEX(Deals!$F$2:$F$355,MATCH($C180,Deals!$A$2:$A$355,0)),"?"))</f>
        <v/>
      </c>
      <c r="F180" s="15" t="inlineStr">
        <is>
          <t>MD</t>
        </is>
      </c>
      <c r="G180" s="15" t="inlineStr">
        <is>
          <t>Active</t>
        </is>
      </c>
      <c r="H180" s="27" t="n"/>
      <c r="I180" s="20">
        <f>IF(OR($A180="",$G180&lt;&gt;"Active"),0,IF($H180&lt;&gt;"",$H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</f>
        <v/>
      </c>
      <c r="J180" s="23">
        <f>IF($C180="",0,IFERROR(INDEX(Deals!$H$2:$H$355,MATCH($C180,Deals!$A$2:$A$355,0)),0))</f>
        <v/>
      </c>
      <c r="K180" s="20">
        <f>IF(Settings!$B$4="Yes",$I180*$J180,$I180)</f>
        <v/>
      </c>
      <c r="L180" s="31">
        <f>IF($C180="","",IFERROR(IF(INDEX(Deals!$I$2:$I$355,MATCH($C180,Deals!$A$2:$A$355,0))=0,"",INDEX(Deals!$I$2:$I$355,MATCH($C180,Deals!$A$2:$A$355,0))),""))</f>
        <v/>
      </c>
      <c r="M180" s="31">
        <f>IF($C180="","",IFERROR(IF(INDEX(Deals!$J$2:$J$355,MATCH($C180,Deals!$A$2:$A$355,0))=0,"",INDEX(Deals!$J$2:$J$355,MATCH($C180,Deals!$A$2:$A$355,0))),""))</f>
        <v/>
      </c>
      <c r="N180" s="24">
        <f>IF($L180="",DATE(1900,1,1),$L180)</f>
        <v/>
      </c>
      <c r="O180" s="24">
        <f>IF($M180="",DATE(2100,12,31),$M180)</f>
        <v/>
      </c>
      <c r="P180" s="16" t="inlineStr"/>
      <c r="Q180" s="16" t="inlineStr"/>
      <c r="R180" s="29">
        <f>IF($C180="","",IFERROR(IF(INDEX(Deals!$U$2:$U$355,MATCH($C180,Deals!$A$2:$A$355,0))=0,"",INDEX(Deals!$U$2:$U$355,MATCH($C180,Deals!$A$2:$A$355,0))),""))</f>
        <v/>
      </c>
      <c r="S180" s="22">
        <f>IFERROR(IF($U180="",1,INDEX(Deals!$V$2:$V$355,MATCH($C180,Deals!$A$2:$A$355,0))),1)</f>
        <v/>
      </c>
      <c r="T180" s="22">
        <f>IFERROR(IF($U180="",1,INDEX(Deals!$W$2:$W$355,MATCH($C180,Deals!$A$2:$A$355,0))),1)</f>
        <v/>
      </c>
      <c r="U180" s="31">
        <f>IF($C180="","",IFERROR(IF(INDEX(Deals!$Y$2:$Y$355,MATCH($C180,Deals!$A$2:$A$355,0))=0,"",INDEX(Deals!$Y$2:$Y$355,MATCH($C180,Deals!$A$2:$A$355,0))),""))</f>
        <v/>
      </c>
      <c r="V180" s="24">
        <f>IF($U180="",DATE(1900,1,1),$N180)</f>
        <v/>
      </c>
      <c r="W180" s="24">
        <f>IF($U180="",DATE(2100,12,31),$U180)</f>
        <v/>
      </c>
      <c r="X180" s="20">
        <f>IF($U180="",$K180,$K180*$S180)</f>
        <v/>
      </c>
      <c r="Y180" s="24">
        <f>IF($U180="",DATE(2100,12,31),$U180+1)</f>
        <v/>
      </c>
      <c r="Z180" s="24">
        <f>IF($U180="",DATE(1900,1,1),$O180)</f>
        <v/>
      </c>
      <c r="AA180" s="20">
        <f>IF($U180="",0,$K180*$T180)</f>
        <v/>
      </c>
    </row>
    <row r="181">
      <c r="A181" s="15" t="inlineStr">
        <is>
          <t>Jeremy</t>
        </is>
      </c>
      <c r="B181" s="29">
        <f>IF($A181="","",IFERROR(INDEX(Roster!$B$2:$B$40,MATCH($A181,Roster!$A$2:$A$40,0)),"?"))</f>
        <v/>
      </c>
      <c r="C181" s="15" t="inlineStr">
        <is>
          <t>Cohost_1</t>
        </is>
      </c>
      <c r="D181" s="29">
        <f>IF($C181="","",IFERROR(IF(INDEX(Deals!$C$2:$C$355,MATCH($C181,Deals!$A$2:$A$355,0))=0,"",INDEX(Deals!$C$2:$C$355,MATCH($C181,Deals!$A$2:$A$355,0))),"?"))</f>
        <v/>
      </c>
      <c r="E181" s="29">
        <f>IF($C181="","",IFERROR(INDEX(Deals!$F$2:$F$355,MATCH($C181,Deals!$A$2:$A$355,0)),"?"))</f>
        <v/>
      </c>
      <c r="F181" s="15" t="inlineStr">
        <is>
          <t>MD</t>
        </is>
      </c>
      <c r="G181" s="15" t="inlineStr">
        <is>
          <t>Active</t>
        </is>
      </c>
      <c r="H181" s="27" t="n"/>
      <c r="I181" s="20">
        <f>IF(OR($A181="",$G181&lt;&gt;"Active"),0,IF($H181&lt;&gt;"",$H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</f>
        <v/>
      </c>
      <c r="J181" s="23">
        <f>IF($C181="",0,IFERROR(INDEX(Deals!$H$2:$H$355,MATCH($C181,Deals!$A$2:$A$355,0)),0))</f>
        <v/>
      </c>
      <c r="K181" s="20">
        <f>IF(Settings!$B$4="Yes",$I181*$J181,$I181)</f>
        <v/>
      </c>
      <c r="L181" s="31">
        <f>IF($C181="","",IFERROR(IF(INDEX(Deals!$I$2:$I$355,MATCH($C181,Deals!$A$2:$A$355,0))=0,"",INDEX(Deals!$I$2:$I$355,MATCH($C181,Deals!$A$2:$A$355,0))),""))</f>
        <v/>
      </c>
      <c r="M181" s="31">
        <f>IF($C181="","",IFERROR(IF(INDEX(Deals!$J$2:$J$355,MATCH($C181,Deals!$A$2:$A$355,0))=0,"",INDEX(Deals!$J$2:$J$355,MATCH($C181,Deals!$A$2:$A$355,0))),""))</f>
        <v/>
      </c>
      <c r="N181" s="24">
        <f>IF($L181="",DATE(1900,1,1),$L181)</f>
        <v/>
      </c>
      <c r="O181" s="24">
        <f>IF($M181="",DATE(2100,12,31),$M181)</f>
        <v/>
      </c>
      <c r="P181" s="16" t="inlineStr"/>
      <c r="Q181" s="16" t="inlineStr"/>
      <c r="R181" s="29">
        <f>IF($C181="","",IFERROR(IF(INDEX(Deals!$U$2:$U$355,MATCH($C181,Deals!$A$2:$A$355,0))=0,"",INDEX(Deals!$U$2:$U$355,MATCH($C181,Deals!$A$2:$A$355,0))),""))</f>
        <v/>
      </c>
      <c r="S181" s="22">
        <f>IFERROR(IF($U181="",1,INDEX(Deals!$V$2:$V$355,MATCH($C181,Deals!$A$2:$A$355,0))),1)</f>
        <v/>
      </c>
      <c r="T181" s="22">
        <f>IFERROR(IF($U181="",1,INDEX(Deals!$W$2:$W$355,MATCH($C181,Deals!$A$2:$A$355,0))),1)</f>
        <v/>
      </c>
      <c r="U181" s="31">
        <f>IF($C181="","",IFERROR(IF(INDEX(Deals!$Y$2:$Y$355,MATCH($C181,Deals!$A$2:$A$355,0))=0,"",INDEX(Deals!$Y$2:$Y$355,MATCH($C181,Deals!$A$2:$A$355,0))),""))</f>
        <v/>
      </c>
      <c r="V181" s="24">
        <f>IF($U181="",DATE(1900,1,1),$N181)</f>
        <v/>
      </c>
      <c r="W181" s="24">
        <f>IF($U181="",DATE(2100,12,31),$U181)</f>
        <v/>
      </c>
      <c r="X181" s="20">
        <f>IF($U181="",$K181,$K181*$S181)</f>
        <v/>
      </c>
      <c r="Y181" s="24">
        <f>IF($U181="",DATE(2100,12,31),$U181+1)</f>
        <v/>
      </c>
      <c r="Z181" s="24">
        <f>IF($U181="",DATE(1900,1,1),$O181)</f>
        <v/>
      </c>
      <c r="AA181" s="20">
        <f>IF($U181="",0,$K181*$T181)</f>
        <v/>
      </c>
    </row>
    <row r="182">
      <c r="A182" s="15" t="inlineStr">
        <is>
          <t>Jeremy</t>
        </is>
      </c>
      <c r="B182" s="29">
        <f>IF($A182="","",IFERROR(INDEX(Roster!$B$2:$B$40,MATCH($A182,Roster!$A$2:$A$40,0)),"?"))</f>
        <v/>
      </c>
      <c r="C182" s="15" t="inlineStr">
        <is>
          <t>Concrete_1</t>
        </is>
      </c>
      <c r="D182" s="29">
        <f>IF($C182="","",IFERROR(IF(INDEX(Deals!$C$2:$C$355,MATCH($C182,Deals!$A$2:$A$355,0))=0,"",INDEX(Deals!$C$2:$C$355,MATCH($C182,Deals!$A$2:$A$355,0))),"?"))</f>
        <v/>
      </c>
      <c r="E182" s="29">
        <f>IF($C182="","",IFERROR(INDEX(Deals!$F$2:$F$355,MATCH($C182,Deals!$A$2:$A$355,0)),"?"))</f>
        <v/>
      </c>
      <c r="F182" s="15" t="inlineStr">
        <is>
          <t>MD</t>
        </is>
      </c>
      <c r="G182" s="15" t="inlineStr">
        <is>
          <t>Active</t>
        </is>
      </c>
      <c r="H182" s="27" t="n"/>
      <c r="I182" s="20">
        <f>IF(OR($A182="",$G182&lt;&gt;"Active"),0,IF($H182&lt;&gt;"",$H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</f>
        <v/>
      </c>
      <c r="J182" s="23">
        <f>IF($C182="",0,IFERROR(INDEX(Deals!$H$2:$H$355,MATCH($C182,Deals!$A$2:$A$355,0)),0))</f>
        <v/>
      </c>
      <c r="K182" s="20">
        <f>IF(Settings!$B$4="Yes",$I182*$J182,$I182)</f>
        <v/>
      </c>
      <c r="L182" s="31">
        <f>IF($C182="","",IFERROR(IF(INDEX(Deals!$I$2:$I$355,MATCH($C182,Deals!$A$2:$A$355,0))=0,"",INDEX(Deals!$I$2:$I$355,MATCH($C182,Deals!$A$2:$A$355,0))),""))</f>
        <v/>
      </c>
      <c r="M182" s="31">
        <f>IF($C182="","",IFERROR(IF(INDEX(Deals!$J$2:$J$355,MATCH($C182,Deals!$A$2:$A$355,0))=0,"",INDEX(Deals!$J$2:$J$355,MATCH($C182,Deals!$A$2:$A$355,0))),""))</f>
        <v/>
      </c>
      <c r="N182" s="24">
        <f>IF($L182="",DATE(1900,1,1),$L182)</f>
        <v/>
      </c>
      <c r="O182" s="24">
        <f>IF($M182="",DATE(2100,12,31),$M182)</f>
        <v/>
      </c>
      <c r="P182" s="16" t="inlineStr"/>
      <c r="Q182" s="16" t="inlineStr"/>
      <c r="R182" s="29">
        <f>IF($C182="","",IFERROR(IF(INDEX(Deals!$U$2:$U$355,MATCH($C182,Deals!$A$2:$A$355,0))=0,"",INDEX(Deals!$U$2:$U$355,MATCH($C182,Deals!$A$2:$A$355,0))),""))</f>
        <v/>
      </c>
      <c r="S182" s="22">
        <f>IFERROR(IF($U182="",1,INDEX(Deals!$V$2:$V$355,MATCH($C182,Deals!$A$2:$A$355,0))),1)</f>
        <v/>
      </c>
      <c r="T182" s="22">
        <f>IFERROR(IF($U182="",1,INDEX(Deals!$W$2:$W$355,MATCH($C182,Deals!$A$2:$A$355,0))),1)</f>
        <v/>
      </c>
      <c r="U182" s="31">
        <f>IF($C182="","",IFERROR(IF(INDEX(Deals!$Y$2:$Y$355,MATCH($C182,Deals!$A$2:$A$355,0))=0,"",INDEX(Deals!$Y$2:$Y$355,MATCH($C182,Deals!$A$2:$A$355,0))),""))</f>
        <v/>
      </c>
      <c r="V182" s="24">
        <f>IF($U182="",DATE(1900,1,1),$N182)</f>
        <v/>
      </c>
      <c r="W182" s="24">
        <f>IF($U182="",DATE(2100,12,31),$U182)</f>
        <v/>
      </c>
      <c r="X182" s="20">
        <f>IF($U182="",$K182,$K182*$S182)</f>
        <v/>
      </c>
      <c r="Y182" s="24">
        <f>IF($U182="",DATE(2100,12,31),$U182+1)</f>
        <v/>
      </c>
      <c r="Z182" s="24">
        <f>IF($U182="",DATE(1900,1,1),$O182)</f>
        <v/>
      </c>
      <c r="AA182" s="20">
        <f>IF($U182="",0,$K182*$T182)</f>
        <v/>
      </c>
    </row>
    <row r="183">
      <c r="A183" s="15" t="inlineStr">
        <is>
          <t>Jeremy</t>
        </is>
      </c>
      <c r="B183" s="29">
        <f>IF($A183="","",IFERROR(INDEX(Roster!$B$2:$B$40,MATCH($A183,Roster!$A$2:$A$40,0)),"?"))</f>
        <v/>
      </c>
      <c r="C183" s="15" t="inlineStr">
        <is>
          <t>DEBT analysis_1</t>
        </is>
      </c>
      <c r="D183" s="29">
        <f>IF($C183="","",IFERROR(IF(INDEX(Deals!$C$2:$C$355,MATCH($C183,Deals!$A$2:$A$355,0))=0,"",INDEX(Deals!$C$2:$C$355,MATCH($C183,Deals!$A$2:$A$355,0))),"?"))</f>
        <v/>
      </c>
      <c r="E183" s="29">
        <f>IF($C183="","",IFERROR(INDEX(Deals!$F$2:$F$355,MATCH($C183,Deals!$A$2:$A$355,0)),"?"))</f>
        <v/>
      </c>
      <c r="F183" s="15" t="inlineStr">
        <is>
          <t>MD</t>
        </is>
      </c>
      <c r="G183" s="15" t="inlineStr">
        <is>
          <t>Active</t>
        </is>
      </c>
      <c r="H183" s="27" t="n"/>
      <c r="I183" s="20">
        <f>IF(OR($A183="",$G183&lt;&gt;"Active"),0,IF($H183&lt;&gt;"",$H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</f>
        <v/>
      </c>
      <c r="J183" s="23">
        <f>IF($C183="",0,IFERROR(INDEX(Deals!$H$2:$H$355,MATCH($C183,Deals!$A$2:$A$355,0)),0))</f>
        <v/>
      </c>
      <c r="K183" s="20">
        <f>IF(Settings!$B$4="Yes",$I183*$J183,$I183)</f>
        <v/>
      </c>
      <c r="L183" s="31">
        <f>IF($C183="","",IFERROR(IF(INDEX(Deals!$I$2:$I$355,MATCH($C183,Deals!$A$2:$A$355,0))=0,"",INDEX(Deals!$I$2:$I$355,MATCH($C183,Deals!$A$2:$A$355,0))),""))</f>
        <v/>
      </c>
      <c r="M183" s="31">
        <f>IF($C183="","",IFERROR(IF(INDEX(Deals!$J$2:$J$355,MATCH($C183,Deals!$A$2:$A$355,0))=0,"",INDEX(Deals!$J$2:$J$355,MATCH($C183,Deals!$A$2:$A$355,0))),""))</f>
        <v/>
      </c>
      <c r="N183" s="24">
        <f>IF($L183="",DATE(1900,1,1),$L183)</f>
        <v/>
      </c>
      <c r="O183" s="24">
        <f>IF($M183="",DATE(2100,12,31),$M183)</f>
        <v/>
      </c>
      <c r="P183" s="16" t="inlineStr"/>
      <c r="Q183" s="16" t="inlineStr"/>
      <c r="R183" s="29">
        <f>IF($C183="","",IFERROR(IF(INDEX(Deals!$U$2:$U$355,MATCH($C183,Deals!$A$2:$A$355,0))=0,"",INDEX(Deals!$U$2:$U$355,MATCH($C183,Deals!$A$2:$A$355,0))),""))</f>
        <v/>
      </c>
      <c r="S183" s="22">
        <f>IFERROR(IF($U183="",1,INDEX(Deals!$V$2:$V$355,MATCH($C183,Deals!$A$2:$A$355,0))),1)</f>
        <v/>
      </c>
      <c r="T183" s="22">
        <f>IFERROR(IF($U183="",1,INDEX(Deals!$W$2:$W$355,MATCH($C183,Deals!$A$2:$A$355,0))),1)</f>
        <v/>
      </c>
      <c r="U183" s="31">
        <f>IF($C183="","",IFERROR(IF(INDEX(Deals!$Y$2:$Y$355,MATCH($C183,Deals!$A$2:$A$355,0))=0,"",INDEX(Deals!$Y$2:$Y$355,MATCH($C183,Deals!$A$2:$A$355,0))),""))</f>
        <v/>
      </c>
      <c r="V183" s="24">
        <f>IF($U183="",DATE(1900,1,1),$N183)</f>
        <v/>
      </c>
      <c r="W183" s="24">
        <f>IF($U183="",DATE(2100,12,31),$U183)</f>
        <v/>
      </c>
      <c r="X183" s="20">
        <f>IF($U183="",$K183,$K183*$S183)</f>
        <v/>
      </c>
      <c r="Y183" s="24">
        <f>IF($U183="",DATE(2100,12,31),$U183+1)</f>
        <v/>
      </c>
      <c r="Z183" s="24">
        <f>IF($U183="",DATE(1900,1,1),$O183)</f>
        <v/>
      </c>
      <c r="AA183" s="20">
        <f>IF($U183="",0,$K183*$T183)</f>
        <v/>
      </c>
    </row>
    <row r="184">
      <c r="A184" s="15" t="inlineStr">
        <is>
          <t>Jeremy</t>
        </is>
      </c>
      <c r="B184" s="29">
        <f>IF($A184="","",IFERROR(INDEX(Roster!$B$2:$B$40,MATCH($A184,Roster!$A$2:$A$40,0)),"?"))</f>
        <v/>
      </c>
      <c r="C184" s="15" t="inlineStr">
        <is>
          <t>DIF Twister_2</t>
        </is>
      </c>
      <c r="D184" s="29">
        <f>IF($C184="","",IFERROR(IF(INDEX(Deals!$C$2:$C$355,MATCH($C184,Deals!$A$2:$A$355,0))=0,"",INDEX(Deals!$C$2:$C$355,MATCH($C184,Deals!$A$2:$A$355,0))),"?"))</f>
        <v/>
      </c>
      <c r="E184" s="29">
        <f>IF($C184="","",IFERROR(INDEX(Deals!$F$2:$F$355,MATCH($C184,Deals!$A$2:$A$355,0)),"?"))</f>
        <v/>
      </c>
      <c r="F184" s="15" t="inlineStr">
        <is>
          <t>MD</t>
        </is>
      </c>
      <c r="G184" s="15" t="inlineStr">
        <is>
          <t>Active</t>
        </is>
      </c>
      <c r="H184" s="27" t="n"/>
      <c r="I184" s="20">
        <f>IF(OR($A184="",$G184&lt;&gt;"Active"),0,IF($H184&lt;&gt;"",$H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</f>
        <v/>
      </c>
      <c r="J184" s="23">
        <f>IF($C184="",0,IFERROR(INDEX(Deals!$H$2:$H$355,MATCH($C184,Deals!$A$2:$A$355,0)),0))</f>
        <v/>
      </c>
      <c r="K184" s="20">
        <f>IF(Settings!$B$4="Yes",$I184*$J184,$I184)</f>
        <v/>
      </c>
      <c r="L184" s="31">
        <f>IF($C184="","",IFERROR(IF(INDEX(Deals!$I$2:$I$355,MATCH($C184,Deals!$A$2:$A$355,0))=0,"",INDEX(Deals!$I$2:$I$355,MATCH($C184,Deals!$A$2:$A$355,0))),""))</f>
        <v/>
      </c>
      <c r="M184" s="31">
        <f>IF($C184="","",IFERROR(IF(INDEX(Deals!$J$2:$J$355,MATCH($C184,Deals!$A$2:$A$355,0))=0,"",INDEX(Deals!$J$2:$J$355,MATCH($C184,Deals!$A$2:$A$355,0))),""))</f>
        <v/>
      </c>
      <c r="N184" s="24">
        <f>IF($L184="",DATE(1900,1,1),$L184)</f>
        <v/>
      </c>
      <c r="O184" s="24">
        <f>IF($M184="",DATE(2100,12,31),$M184)</f>
        <v/>
      </c>
      <c r="P184" s="16" t="inlineStr"/>
      <c r="Q184" s="16" t="inlineStr"/>
      <c r="R184" s="29">
        <f>IF($C184="","",IFERROR(IF(INDEX(Deals!$U$2:$U$355,MATCH($C184,Deals!$A$2:$A$355,0))=0,"",INDEX(Deals!$U$2:$U$355,MATCH($C184,Deals!$A$2:$A$355,0))),""))</f>
        <v/>
      </c>
      <c r="S184" s="22">
        <f>IFERROR(IF($U184="",1,INDEX(Deals!$V$2:$V$355,MATCH($C184,Deals!$A$2:$A$355,0))),1)</f>
        <v/>
      </c>
      <c r="T184" s="22">
        <f>IFERROR(IF($U184="",1,INDEX(Deals!$W$2:$W$355,MATCH($C184,Deals!$A$2:$A$355,0))),1)</f>
        <v/>
      </c>
      <c r="U184" s="31">
        <f>IF($C184="","",IFERROR(IF(INDEX(Deals!$Y$2:$Y$355,MATCH($C184,Deals!$A$2:$A$355,0))=0,"",INDEX(Deals!$Y$2:$Y$355,MATCH($C184,Deals!$A$2:$A$355,0))),""))</f>
        <v/>
      </c>
      <c r="V184" s="24">
        <f>IF($U184="",DATE(1900,1,1),$N184)</f>
        <v/>
      </c>
      <c r="W184" s="24">
        <f>IF($U184="",DATE(2100,12,31),$U184)</f>
        <v/>
      </c>
      <c r="X184" s="20">
        <f>IF($U184="",$K184,$K184*$S184)</f>
        <v/>
      </c>
      <c r="Y184" s="24">
        <f>IF($U184="",DATE(2100,12,31),$U184+1)</f>
        <v/>
      </c>
      <c r="Z184" s="24">
        <f>IF($U184="",DATE(1900,1,1),$O184)</f>
        <v/>
      </c>
      <c r="AA184" s="20">
        <f>IF($U184="",0,$K184*$T184)</f>
        <v/>
      </c>
    </row>
    <row r="185">
      <c r="A185" s="15" t="inlineStr">
        <is>
          <t>Jeremy</t>
        </is>
      </c>
      <c r="B185" s="29">
        <f>IF($A185="","",IFERROR(INDEX(Roster!$B$2:$B$40,MATCH($A185,Roster!$A$2:$A$40,0)),"?"))</f>
        <v/>
      </c>
      <c r="C185" s="15" t="inlineStr">
        <is>
          <t>Dupont_1</t>
        </is>
      </c>
      <c r="D185" s="29">
        <f>IF($C185="","",IFERROR(IF(INDEX(Deals!$C$2:$C$355,MATCH($C185,Deals!$A$2:$A$355,0))=0,"",INDEX(Deals!$C$2:$C$355,MATCH($C185,Deals!$A$2:$A$355,0))),"?"))</f>
        <v/>
      </c>
      <c r="E185" s="29">
        <f>IF($C185="","",IFERROR(INDEX(Deals!$F$2:$F$355,MATCH($C185,Deals!$A$2:$A$355,0)),"?"))</f>
        <v/>
      </c>
      <c r="F185" s="15" t="inlineStr">
        <is>
          <t>MD</t>
        </is>
      </c>
      <c r="G185" s="15" t="inlineStr">
        <is>
          <t>Active</t>
        </is>
      </c>
      <c r="H185" s="27" t="n"/>
      <c r="I185" s="20">
        <f>IF(OR($A185="",$G185&lt;&gt;"Active"),0,IF($H185&lt;&gt;"",$H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</f>
        <v/>
      </c>
      <c r="J185" s="23">
        <f>IF($C185="",0,IFERROR(INDEX(Deals!$H$2:$H$355,MATCH($C185,Deals!$A$2:$A$355,0)),0))</f>
        <v/>
      </c>
      <c r="K185" s="20">
        <f>IF(Settings!$B$4="Yes",$I185*$J185,$I185)</f>
        <v/>
      </c>
      <c r="L185" s="31">
        <f>IF($C185="","",IFERROR(IF(INDEX(Deals!$I$2:$I$355,MATCH($C185,Deals!$A$2:$A$355,0))=0,"",INDEX(Deals!$I$2:$I$355,MATCH($C185,Deals!$A$2:$A$355,0))),""))</f>
        <v/>
      </c>
      <c r="M185" s="31">
        <f>IF($C185="","",IFERROR(IF(INDEX(Deals!$J$2:$J$355,MATCH($C185,Deals!$A$2:$A$355,0))=0,"",INDEX(Deals!$J$2:$J$355,MATCH($C185,Deals!$A$2:$A$355,0))),""))</f>
        <v/>
      </c>
      <c r="N185" s="24">
        <f>IF($L185="",DATE(1900,1,1),$L185)</f>
        <v/>
      </c>
      <c r="O185" s="24">
        <f>IF($M185="",DATE(2100,12,31),$M185)</f>
        <v/>
      </c>
      <c r="P185" s="16" t="inlineStr"/>
      <c r="Q185" s="16" t="inlineStr"/>
      <c r="R185" s="29">
        <f>IF($C185="","",IFERROR(IF(INDEX(Deals!$U$2:$U$355,MATCH($C185,Deals!$A$2:$A$355,0))=0,"",INDEX(Deals!$U$2:$U$355,MATCH($C185,Deals!$A$2:$A$355,0))),""))</f>
        <v/>
      </c>
      <c r="S185" s="22">
        <f>IFERROR(IF($U185="",1,INDEX(Deals!$V$2:$V$355,MATCH($C185,Deals!$A$2:$A$355,0))),1)</f>
        <v/>
      </c>
      <c r="T185" s="22">
        <f>IFERROR(IF($U185="",1,INDEX(Deals!$W$2:$W$355,MATCH($C185,Deals!$A$2:$A$355,0))),1)</f>
        <v/>
      </c>
      <c r="U185" s="31">
        <f>IF($C185="","",IFERROR(IF(INDEX(Deals!$Y$2:$Y$355,MATCH($C185,Deals!$A$2:$A$355,0))=0,"",INDEX(Deals!$Y$2:$Y$355,MATCH($C185,Deals!$A$2:$A$355,0))),""))</f>
        <v/>
      </c>
      <c r="V185" s="24">
        <f>IF($U185="",DATE(1900,1,1),$N185)</f>
        <v/>
      </c>
      <c r="W185" s="24">
        <f>IF($U185="",DATE(2100,12,31),$U185)</f>
        <v/>
      </c>
      <c r="X185" s="20">
        <f>IF($U185="",$K185,$K185*$S185)</f>
        <v/>
      </c>
      <c r="Y185" s="24">
        <f>IF($U185="",DATE(2100,12,31),$U185+1)</f>
        <v/>
      </c>
      <c r="Z185" s="24">
        <f>IF($U185="",DATE(1900,1,1),$O185)</f>
        <v/>
      </c>
      <c r="AA185" s="20">
        <f>IF($U185="",0,$K185*$T185)</f>
        <v/>
      </c>
    </row>
    <row r="186">
      <c r="A186" s="15" t="inlineStr">
        <is>
          <t>Jeremy</t>
        </is>
      </c>
      <c r="B186" s="29">
        <f>IF($A186="","",IFERROR(INDEX(Roster!$B$2:$B$40,MATCH($A186,Roster!$A$2:$A$40,0)),"?"))</f>
        <v/>
      </c>
      <c r="C186" s="15" t="inlineStr">
        <is>
          <t>Eagle_7</t>
        </is>
      </c>
      <c r="D186" s="29">
        <f>IF($C186="","",IFERROR(IF(INDEX(Deals!$C$2:$C$355,MATCH($C186,Deals!$A$2:$A$355,0))=0,"",INDEX(Deals!$C$2:$C$355,MATCH($C186,Deals!$A$2:$A$355,0))),"?"))</f>
        <v/>
      </c>
      <c r="E186" s="29">
        <f>IF($C186="","",IFERROR(INDEX(Deals!$F$2:$F$355,MATCH($C186,Deals!$A$2:$A$355,0)),"?"))</f>
        <v/>
      </c>
      <c r="F186" s="15" t="inlineStr">
        <is>
          <t>MD</t>
        </is>
      </c>
      <c r="G186" s="15" t="inlineStr">
        <is>
          <t>Active</t>
        </is>
      </c>
      <c r="H186" s="27" t="n"/>
      <c r="I186" s="20">
        <f>IF(OR($A186="",$G186&lt;&gt;"Active"),0,IF($H186&lt;&gt;"",$H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</f>
        <v/>
      </c>
      <c r="J186" s="23">
        <f>IF($C186="",0,IFERROR(INDEX(Deals!$H$2:$H$355,MATCH($C186,Deals!$A$2:$A$355,0)),0))</f>
        <v/>
      </c>
      <c r="K186" s="20">
        <f>IF(Settings!$B$4="Yes",$I186*$J186,$I186)</f>
        <v/>
      </c>
      <c r="L186" s="31">
        <f>IF($C186="","",IFERROR(IF(INDEX(Deals!$I$2:$I$355,MATCH($C186,Deals!$A$2:$A$355,0))=0,"",INDEX(Deals!$I$2:$I$355,MATCH($C186,Deals!$A$2:$A$355,0))),""))</f>
        <v/>
      </c>
      <c r="M186" s="31">
        <f>IF($C186="","",IFERROR(IF(INDEX(Deals!$J$2:$J$355,MATCH($C186,Deals!$A$2:$A$355,0))=0,"",INDEX(Deals!$J$2:$J$355,MATCH($C186,Deals!$A$2:$A$355,0))),""))</f>
        <v/>
      </c>
      <c r="N186" s="24">
        <f>IF($L186="",DATE(1900,1,1),$L186)</f>
        <v/>
      </c>
      <c r="O186" s="24">
        <f>IF($M186="",DATE(2100,12,31),$M186)</f>
        <v/>
      </c>
      <c r="P186" s="16" t="inlineStr"/>
      <c r="Q186" s="16" t="inlineStr"/>
      <c r="R186" s="29">
        <f>IF($C186="","",IFERROR(IF(INDEX(Deals!$U$2:$U$355,MATCH($C186,Deals!$A$2:$A$355,0))=0,"",INDEX(Deals!$U$2:$U$355,MATCH($C186,Deals!$A$2:$A$355,0))),""))</f>
        <v/>
      </c>
      <c r="S186" s="22">
        <f>IFERROR(IF($U186="",1,INDEX(Deals!$V$2:$V$355,MATCH($C186,Deals!$A$2:$A$355,0))),1)</f>
        <v/>
      </c>
      <c r="T186" s="22">
        <f>IFERROR(IF($U186="",1,INDEX(Deals!$W$2:$W$355,MATCH($C186,Deals!$A$2:$A$355,0))),1)</f>
        <v/>
      </c>
      <c r="U186" s="31">
        <f>IF($C186="","",IFERROR(IF(INDEX(Deals!$Y$2:$Y$355,MATCH($C186,Deals!$A$2:$A$355,0))=0,"",INDEX(Deals!$Y$2:$Y$355,MATCH($C186,Deals!$A$2:$A$355,0))),""))</f>
        <v/>
      </c>
      <c r="V186" s="24">
        <f>IF($U186="",DATE(1900,1,1),$N186)</f>
        <v/>
      </c>
      <c r="W186" s="24">
        <f>IF($U186="",DATE(2100,12,31),$U186)</f>
        <v/>
      </c>
      <c r="X186" s="20">
        <f>IF($U186="",$K186,$K186*$S186)</f>
        <v/>
      </c>
      <c r="Y186" s="24">
        <f>IF($U186="",DATE(2100,12,31),$U186+1)</f>
        <v/>
      </c>
      <c r="Z186" s="24">
        <f>IF($U186="",DATE(1900,1,1),$O186)</f>
        <v/>
      </c>
      <c r="AA186" s="20">
        <f>IF($U186="",0,$K186*$T186)</f>
        <v/>
      </c>
    </row>
    <row r="187">
      <c r="A187" s="15" t="inlineStr">
        <is>
          <t>Jeremy</t>
        </is>
      </c>
      <c r="B187" s="29">
        <f>IF($A187="","",IFERROR(INDEX(Roster!$B$2:$B$40,MATCH($A187,Roster!$A$2:$A$40,0)),"?"))</f>
        <v/>
      </c>
      <c r="C187" s="15" t="inlineStr">
        <is>
          <t>Elm_2</t>
        </is>
      </c>
      <c r="D187" s="29">
        <f>IF($C187="","",IFERROR(IF(INDEX(Deals!$C$2:$C$355,MATCH($C187,Deals!$A$2:$A$355,0))=0,"",INDEX(Deals!$C$2:$C$355,MATCH($C187,Deals!$A$2:$A$355,0))),"?"))</f>
        <v/>
      </c>
      <c r="E187" s="29">
        <f>IF($C187="","",IFERROR(INDEX(Deals!$F$2:$F$355,MATCH($C187,Deals!$A$2:$A$355,0)),"?"))</f>
        <v/>
      </c>
      <c r="F187" s="15" t="inlineStr">
        <is>
          <t>MD</t>
        </is>
      </c>
      <c r="G187" s="15" t="inlineStr">
        <is>
          <t>Active</t>
        </is>
      </c>
      <c r="H187" s="27" t="n"/>
      <c r="I187" s="20">
        <f>IF(OR($A187="",$G187&lt;&gt;"Active"),0,IF($H187&lt;&gt;"",$H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</f>
        <v/>
      </c>
      <c r="J187" s="23">
        <f>IF($C187="",0,IFERROR(INDEX(Deals!$H$2:$H$355,MATCH($C187,Deals!$A$2:$A$355,0)),0))</f>
        <v/>
      </c>
      <c r="K187" s="20">
        <f>IF(Settings!$B$4="Yes",$I187*$J187,$I187)</f>
        <v/>
      </c>
      <c r="L187" s="31">
        <f>IF($C187="","",IFERROR(IF(INDEX(Deals!$I$2:$I$355,MATCH($C187,Deals!$A$2:$A$355,0))=0,"",INDEX(Deals!$I$2:$I$355,MATCH($C187,Deals!$A$2:$A$355,0))),""))</f>
        <v/>
      </c>
      <c r="M187" s="31">
        <f>IF($C187="","",IFERROR(IF(INDEX(Deals!$J$2:$J$355,MATCH($C187,Deals!$A$2:$A$355,0))=0,"",INDEX(Deals!$J$2:$J$355,MATCH($C187,Deals!$A$2:$A$355,0))),""))</f>
        <v/>
      </c>
      <c r="N187" s="24">
        <f>IF($L187="",DATE(1900,1,1),$L187)</f>
        <v/>
      </c>
      <c r="O187" s="24">
        <f>IF($M187="",DATE(2100,12,31),$M187)</f>
        <v/>
      </c>
      <c r="P187" s="16" t="inlineStr"/>
      <c r="Q187" s="16" t="inlineStr"/>
      <c r="R187" s="29">
        <f>IF($C187="","",IFERROR(IF(INDEX(Deals!$U$2:$U$355,MATCH($C187,Deals!$A$2:$A$355,0))=0,"",INDEX(Deals!$U$2:$U$355,MATCH($C187,Deals!$A$2:$A$355,0))),""))</f>
        <v/>
      </c>
      <c r="S187" s="22">
        <f>IFERROR(IF($U187="",1,INDEX(Deals!$V$2:$V$355,MATCH($C187,Deals!$A$2:$A$355,0))),1)</f>
        <v/>
      </c>
      <c r="T187" s="22">
        <f>IFERROR(IF($U187="",1,INDEX(Deals!$W$2:$W$355,MATCH($C187,Deals!$A$2:$A$355,0))),1)</f>
        <v/>
      </c>
      <c r="U187" s="31">
        <f>IF($C187="","",IFERROR(IF(INDEX(Deals!$Y$2:$Y$355,MATCH($C187,Deals!$A$2:$A$355,0))=0,"",INDEX(Deals!$Y$2:$Y$355,MATCH($C187,Deals!$A$2:$A$355,0))),""))</f>
        <v/>
      </c>
      <c r="V187" s="24">
        <f>IF($U187="",DATE(1900,1,1),$N187)</f>
        <v/>
      </c>
      <c r="W187" s="24">
        <f>IF($U187="",DATE(2100,12,31),$U187)</f>
        <v/>
      </c>
      <c r="X187" s="20">
        <f>IF($U187="",$K187,$K187*$S187)</f>
        <v/>
      </c>
      <c r="Y187" s="24">
        <f>IF($U187="",DATE(2100,12,31),$U187+1)</f>
        <v/>
      </c>
      <c r="Z187" s="24">
        <f>IF($U187="",DATE(1900,1,1),$O187)</f>
        <v/>
      </c>
      <c r="AA187" s="20">
        <f>IF($U187="",0,$K187*$T187)</f>
        <v/>
      </c>
    </row>
    <row r="188">
      <c r="A188" s="15" t="inlineStr">
        <is>
          <t>Jeremy</t>
        </is>
      </c>
      <c r="B188" s="29">
        <f>IF($A188="","",IFERROR(INDEX(Roster!$B$2:$B$40,MATCH($A188,Roster!$A$2:$A$40,0)),"?"))</f>
        <v/>
      </c>
      <c r="C188" s="15" t="inlineStr">
        <is>
          <t>Gambit_1</t>
        </is>
      </c>
      <c r="D188" s="29">
        <f>IF($C188="","",IFERROR(IF(INDEX(Deals!$C$2:$C$355,MATCH($C188,Deals!$A$2:$A$355,0))=0,"",INDEX(Deals!$C$2:$C$355,MATCH($C188,Deals!$A$2:$A$355,0))),"?"))</f>
        <v/>
      </c>
      <c r="E188" s="29">
        <f>IF($C188="","",IFERROR(INDEX(Deals!$F$2:$F$355,MATCH($C188,Deals!$A$2:$A$355,0)),"?"))</f>
        <v/>
      </c>
      <c r="F188" s="15" t="inlineStr">
        <is>
          <t>MD</t>
        </is>
      </c>
      <c r="G188" s="15" t="inlineStr">
        <is>
          <t>Active</t>
        </is>
      </c>
      <c r="H188" s="27" t="n"/>
      <c r="I188" s="20">
        <f>IF(OR($A188="",$G188&lt;&gt;"Active"),0,IF($H188&lt;&gt;"",$H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</f>
        <v/>
      </c>
      <c r="J188" s="23">
        <f>IF($C188="",0,IFERROR(INDEX(Deals!$H$2:$H$355,MATCH($C188,Deals!$A$2:$A$355,0)),0))</f>
        <v/>
      </c>
      <c r="K188" s="20">
        <f>IF(Settings!$B$4="Yes",$I188*$J188,$I188)</f>
        <v/>
      </c>
      <c r="L188" s="31">
        <f>IF($C188="","",IFERROR(IF(INDEX(Deals!$I$2:$I$355,MATCH($C188,Deals!$A$2:$A$355,0))=0,"",INDEX(Deals!$I$2:$I$355,MATCH($C188,Deals!$A$2:$A$355,0))),""))</f>
        <v/>
      </c>
      <c r="M188" s="31">
        <f>IF($C188="","",IFERROR(IF(INDEX(Deals!$J$2:$J$355,MATCH($C188,Deals!$A$2:$A$355,0))=0,"",INDEX(Deals!$J$2:$J$355,MATCH($C188,Deals!$A$2:$A$355,0))),""))</f>
        <v/>
      </c>
      <c r="N188" s="24">
        <f>IF($L188="",DATE(1900,1,1),$L188)</f>
        <v/>
      </c>
      <c r="O188" s="24">
        <f>IF($M188="",DATE(2100,12,31),$M188)</f>
        <v/>
      </c>
      <c r="P188" s="16" t="inlineStr"/>
      <c r="Q188" s="16" t="inlineStr"/>
      <c r="R188" s="29">
        <f>IF($C188="","",IFERROR(IF(INDEX(Deals!$U$2:$U$355,MATCH($C188,Deals!$A$2:$A$355,0))=0,"",INDEX(Deals!$U$2:$U$355,MATCH($C188,Deals!$A$2:$A$355,0))),""))</f>
        <v/>
      </c>
      <c r="S188" s="22">
        <f>IFERROR(IF($U188="",1,INDEX(Deals!$V$2:$V$355,MATCH($C188,Deals!$A$2:$A$355,0))),1)</f>
        <v/>
      </c>
      <c r="T188" s="22">
        <f>IFERROR(IF($U188="",1,INDEX(Deals!$W$2:$W$355,MATCH($C188,Deals!$A$2:$A$355,0))),1)</f>
        <v/>
      </c>
      <c r="U188" s="31">
        <f>IF($C188="","",IFERROR(IF(INDEX(Deals!$Y$2:$Y$355,MATCH($C188,Deals!$A$2:$A$355,0))=0,"",INDEX(Deals!$Y$2:$Y$355,MATCH($C188,Deals!$A$2:$A$355,0))),""))</f>
        <v/>
      </c>
      <c r="V188" s="24">
        <f>IF($U188="",DATE(1900,1,1),$N188)</f>
        <v/>
      </c>
      <c r="W188" s="24">
        <f>IF($U188="",DATE(2100,12,31),$U188)</f>
        <v/>
      </c>
      <c r="X188" s="20">
        <f>IF($U188="",$K188,$K188*$S188)</f>
        <v/>
      </c>
      <c r="Y188" s="24">
        <f>IF($U188="",DATE(2100,12,31),$U188+1)</f>
        <v/>
      </c>
      <c r="Z188" s="24">
        <f>IF($U188="",DATE(1900,1,1),$O188)</f>
        <v/>
      </c>
      <c r="AA188" s="20">
        <f>IF($U188="",0,$K188*$T188)</f>
        <v/>
      </c>
    </row>
    <row r="189">
      <c r="A189" s="15" t="inlineStr">
        <is>
          <t>Jeremy</t>
        </is>
      </c>
      <c r="B189" s="29">
        <f>IF($A189="","",IFERROR(INDEX(Roster!$B$2:$B$40,MATCH($A189,Roster!$A$2:$A$40,0)),"?"))</f>
        <v/>
      </c>
      <c r="C189" s="15" t="inlineStr">
        <is>
          <t>Geneseo_1</t>
        </is>
      </c>
      <c r="D189" s="29">
        <f>IF($C189="","",IFERROR(IF(INDEX(Deals!$C$2:$C$355,MATCH($C189,Deals!$A$2:$A$355,0))=0,"",INDEX(Deals!$C$2:$C$355,MATCH($C189,Deals!$A$2:$A$355,0))),"?"))</f>
        <v/>
      </c>
      <c r="E189" s="29">
        <f>IF($C189="","",IFERROR(INDEX(Deals!$F$2:$F$355,MATCH($C189,Deals!$A$2:$A$355,0)),"?"))</f>
        <v/>
      </c>
      <c r="F189" s="15" t="inlineStr">
        <is>
          <t>MD</t>
        </is>
      </c>
      <c r="G189" s="15" t="inlineStr">
        <is>
          <t>Active</t>
        </is>
      </c>
      <c r="H189" s="27" t="n"/>
      <c r="I189" s="20">
        <f>IF(OR($A189="",$G189&lt;&gt;"Active"),0,IF($H189&lt;&gt;"",$H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</f>
        <v/>
      </c>
      <c r="J189" s="23">
        <f>IF($C189="",0,IFERROR(INDEX(Deals!$H$2:$H$355,MATCH($C189,Deals!$A$2:$A$355,0)),0))</f>
        <v/>
      </c>
      <c r="K189" s="20">
        <f>IF(Settings!$B$4="Yes",$I189*$J189,$I189)</f>
        <v/>
      </c>
      <c r="L189" s="31">
        <f>IF($C189="","",IFERROR(IF(INDEX(Deals!$I$2:$I$355,MATCH($C189,Deals!$A$2:$A$355,0))=0,"",INDEX(Deals!$I$2:$I$355,MATCH($C189,Deals!$A$2:$A$355,0))),""))</f>
        <v/>
      </c>
      <c r="M189" s="31">
        <f>IF($C189="","",IFERROR(IF(INDEX(Deals!$J$2:$J$355,MATCH($C189,Deals!$A$2:$A$355,0))=0,"",INDEX(Deals!$J$2:$J$355,MATCH($C189,Deals!$A$2:$A$355,0))),""))</f>
        <v/>
      </c>
      <c r="N189" s="24">
        <f>IF($L189="",DATE(1900,1,1),$L189)</f>
        <v/>
      </c>
      <c r="O189" s="24">
        <f>IF($M189="",DATE(2100,12,31),$M189)</f>
        <v/>
      </c>
      <c r="P189" s="16" t="inlineStr"/>
      <c r="Q189" s="16" t="inlineStr"/>
      <c r="R189" s="29">
        <f>IF($C189="","",IFERROR(IF(INDEX(Deals!$U$2:$U$355,MATCH($C189,Deals!$A$2:$A$355,0))=0,"",INDEX(Deals!$U$2:$U$355,MATCH($C189,Deals!$A$2:$A$355,0))),""))</f>
        <v/>
      </c>
      <c r="S189" s="22">
        <f>IFERROR(IF($U189="",1,INDEX(Deals!$V$2:$V$355,MATCH($C189,Deals!$A$2:$A$355,0))),1)</f>
        <v/>
      </c>
      <c r="T189" s="22">
        <f>IFERROR(IF($U189="",1,INDEX(Deals!$W$2:$W$355,MATCH($C189,Deals!$A$2:$A$355,0))),1)</f>
        <v/>
      </c>
      <c r="U189" s="31">
        <f>IF($C189="","",IFERROR(IF(INDEX(Deals!$Y$2:$Y$355,MATCH($C189,Deals!$A$2:$A$355,0))=0,"",INDEX(Deals!$Y$2:$Y$355,MATCH($C189,Deals!$A$2:$A$355,0))),""))</f>
        <v/>
      </c>
      <c r="V189" s="24">
        <f>IF($U189="",DATE(1900,1,1),$N189)</f>
        <v/>
      </c>
      <c r="W189" s="24">
        <f>IF($U189="",DATE(2100,12,31),$U189)</f>
        <v/>
      </c>
      <c r="X189" s="20">
        <f>IF($U189="",$K189,$K189*$S189)</f>
        <v/>
      </c>
      <c r="Y189" s="24">
        <f>IF($U189="",DATE(2100,12,31),$U189+1)</f>
        <v/>
      </c>
      <c r="Z189" s="24">
        <f>IF($U189="",DATE(1900,1,1),$O189)</f>
        <v/>
      </c>
      <c r="AA189" s="20">
        <f>IF($U189="",0,$K189*$T189)</f>
        <v/>
      </c>
    </row>
    <row r="190">
      <c r="A190" s="15" t="inlineStr">
        <is>
          <t>Jeremy</t>
        </is>
      </c>
      <c r="B190" s="29">
        <f>IF($A190="","",IFERROR(INDEX(Roster!$B$2:$B$40,MATCH($A190,Roster!$A$2:$A$40,0)),"?"))</f>
        <v/>
      </c>
      <c r="C190" s="15" t="inlineStr">
        <is>
          <t>Georgia_3</t>
        </is>
      </c>
      <c r="D190" s="29">
        <f>IF($C190="","",IFERROR(IF(INDEX(Deals!$C$2:$C$355,MATCH($C190,Deals!$A$2:$A$355,0))=0,"",INDEX(Deals!$C$2:$C$355,MATCH($C190,Deals!$A$2:$A$355,0))),"?"))</f>
        <v/>
      </c>
      <c r="E190" s="29">
        <f>IF($C190="","",IFERROR(INDEX(Deals!$F$2:$F$355,MATCH($C190,Deals!$A$2:$A$355,0)),"?"))</f>
        <v/>
      </c>
      <c r="F190" s="15" t="inlineStr">
        <is>
          <t>MD</t>
        </is>
      </c>
      <c r="G190" s="15" t="inlineStr">
        <is>
          <t>Active</t>
        </is>
      </c>
      <c r="H190" s="27" t="n"/>
      <c r="I190" s="20">
        <f>IF(OR($A190="",$G190&lt;&gt;"Active"),0,IF($H190&lt;&gt;"",$H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</f>
        <v/>
      </c>
      <c r="J190" s="23">
        <f>IF($C190="",0,IFERROR(INDEX(Deals!$H$2:$H$355,MATCH($C190,Deals!$A$2:$A$355,0)),0))</f>
        <v/>
      </c>
      <c r="K190" s="20">
        <f>IF(Settings!$B$4="Yes",$I190*$J190,$I190)</f>
        <v/>
      </c>
      <c r="L190" s="31">
        <f>IF($C190="","",IFERROR(IF(INDEX(Deals!$I$2:$I$355,MATCH($C190,Deals!$A$2:$A$355,0))=0,"",INDEX(Deals!$I$2:$I$355,MATCH($C190,Deals!$A$2:$A$355,0))),""))</f>
        <v/>
      </c>
      <c r="M190" s="31">
        <f>IF($C190="","",IFERROR(IF(INDEX(Deals!$J$2:$J$355,MATCH($C190,Deals!$A$2:$A$355,0))=0,"",INDEX(Deals!$J$2:$J$355,MATCH($C190,Deals!$A$2:$A$355,0))),""))</f>
        <v/>
      </c>
      <c r="N190" s="24">
        <f>IF($L190="",DATE(1900,1,1),$L190)</f>
        <v/>
      </c>
      <c r="O190" s="24">
        <f>IF($M190="",DATE(2100,12,31),$M190)</f>
        <v/>
      </c>
      <c r="P190" s="16" t="inlineStr"/>
      <c r="Q190" s="16" t="inlineStr"/>
      <c r="R190" s="29">
        <f>IF($C190="","",IFERROR(IF(INDEX(Deals!$U$2:$U$355,MATCH($C190,Deals!$A$2:$A$355,0))=0,"",INDEX(Deals!$U$2:$U$355,MATCH($C190,Deals!$A$2:$A$355,0))),""))</f>
        <v/>
      </c>
      <c r="S190" s="22">
        <f>IFERROR(IF($U190="",1,INDEX(Deals!$V$2:$V$355,MATCH($C190,Deals!$A$2:$A$355,0))),1)</f>
        <v/>
      </c>
      <c r="T190" s="22">
        <f>IFERROR(IF($U190="",1,INDEX(Deals!$W$2:$W$355,MATCH($C190,Deals!$A$2:$A$355,0))),1)</f>
        <v/>
      </c>
      <c r="U190" s="31">
        <f>IF($C190="","",IFERROR(IF(INDEX(Deals!$Y$2:$Y$355,MATCH($C190,Deals!$A$2:$A$355,0))=0,"",INDEX(Deals!$Y$2:$Y$355,MATCH($C190,Deals!$A$2:$A$355,0))),""))</f>
        <v/>
      </c>
      <c r="V190" s="24">
        <f>IF($U190="",DATE(1900,1,1),$N190)</f>
        <v/>
      </c>
      <c r="W190" s="24">
        <f>IF($U190="",DATE(2100,12,31),$U190)</f>
        <v/>
      </c>
      <c r="X190" s="20">
        <f>IF($U190="",$K190,$K190*$S190)</f>
        <v/>
      </c>
      <c r="Y190" s="24">
        <f>IF($U190="",DATE(2100,12,31),$U190+1)</f>
        <v/>
      </c>
      <c r="Z190" s="24">
        <f>IF($U190="",DATE(1900,1,1),$O190)</f>
        <v/>
      </c>
      <c r="AA190" s="20">
        <f>IF($U190="",0,$K190*$T190)</f>
        <v/>
      </c>
    </row>
    <row r="191">
      <c r="A191" s="15" t="inlineStr">
        <is>
          <t>Jeremy</t>
        </is>
      </c>
      <c r="B191" s="29">
        <f>IF($A191="","",IFERROR(INDEX(Roster!$B$2:$B$40,MATCH($A191,Roster!$A$2:$A$40,0)),"?"))</f>
        <v/>
      </c>
      <c r="C191" s="15" t="inlineStr">
        <is>
          <t>Goose_2</t>
        </is>
      </c>
      <c r="D191" s="29">
        <f>IF($C191="","",IFERROR(IF(INDEX(Deals!$C$2:$C$355,MATCH($C191,Deals!$A$2:$A$355,0))=0,"",INDEX(Deals!$C$2:$C$355,MATCH($C191,Deals!$A$2:$A$355,0))),"?"))</f>
        <v/>
      </c>
      <c r="E191" s="29">
        <f>IF($C191="","",IFERROR(INDEX(Deals!$F$2:$F$355,MATCH($C191,Deals!$A$2:$A$355,0)),"?"))</f>
        <v/>
      </c>
      <c r="F191" s="15" t="inlineStr">
        <is>
          <t>MD</t>
        </is>
      </c>
      <c r="G191" s="15" t="inlineStr">
        <is>
          <t>Active</t>
        </is>
      </c>
      <c r="H191" s="27" t="n"/>
      <c r="I191" s="20">
        <f>IF(OR($A191="",$G191&lt;&gt;"Active"),0,IF($H191&lt;&gt;"",$H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</f>
        <v/>
      </c>
      <c r="J191" s="23">
        <f>IF($C191="",0,IFERROR(INDEX(Deals!$H$2:$H$355,MATCH($C191,Deals!$A$2:$A$355,0)),0))</f>
        <v/>
      </c>
      <c r="K191" s="20">
        <f>IF(Settings!$B$4="Yes",$I191*$J191,$I191)</f>
        <v/>
      </c>
      <c r="L191" s="31">
        <f>IF($C191="","",IFERROR(IF(INDEX(Deals!$I$2:$I$355,MATCH($C191,Deals!$A$2:$A$355,0))=0,"",INDEX(Deals!$I$2:$I$355,MATCH($C191,Deals!$A$2:$A$355,0))),""))</f>
        <v/>
      </c>
      <c r="M191" s="31">
        <f>IF($C191="","",IFERROR(IF(INDEX(Deals!$J$2:$J$355,MATCH($C191,Deals!$A$2:$A$355,0))=0,"",INDEX(Deals!$J$2:$J$355,MATCH($C191,Deals!$A$2:$A$355,0))),""))</f>
        <v/>
      </c>
      <c r="N191" s="24">
        <f>IF($L191="",DATE(1900,1,1),$L191)</f>
        <v/>
      </c>
      <c r="O191" s="24">
        <f>IF($M191="",DATE(2100,12,31),$M191)</f>
        <v/>
      </c>
      <c r="P191" s="16" t="inlineStr"/>
      <c r="Q191" s="16" t="inlineStr"/>
      <c r="R191" s="29">
        <f>IF($C191="","",IFERROR(IF(INDEX(Deals!$U$2:$U$355,MATCH($C191,Deals!$A$2:$A$355,0))=0,"",INDEX(Deals!$U$2:$U$355,MATCH($C191,Deals!$A$2:$A$355,0))),""))</f>
        <v/>
      </c>
      <c r="S191" s="22">
        <f>IFERROR(IF($U191="",1,INDEX(Deals!$V$2:$V$355,MATCH($C191,Deals!$A$2:$A$355,0))),1)</f>
        <v/>
      </c>
      <c r="T191" s="22">
        <f>IFERROR(IF($U191="",1,INDEX(Deals!$W$2:$W$355,MATCH($C191,Deals!$A$2:$A$355,0))),1)</f>
        <v/>
      </c>
      <c r="U191" s="31">
        <f>IF($C191="","",IFERROR(IF(INDEX(Deals!$Y$2:$Y$355,MATCH($C191,Deals!$A$2:$A$355,0))=0,"",INDEX(Deals!$Y$2:$Y$355,MATCH($C191,Deals!$A$2:$A$355,0))),""))</f>
        <v/>
      </c>
      <c r="V191" s="24">
        <f>IF($U191="",DATE(1900,1,1),$N191)</f>
        <v/>
      </c>
      <c r="W191" s="24">
        <f>IF($U191="",DATE(2100,12,31),$U191)</f>
        <v/>
      </c>
      <c r="X191" s="20">
        <f>IF($U191="",$K191,$K191*$S191)</f>
        <v/>
      </c>
      <c r="Y191" s="24">
        <f>IF($U191="",DATE(2100,12,31),$U191+1)</f>
        <v/>
      </c>
      <c r="Z191" s="24">
        <f>IF($U191="",DATE(1900,1,1),$O191)</f>
        <v/>
      </c>
      <c r="AA191" s="20">
        <f>IF($U191="",0,$K191*$T191)</f>
        <v/>
      </c>
    </row>
    <row r="192">
      <c r="A192" s="15" t="inlineStr">
        <is>
          <t>Jeremy</t>
        </is>
      </c>
      <c r="B192" s="29">
        <f>IF($A192="","",IFERROR(INDEX(Roster!$B$2:$B$40,MATCH($A192,Roster!$A$2:$A$40,0)),"?"))</f>
        <v/>
      </c>
      <c r="C192" s="15" t="inlineStr">
        <is>
          <t>MIP_1</t>
        </is>
      </c>
      <c r="D192" s="29">
        <f>IF($C192="","",IFERROR(IF(INDEX(Deals!$C$2:$C$355,MATCH($C192,Deals!$A$2:$A$355,0))=0,"",INDEX(Deals!$C$2:$C$355,MATCH($C192,Deals!$A$2:$A$355,0))),"?"))</f>
        <v/>
      </c>
      <c r="E192" s="29">
        <f>IF($C192="","",IFERROR(INDEX(Deals!$F$2:$F$355,MATCH($C192,Deals!$A$2:$A$355,0)),"?"))</f>
        <v/>
      </c>
      <c r="F192" s="15" t="inlineStr">
        <is>
          <t>MD</t>
        </is>
      </c>
      <c r="G192" s="15" t="inlineStr">
        <is>
          <t>Active</t>
        </is>
      </c>
      <c r="H192" s="27" t="n"/>
      <c r="I192" s="20">
        <f>IF(OR($A192="",$G192&lt;&gt;"Active"),0,IF($H192&lt;&gt;"",$H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</f>
        <v/>
      </c>
      <c r="J192" s="23">
        <f>IF($C192="",0,IFERROR(INDEX(Deals!$H$2:$H$355,MATCH($C192,Deals!$A$2:$A$355,0)),0))</f>
        <v/>
      </c>
      <c r="K192" s="20">
        <f>IF(Settings!$B$4="Yes",$I192*$J192,$I192)</f>
        <v/>
      </c>
      <c r="L192" s="31">
        <f>IF($C192="","",IFERROR(IF(INDEX(Deals!$I$2:$I$355,MATCH($C192,Deals!$A$2:$A$355,0))=0,"",INDEX(Deals!$I$2:$I$355,MATCH($C192,Deals!$A$2:$A$355,0))),""))</f>
        <v/>
      </c>
      <c r="M192" s="31">
        <f>IF($C192="","",IFERROR(IF(INDEX(Deals!$J$2:$J$355,MATCH($C192,Deals!$A$2:$A$355,0))=0,"",INDEX(Deals!$J$2:$J$355,MATCH($C192,Deals!$A$2:$A$355,0))),""))</f>
        <v/>
      </c>
      <c r="N192" s="24">
        <f>IF($L192="",DATE(1900,1,1),$L192)</f>
        <v/>
      </c>
      <c r="O192" s="24">
        <f>IF($M192="",DATE(2100,12,31),$M192)</f>
        <v/>
      </c>
      <c r="P192" s="16" t="inlineStr"/>
      <c r="Q192" s="16" t="inlineStr"/>
      <c r="R192" s="29">
        <f>IF($C192="","",IFERROR(IF(INDEX(Deals!$U$2:$U$355,MATCH($C192,Deals!$A$2:$A$355,0))=0,"",INDEX(Deals!$U$2:$U$355,MATCH($C192,Deals!$A$2:$A$355,0))),""))</f>
        <v/>
      </c>
      <c r="S192" s="22">
        <f>IFERROR(IF($U192="",1,INDEX(Deals!$V$2:$V$355,MATCH($C192,Deals!$A$2:$A$355,0))),1)</f>
        <v/>
      </c>
      <c r="T192" s="22">
        <f>IFERROR(IF($U192="",1,INDEX(Deals!$W$2:$W$355,MATCH($C192,Deals!$A$2:$A$355,0))),1)</f>
        <v/>
      </c>
      <c r="U192" s="31">
        <f>IF($C192="","",IFERROR(IF(INDEX(Deals!$Y$2:$Y$355,MATCH($C192,Deals!$A$2:$A$355,0))=0,"",INDEX(Deals!$Y$2:$Y$355,MATCH($C192,Deals!$A$2:$A$355,0))),""))</f>
        <v/>
      </c>
      <c r="V192" s="24">
        <f>IF($U192="",DATE(1900,1,1),$N192)</f>
        <v/>
      </c>
      <c r="W192" s="24">
        <f>IF($U192="",DATE(2100,12,31),$U192)</f>
        <v/>
      </c>
      <c r="X192" s="20">
        <f>IF($U192="",$K192,$K192*$S192)</f>
        <v/>
      </c>
      <c r="Y192" s="24">
        <f>IF($U192="",DATE(2100,12,31),$U192+1)</f>
        <v/>
      </c>
      <c r="Z192" s="24">
        <f>IF($U192="",DATE(1900,1,1),$O192)</f>
        <v/>
      </c>
      <c r="AA192" s="20">
        <f>IF($U192="",0,$K192*$T192)</f>
        <v/>
      </c>
    </row>
    <row r="193">
      <c r="A193" s="15" t="inlineStr">
        <is>
          <t>Jeremy</t>
        </is>
      </c>
      <c r="B193" s="29">
        <f>IF($A193="","",IFERROR(INDEX(Roster!$B$2:$B$40,MATCH($A193,Roster!$A$2:$A$40,0)),"?"))</f>
        <v/>
      </c>
      <c r="C193" s="15" t="inlineStr">
        <is>
          <t>Nemrut_1</t>
        </is>
      </c>
      <c r="D193" s="29">
        <f>IF($C193="","",IFERROR(IF(INDEX(Deals!$C$2:$C$355,MATCH($C193,Deals!$A$2:$A$355,0))=0,"",INDEX(Deals!$C$2:$C$355,MATCH($C193,Deals!$A$2:$A$355,0))),"?"))</f>
        <v/>
      </c>
      <c r="E193" s="29">
        <f>IF($C193="","",IFERROR(INDEX(Deals!$F$2:$F$355,MATCH($C193,Deals!$A$2:$A$355,0)),"?"))</f>
        <v/>
      </c>
      <c r="F193" s="15" t="inlineStr">
        <is>
          <t>MD</t>
        </is>
      </c>
      <c r="G193" s="15" t="inlineStr">
        <is>
          <t>Active</t>
        </is>
      </c>
      <c r="H193" s="27" t="n"/>
      <c r="I193" s="20">
        <f>IF(OR($A193="",$G193&lt;&gt;"Active"),0,IF($H193&lt;&gt;"",$H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</f>
        <v/>
      </c>
      <c r="J193" s="23">
        <f>IF($C193="",0,IFERROR(INDEX(Deals!$H$2:$H$355,MATCH($C193,Deals!$A$2:$A$355,0)),0))</f>
        <v/>
      </c>
      <c r="K193" s="20">
        <f>IF(Settings!$B$4="Yes",$I193*$J193,$I193)</f>
        <v/>
      </c>
      <c r="L193" s="31">
        <f>IF($C193="","",IFERROR(IF(INDEX(Deals!$I$2:$I$355,MATCH($C193,Deals!$A$2:$A$355,0))=0,"",INDEX(Deals!$I$2:$I$355,MATCH($C193,Deals!$A$2:$A$355,0))),""))</f>
        <v/>
      </c>
      <c r="M193" s="31">
        <f>IF($C193="","",IFERROR(IF(INDEX(Deals!$J$2:$J$355,MATCH($C193,Deals!$A$2:$A$355,0))=0,"",INDEX(Deals!$J$2:$J$355,MATCH($C193,Deals!$A$2:$A$355,0))),""))</f>
        <v/>
      </c>
      <c r="N193" s="24">
        <f>IF($L193="",DATE(1900,1,1),$L193)</f>
        <v/>
      </c>
      <c r="O193" s="24">
        <f>IF($M193="",DATE(2100,12,31),$M193)</f>
        <v/>
      </c>
      <c r="P193" s="16" t="inlineStr"/>
      <c r="Q193" s="16" t="inlineStr"/>
      <c r="R193" s="29">
        <f>IF($C193="","",IFERROR(IF(INDEX(Deals!$U$2:$U$355,MATCH($C193,Deals!$A$2:$A$355,0))=0,"",INDEX(Deals!$U$2:$U$355,MATCH($C193,Deals!$A$2:$A$355,0))),""))</f>
        <v/>
      </c>
      <c r="S193" s="22">
        <f>IFERROR(IF($U193="",1,INDEX(Deals!$V$2:$V$355,MATCH($C193,Deals!$A$2:$A$355,0))),1)</f>
        <v/>
      </c>
      <c r="T193" s="22">
        <f>IFERROR(IF($U193="",1,INDEX(Deals!$W$2:$W$355,MATCH($C193,Deals!$A$2:$A$355,0))),1)</f>
        <v/>
      </c>
      <c r="U193" s="31">
        <f>IF($C193="","",IFERROR(IF(INDEX(Deals!$Y$2:$Y$355,MATCH($C193,Deals!$A$2:$A$355,0))=0,"",INDEX(Deals!$Y$2:$Y$355,MATCH($C193,Deals!$A$2:$A$355,0))),""))</f>
        <v/>
      </c>
      <c r="V193" s="24">
        <f>IF($U193="",DATE(1900,1,1),$N193)</f>
        <v/>
      </c>
      <c r="W193" s="24">
        <f>IF($U193="",DATE(2100,12,31),$U193)</f>
        <v/>
      </c>
      <c r="X193" s="20">
        <f>IF($U193="",$K193,$K193*$S193)</f>
        <v/>
      </c>
      <c r="Y193" s="24">
        <f>IF($U193="",DATE(2100,12,31),$U193+1)</f>
        <v/>
      </c>
      <c r="Z193" s="24">
        <f>IF($U193="",DATE(1900,1,1),$O193)</f>
        <v/>
      </c>
      <c r="AA193" s="20">
        <f>IF($U193="",0,$K193*$T193)</f>
        <v/>
      </c>
    </row>
    <row r="194">
      <c r="A194" s="15" t="inlineStr">
        <is>
          <t>Jeremy</t>
        </is>
      </c>
      <c r="B194" s="29">
        <f>IF($A194="","",IFERROR(INDEX(Roster!$B$2:$B$40,MATCH($A194,Roster!$A$2:$A$40,0)),"?"))</f>
        <v/>
      </c>
      <c r="C194" s="15" t="inlineStr">
        <is>
          <t>Orca_1</t>
        </is>
      </c>
      <c r="D194" s="29">
        <f>IF($C194="","",IFERROR(IF(INDEX(Deals!$C$2:$C$355,MATCH($C194,Deals!$A$2:$A$355,0))=0,"",INDEX(Deals!$C$2:$C$355,MATCH($C194,Deals!$A$2:$A$355,0))),"?"))</f>
        <v/>
      </c>
      <c r="E194" s="29">
        <f>IF($C194="","",IFERROR(INDEX(Deals!$F$2:$F$355,MATCH($C194,Deals!$A$2:$A$355,0)),"?"))</f>
        <v/>
      </c>
      <c r="F194" s="15" t="inlineStr">
        <is>
          <t>MD</t>
        </is>
      </c>
      <c r="G194" s="15" t="inlineStr">
        <is>
          <t>Active</t>
        </is>
      </c>
      <c r="H194" s="27" t="n"/>
      <c r="I194" s="20">
        <f>IF(OR($A194="",$G194&lt;&gt;"Active"),0,IF($H194&lt;&gt;"",$H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</f>
        <v/>
      </c>
      <c r="J194" s="23">
        <f>IF($C194="",0,IFERROR(INDEX(Deals!$H$2:$H$355,MATCH($C194,Deals!$A$2:$A$355,0)),0))</f>
        <v/>
      </c>
      <c r="K194" s="20">
        <f>IF(Settings!$B$4="Yes",$I194*$J194,$I194)</f>
        <v/>
      </c>
      <c r="L194" s="31">
        <f>IF($C194="","",IFERROR(IF(INDEX(Deals!$I$2:$I$355,MATCH($C194,Deals!$A$2:$A$355,0))=0,"",INDEX(Deals!$I$2:$I$355,MATCH($C194,Deals!$A$2:$A$355,0))),""))</f>
        <v/>
      </c>
      <c r="M194" s="31">
        <f>IF($C194="","",IFERROR(IF(INDEX(Deals!$J$2:$J$355,MATCH($C194,Deals!$A$2:$A$355,0))=0,"",INDEX(Deals!$J$2:$J$355,MATCH($C194,Deals!$A$2:$A$355,0))),""))</f>
        <v/>
      </c>
      <c r="N194" s="24">
        <f>IF($L194="",DATE(1900,1,1),$L194)</f>
        <v/>
      </c>
      <c r="O194" s="24">
        <f>IF($M194="",DATE(2100,12,31),$M194)</f>
        <v/>
      </c>
      <c r="P194" s="16" t="inlineStr"/>
      <c r="Q194" s="16" t="inlineStr"/>
      <c r="R194" s="29">
        <f>IF($C194="","",IFERROR(IF(INDEX(Deals!$U$2:$U$355,MATCH($C194,Deals!$A$2:$A$355,0))=0,"",INDEX(Deals!$U$2:$U$355,MATCH($C194,Deals!$A$2:$A$355,0))),""))</f>
        <v/>
      </c>
      <c r="S194" s="22">
        <f>IFERROR(IF($U194="",1,INDEX(Deals!$V$2:$V$355,MATCH($C194,Deals!$A$2:$A$355,0))),1)</f>
        <v/>
      </c>
      <c r="T194" s="22">
        <f>IFERROR(IF($U194="",1,INDEX(Deals!$W$2:$W$355,MATCH($C194,Deals!$A$2:$A$355,0))),1)</f>
        <v/>
      </c>
      <c r="U194" s="31">
        <f>IF($C194="","",IFERROR(IF(INDEX(Deals!$Y$2:$Y$355,MATCH($C194,Deals!$A$2:$A$355,0))=0,"",INDEX(Deals!$Y$2:$Y$355,MATCH($C194,Deals!$A$2:$A$355,0))),""))</f>
        <v/>
      </c>
      <c r="V194" s="24">
        <f>IF($U194="",DATE(1900,1,1),$N194)</f>
        <v/>
      </c>
      <c r="W194" s="24">
        <f>IF($U194="",DATE(2100,12,31),$U194)</f>
        <v/>
      </c>
      <c r="X194" s="20">
        <f>IF($U194="",$K194,$K194*$S194)</f>
        <v/>
      </c>
      <c r="Y194" s="24">
        <f>IF($U194="",DATE(2100,12,31),$U194+1)</f>
        <v/>
      </c>
      <c r="Z194" s="24">
        <f>IF($U194="",DATE(1900,1,1),$O194)</f>
        <v/>
      </c>
      <c r="AA194" s="20">
        <f>IF($U194="",0,$K194*$T194)</f>
        <v/>
      </c>
    </row>
    <row r="195">
      <c r="A195" s="15" t="inlineStr">
        <is>
          <t>Jeremy</t>
        </is>
      </c>
      <c r="B195" s="29">
        <f>IF($A195="","",IFERROR(INDEX(Roster!$B$2:$B$40,MATCH($A195,Roster!$A$2:$A$40,0)),"?"))</f>
        <v/>
      </c>
      <c r="C195" s="15" t="inlineStr">
        <is>
          <t>Redwood_1</t>
        </is>
      </c>
      <c r="D195" s="29">
        <f>IF($C195="","",IFERROR(IF(INDEX(Deals!$C$2:$C$355,MATCH($C195,Deals!$A$2:$A$355,0))=0,"",INDEX(Deals!$C$2:$C$355,MATCH($C195,Deals!$A$2:$A$355,0))),"?"))</f>
        <v/>
      </c>
      <c r="E195" s="29">
        <f>IF($C195="","",IFERROR(INDEX(Deals!$F$2:$F$355,MATCH($C195,Deals!$A$2:$A$355,0)),"?"))</f>
        <v/>
      </c>
      <c r="F195" s="15" t="inlineStr">
        <is>
          <t>MD</t>
        </is>
      </c>
      <c r="G195" s="15" t="inlineStr">
        <is>
          <t>Active</t>
        </is>
      </c>
      <c r="H195" s="27" t="n"/>
      <c r="I195" s="20">
        <f>IF(OR($A195="",$G195&lt;&gt;"Active"),0,IF($H195&lt;&gt;"",$H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</f>
        <v/>
      </c>
      <c r="J195" s="23">
        <f>IF($C195="",0,IFERROR(INDEX(Deals!$H$2:$H$355,MATCH($C195,Deals!$A$2:$A$355,0)),0))</f>
        <v/>
      </c>
      <c r="K195" s="20">
        <f>IF(Settings!$B$4="Yes",$I195*$J195,$I195)</f>
        <v/>
      </c>
      <c r="L195" s="31">
        <f>IF($C195="","",IFERROR(IF(INDEX(Deals!$I$2:$I$355,MATCH($C195,Deals!$A$2:$A$355,0))=0,"",INDEX(Deals!$I$2:$I$355,MATCH($C195,Deals!$A$2:$A$355,0))),""))</f>
        <v/>
      </c>
      <c r="M195" s="31">
        <f>IF($C195="","",IFERROR(IF(INDEX(Deals!$J$2:$J$355,MATCH($C195,Deals!$A$2:$A$355,0))=0,"",INDEX(Deals!$J$2:$J$355,MATCH($C195,Deals!$A$2:$A$355,0))),""))</f>
        <v/>
      </c>
      <c r="N195" s="24">
        <f>IF($L195="",DATE(1900,1,1),$L195)</f>
        <v/>
      </c>
      <c r="O195" s="24">
        <f>IF($M195="",DATE(2100,12,31),$M195)</f>
        <v/>
      </c>
      <c r="P195" s="16" t="inlineStr"/>
      <c r="Q195" s="16" t="inlineStr"/>
      <c r="R195" s="29">
        <f>IF($C195="","",IFERROR(IF(INDEX(Deals!$U$2:$U$355,MATCH($C195,Deals!$A$2:$A$355,0))=0,"",INDEX(Deals!$U$2:$U$355,MATCH($C195,Deals!$A$2:$A$355,0))),""))</f>
        <v/>
      </c>
      <c r="S195" s="22">
        <f>IFERROR(IF($U195="",1,INDEX(Deals!$V$2:$V$355,MATCH($C195,Deals!$A$2:$A$355,0))),1)</f>
        <v/>
      </c>
      <c r="T195" s="22">
        <f>IFERROR(IF($U195="",1,INDEX(Deals!$W$2:$W$355,MATCH($C195,Deals!$A$2:$A$355,0))),1)</f>
        <v/>
      </c>
      <c r="U195" s="31">
        <f>IF($C195="","",IFERROR(IF(INDEX(Deals!$Y$2:$Y$355,MATCH($C195,Deals!$A$2:$A$355,0))=0,"",INDEX(Deals!$Y$2:$Y$355,MATCH($C195,Deals!$A$2:$A$355,0))),""))</f>
        <v/>
      </c>
      <c r="V195" s="24">
        <f>IF($U195="",DATE(1900,1,1),$N195)</f>
        <v/>
      </c>
      <c r="W195" s="24">
        <f>IF($U195="",DATE(2100,12,31),$U195)</f>
        <v/>
      </c>
      <c r="X195" s="20">
        <f>IF($U195="",$K195,$K195*$S195)</f>
        <v/>
      </c>
      <c r="Y195" s="24">
        <f>IF($U195="",DATE(2100,12,31),$U195+1)</f>
        <v/>
      </c>
      <c r="Z195" s="24">
        <f>IF($U195="",DATE(1900,1,1),$O195)</f>
        <v/>
      </c>
      <c r="AA195" s="20">
        <f>IF($U195="",0,$K195*$T195)</f>
        <v/>
      </c>
    </row>
    <row r="196">
      <c r="A196" s="15" t="inlineStr">
        <is>
          <t>Jeremy</t>
        </is>
      </c>
      <c r="B196" s="29">
        <f>IF($A196="","",IFERROR(INDEX(Roster!$B$2:$B$40,MATCH($A196,Roster!$A$2:$A$40,0)),"?"))</f>
        <v/>
      </c>
      <c r="C196" s="15" t="inlineStr">
        <is>
          <t>Rosa_1</t>
        </is>
      </c>
      <c r="D196" s="29">
        <f>IF($C196="","",IFERROR(IF(INDEX(Deals!$C$2:$C$355,MATCH($C196,Deals!$A$2:$A$355,0))=0,"",INDEX(Deals!$C$2:$C$355,MATCH($C196,Deals!$A$2:$A$355,0))),"?"))</f>
        <v/>
      </c>
      <c r="E196" s="29">
        <f>IF($C196="","",IFERROR(INDEX(Deals!$F$2:$F$355,MATCH($C196,Deals!$A$2:$A$355,0)),"?"))</f>
        <v/>
      </c>
      <c r="F196" s="15" t="inlineStr">
        <is>
          <t>MD</t>
        </is>
      </c>
      <c r="G196" s="15" t="inlineStr">
        <is>
          <t>Active</t>
        </is>
      </c>
      <c r="H196" s="27" t="n"/>
      <c r="I196" s="20">
        <f>IF(OR($A196="",$G196&lt;&gt;"Active"),0,IF($H196&lt;&gt;"",$H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</f>
        <v/>
      </c>
      <c r="J196" s="23">
        <f>IF($C196="",0,IFERROR(INDEX(Deals!$H$2:$H$355,MATCH($C196,Deals!$A$2:$A$355,0)),0))</f>
        <v/>
      </c>
      <c r="K196" s="20">
        <f>IF(Settings!$B$4="Yes",$I196*$J196,$I196)</f>
        <v/>
      </c>
      <c r="L196" s="31">
        <f>IF($C196="","",IFERROR(IF(INDEX(Deals!$I$2:$I$355,MATCH($C196,Deals!$A$2:$A$355,0))=0,"",INDEX(Deals!$I$2:$I$355,MATCH($C196,Deals!$A$2:$A$355,0))),""))</f>
        <v/>
      </c>
      <c r="M196" s="31">
        <f>IF($C196="","",IFERROR(IF(INDEX(Deals!$J$2:$J$355,MATCH($C196,Deals!$A$2:$A$355,0))=0,"",INDEX(Deals!$J$2:$J$355,MATCH($C196,Deals!$A$2:$A$355,0))),""))</f>
        <v/>
      </c>
      <c r="N196" s="24">
        <f>IF($L196="",DATE(1900,1,1),$L196)</f>
        <v/>
      </c>
      <c r="O196" s="24">
        <f>IF($M196="",DATE(2100,12,31),$M196)</f>
        <v/>
      </c>
      <c r="P196" s="16" t="inlineStr"/>
      <c r="Q196" s="16" t="inlineStr"/>
      <c r="R196" s="29">
        <f>IF($C196="","",IFERROR(IF(INDEX(Deals!$U$2:$U$355,MATCH($C196,Deals!$A$2:$A$355,0))=0,"",INDEX(Deals!$U$2:$U$355,MATCH($C196,Deals!$A$2:$A$355,0))),""))</f>
        <v/>
      </c>
      <c r="S196" s="22">
        <f>IFERROR(IF($U196="",1,INDEX(Deals!$V$2:$V$355,MATCH($C196,Deals!$A$2:$A$355,0))),1)</f>
        <v/>
      </c>
      <c r="T196" s="22">
        <f>IFERROR(IF($U196="",1,INDEX(Deals!$W$2:$W$355,MATCH($C196,Deals!$A$2:$A$355,0))),1)</f>
        <v/>
      </c>
      <c r="U196" s="31">
        <f>IF($C196="","",IFERROR(IF(INDEX(Deals!$Y$2:$Y$355,MATCH($C196,Deals!$A$2:$A$355,0))=0,"",INDEX(Deals!$Y$2:$Y$355,MATCH($C196,Deals!$A$2:$A$355,0))),""))</f>
        <v/>
      </c>
      <c r="V196" s="24">
        <f>IF($U196="",DATE(1900,1,1),$N196)</f>
        <v/>
      </c>
      <c r="W196" s="24">
        <f>IF($U196="",DATE(2100,12,31),$U196)</f>
        <v/>
      </c>
      <c r="X196" s="20">
        <f>IF($U196="",$K196,$K196*$S196)</f>
        <v/>
      </c>
      <c r="Y196" s="24">
        <f>IF($U196="",DATE(2100,12,31),$U196+1)</f>
        <v/>
      </c>
      <c r="Z196" s="24">
        <f>IF($U196="",DATE(1900,1,1),$O196)</f>
        <v/>
      </c>
      <c r="AA196" s="20">
        <f>IF($U196="",0,$K196*$T196)</f>
        <v/>
      </c>
    </row>
    <row r="197">
      <c r="A197" s="15" t="inlineStr">
        <is>
          <t>Jeremy</t>
        </is>
      </c>
      <c r="B197" s="29">
        <f>IF($A197="","",IFERROR(INDEX(Roster!$B$2:$B$40,MATCH($A197,Roster!$A$2:$A$40,0)),"?"))</f>
        <v/>
      </c>
      <c r="C197" s="15" t="inlineStr">
        <is>
          <t>Sentinel_2</t>
        </is>
      </c>
      <c r="D197" s="29">
        <f>IF($C197="","",IFERROR(IF(INDEX(Deals!$C$2:$C$355,MATCH($C197,Deals!$A$2:$A$355,0))=0,"",INDEX(Deals!$C$2:$C$355,MATCH($C197,Deals!$A$2:$A$355,0))),"?"))</f>
        <v/>
      </c>
      <c r="E197" s="29">
        <f>IF($C197="","",IFERROR(INDEX(Deals!$F$2:$F$355,MATCH($C197,Deals!$A$2:$A$355,0)),"?"))</f>
        <v/>
      </c>
      <c r="F197" s="15" t="inlineStr">
        <is>
          <t>MD</t>
        </is>
      </c>
      <c r="G197" s="15" t="inlineStr">
        <is>
          <t>Active</t>
        </is>
      </c>
      <c r="H197" s="27" t="n"/>
      <c r="I197" s="20">
        <f>IF(OR($A197="",$G197&lt;&gt;"Active"),0,IF($H197&lt;&gt;"",$H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</f>
        <v/>
      </c>
      <c r="J197" s="23">
        <f>IF($C197="",0,IFERROR(INDEX(Deals!$H$2:$H$355,MATCH($C197,Deals!$A$2:$A$355,0)),0))</f>
        <v/>
      </c>
      <c r="K197" s="20">
        <f>IF(Settings!$B$4="Yes",$I197*$J197,$I197)</f>
        <v/>
      </c>
      <c r="L197" s="31">
        <f>IF($C197="","",IFERROR(IF(INDEX(Deals!$I$2:$I$355,MATCH($C197,Deals!$A$2:$A$355,0))=0,"",INDEX(Deals!$I$2:$I$355,MATCH($C197,Deals!$A$2:$A$355,0))),""))</f>
        <v/>
      </c>
      <c r="M197" s="31">
        <f>IF($C197="","",IFERROR(IF(INDEX(Deals!$J$2:$J$355,MATCH($C197,Deals!$A$2:$A$355,0))=0,"",INDEX(Deals!$J$2:$J$355,MATCH($C197,Deals!$A$2:$A$355,0))),""))</f>
        <v/>
      </c>
      <c r="N197" s="24">
        <f>IF($L197="",DATE(1900,1,1),$L197)</f>
        <v/>
      </c>
      <c r="O197" s="24">
        <f>IF($M197="",DATE(2100,12,31),$M197)</f>
        <v/>
      </c>
      <c r="P197" s="16" t="inlineStr"/>
      <c r="Q197" s="16" t="inlineStr"/>
      <c r="R197" s="29">
        <f>IF($C197="","",IFERROR(IF(INDEX(Deals!$U$2:$U$355,MATCH($C197,Deals!$A$2:$A$355,0))=0,"",INDEX(Deals!$U$2:$U$355,MATCH($C197,Deals!$A$2:$A$355,0))),""))</f>
        <v/>
      </c>
      <c r="S197" s="22">
        <f>IFERROR(IF($U197="",1,INDEX(Deals!$V$2:$V$355,MATCH($C197,Deals!$A$2:$A$355,0))),1)</f>
        <v/>
      </c>
      <c r="T197" s="22">
        <f>IFERROR(IF($U197="",1,INDEX(Deals!$W$2:$W$355,MATCH($C197,Deals!$A$2:$A$355,0))),1)</f>
        <v/>
      </c>
      <c r="U197" s="31">
        <f>IF($C197="","",IFERROR(IF(INDEX(Deals!$Y$2:$Y$355,MATCH($C197,Deals!$A$2:$A$355,0))=0,"",INDEX(Deals!$Y$2:$Y$355,MATCH($C197,Deals!$A$2:$A$355,0))),""))</f>
        <v/>
      </c>
      <c r="V197" s="24">
        <f>IF($U197="",DATE(1900,1,1),$N197)</f>
        <v/>
      </c>
      <c r="W197" s="24">
        <f>IF($U197="",DATE(2100,12,31),$U197)</f>
        <v/>
      </c>
      <c r="X197" s="20">
        <f>IF($U197="",$K197,$K197*$S197)</f>
        <v/>
      </c>
      <c r="Y197" s="24">
        <f>IF($U197="",DATE(2100,12,31),$U197+1)</f>
        <v/>
      </c>
      <c r="Z197" s="24">
        <f>IF($U197="",DATE(1900,1,1),$O197)</f>
        <v/>
      </c>
      <c r="AA197" s="20">
        <f>IF($U197="",0,$K197*$T197)</f>
        <v/>
      </c>
    </row>
    <row r="198">
      <c r="A198" s="15" t="inlineStr">
        <is>
          <t>Jeremy</t>
        </is>
      </c>
      <c r="B198" s="29">
        <f>IF($A198="","",IFERROR(INDEX(Roster!$B$2:$B$40,MATCH($A198,Roster!$A$2:$A$40,0)),"?"))</f>
        <v/>
      </c>
      <c r="C198" s="15" t="inlineStr">
        <is>
          <t>Seven2 PFIC_1</t>
        </is>
      </c>
      <c r="D198" s="29">
        <f>IF($C198="","",IFERROR(IF(INDEX(Deals!$C$2:$C$355,MATCH($C198,Deals!$A$2:$A$355,0))=0,"",INDEX(Deals!$C$2:$C$355,MATCH($C198,Deals!$A$2:$A$355,0))),"?"))</f>
        <v/>
      </c>
      <c r="E198" s="29">
        <f>IF($C198="","",IFERROR(INDEX(Deals!$F$2:$F$355,MATCH($C198,Deals!$A$2:$A$355,0)),"?"))</f>
        <v/>
      </c>
      <c r="F198" s="15" t="inlineStr">
        <is>
          <t>MD</t>
        </is>
      </c>
      <c r="G198" s="15" t="inlineStr">
        <is>
          <t>Active</t>
        </is>
      </c>
      <c r="H198" s="27" t="n"/>
      <c r="I198" s="20">
        <f>IF(OR($A198="",$G198&lt;&gt;"Active"),0,IF($H198&lt;&gt;"",$H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</f>
        <v/>
      </c>
      <c r="J198" s="23">
        <f>IF($C198="",0,IFERROR(INDEX(Deals!$H$2:$H$355,MATCH($C198,Deals!$A$2:$A$355,0)),0))</f>
        <v/>
      </c>
      <c r="K198" s="20">
        <f>IF(Settings!$B$4="Yes",$I198*$J198,$I198)</f>
        <v/>
      </c>
      <c r="L198" s="31">
        <f>IF($C198="","",IFERROR(IF(INDEX(Deals!$I$2:$I$355,MATCH($C198,Deals!$A$2:$A$355,0))=0,"",INDEX(Deals!$I$2:$I$355,MATCH($C198,Deals!$A$2:$A$355,0))),""))</f>
        <v/>
      </c>
      <c r="M198" s="31">
        <f>IF($C198="","",IFERROR(IF(INDEX(Deals!$J$2:$J$355,MATCH($C198,Deals!$A$2:$A$355,0))=0,"",INDEX(Deals!$J$2:$J$355,MATCH($C198,Deals!$A$2:$A$355,0))),""))</f>
        <v/>
      </c>
      <c r="N198" s="24">
        <f>IF($L198="",DATE(1900,1,1),$L198)</f>
        <v/>
      </c>
      <c r="O198" s="24">
        <f>IF($M198="",DATE(2100,12,31),$M198)</f>
        <v/>
      </c>
      <c r="P198" s="16" t="inlineStr"/>
      <c r="Q198" s="16" t="inlineStr"/>
      <c r="R198" s="29">
        <f>IF($C198="","",IFERROR(IF(INDEX(Deals!$U$2:$U$355,MATCH($C198,Deals!$A$2:$A$355,0))=0,"",INDEX(Deals!$U$2:$U$355,MATCH($C198,Deals!$A$2:$A$355,0))),""))</f>
        <v/>
      </c>
      <c r="S198" s="22">
        <f>IFERROR(IF($U198="",1,INDEX(Deals!$V$2:$V$355,MATCH($C198,Deals!$A$2:$A$355,0))),1)</f>
        <v/>
      </c>
      <c r="T198" s="22">
        <f>IFERROR(IF($U198="",1,INDEX(Deals!$W$2:$W$355,MATCH($C198,Deals!$A$2:$A$355,0))),1)</f>
        <v/>
      </c>
      <c r="U198" s="31">
        <f>IF($C198="","",IFERROR(IF(INDEX(Deals!$Y$2:$Y$355,MATCH($C198,Deals!$A$2:$A$355,0))=0,"",INDEX(Deals!$Y$2:$Y$355,MATCH($C198,Deals!$A$2:$A$355,0))),""))</f>
        <v/>
      </c>
      <c r="V198" s="24">
        <f>IF($U198="",DATE(1900,1,1),$N198)</f>
        <v/>
      </c>
      <c r="W198" s="24">
        <f>IF($U198="",DATE(2100,12,31),$U198)</f>
        <v/>
      </c>
      <c r="X198" s="20">
        <f>IF($U198="",$K198,$K198*$S198)</f>
        <v/>
      </c>
      <c r="Y198" s="24">
        <f>IF($U198="",DATE(2100,12,31),$U198+1)</f>
        <v/>
      </c>
      <c r="Z198" s="24">
        <f>IF($U198="",DATE(1900,1,1),$O198)</f>
        <v/>
      </c>
      <c r="AA198" s="20">
        <f>IF($U198="",0,$K198*$T198)</f>
        <v/>
      </c>
    </row>
    <row r="199">
      <c r="A199" s="15" t="inlineStr">
        <is>
          <t>Jeremy</t>
        </is>
      </c>
      <c r="B199" s="29">
        <f>IF($A199="","",IFERROR(INDEX(Roster!$B$2:$B$40,MATCH($A199,Roster!$A$2:$A$40,0)),"?"))</f>
        <v/>
      </c>
      <c r="C199" s="15" t="inlineStr">
        <is>
          <t>Theoden_1</t>
        </is>
      </c>
      <c r="D199" s="29">
        <f>IF($C199="","",IFERROR(IF(INDEX(Deals!$C$2:$C$355,MATCH($C199,Deals!$A$2:$A$355,0))=0,"",INDEX(Deals!$C$2:$C$355,MATCH($C199,Deals!$A$2:$A$355,0))),"?"))</f>
        <v/>
      </c>
      <c r="E199" s="29">
        <f>IF($C199="","",IFERROR(INDEX(Deals!$F$2:$F$355,MATCH($C199,Deals!$A$2:$A$355,0)),"?"))</f>
        <v/>
      </c>
      <c r="F199" s="15" t="inlineStr">
        <is>
          <t>MD</t>
        </is>
      </c>
      <c r="G199" s="15" t="inlineStr">
        <is>
          <t>Active</t>
        </is>
      </c>
      <c r="H199" s="27" t="n"/>
      <c r="I199" s="20">
        <f>IF(OR($A199="",$G199&lt;&gt;"Active"),0,IF($H199&lt;&gt;"",$H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</f>
        <v/>
      </c>
      <c r="J199" s="23">
        <f>IF($C199="",0,IFERROR(INDEX(Deals!$H$2:$H$355,MATCH($C199,Deals!$A$2:$A$355,0)),0))</f>
        <v/>
      </c>
      <c r="K199" s="20">
        <f>IF(Settings!$B$4="Yes",$I199*$J199,$I199)</f>
        <v/>
      </c>
      <c r="L199" s="31">
        <f>IF($C199="","",IFERROR(IF(INDEX(Deals!$I$2:$I$355,MATCH($C199,Deals!$A$2:$A$355,0))=0,"",INDEX(Deals!$I$2:$I$355,MATCH($C199,Deals!$A$2:$A$355,0))),""))</f>
        <v/>
      </c>
      <c r="M199" s="31">
        <f>IF($C199="","",IFERROR(IF(INDEX(Deals!$J$2:$J$355,MATCH($C199,Deals!$A$2:$A$355,0))=0,"",INDEX(Deals!$J$2:$J$355,MATCH($C199,Deals!$A$2:$A$355,0))),""))</f>
        <v/>
      </c>
      <c r="N199" s="24">
        <f>IF($L199="",DATE(1900,1,1),$L199)</f>
        <v/>
      </c>
      <c r="O199" s="24">
        <f>IF($M199="",DATE(2100,12,31),$M199)</f>
        <v/>
      </c>
      <c r="P199" s="16" t="inlineStr"/>
      <c r="Q199" s="16" t="inlineStr"/>
      <c r="R199" s="29">
        <f>IF($C199="","",IFERROR(IF(INDEX(Deals!$U$2:$U$355,MATCH($C199,Deals!$A$2:$A$355,0))=0,"",INDEX(Deals!$U$2:$U$355,MATCH($C199,Deals!$A$2:$A$355,0))),""))</f>
        <v/>
      </c>
      <c r="S199" s="22">
        <f>IFERROR(IF($U199="",1,INDEX(Deals!$V$2:$V$355,MATCH($C199,Deals!$A$2:$A$355,0))),1)</f>
        <v/>
      </c>
      <c r="T199" s="22">
        <f>IFERROR(IF($U199="",1,INDEX(Deals!$W$2:$W$355,MATCH($C199,Deals!$A$2:$A$355,0))),1)</f>
        <v/>
      </c>
      <c r="U199" s="31">
        <f>IF($C199="","",IFERROR(IF(INDEX(Deals!$Y$2:$Y$355,MATCH($C199,Deals!$A$2:$A$355,0))=0,"",INDEX(Deals!$Y$2:$Y$355,MATCH($C199,Deals!$A$2:$A$355,0))),""))</f>
        <v/>
      </c>
      <c r="V199" s="24">
        <f>IF($U199="",DATE(1900,1,1),$N199)</f>
        <v/>
      </c>
      <c r="W199" s="24">
        <f>IF($U199="",DATE(2100,12,31),$U199)</f>
        <v/>
      </c>
      <c r="X199" s="20">
        <f>IF($U199="",$K199,$K199*$S199)</f>
        <v/>
      </c>
      <c r="Y199" s="24">
        <f>IF($U199="",DATE(2100,12,31),$U199+1)</f>
        <v/>
      </c>
      <c r="Z199" s="24">
        <f>IF($U199="",DATE(1900,1,1),$O199)</f>
        <v/>
      </c>
      <c r="AA199" s="20">
        <f>IF($U199="",0,$K199*$T199)</f>
        <v/>
      </c>
    </row>
    <row r="200">
      <c r="A200" s="15" t="inlineStr">
        <is>
          <t>Jeremy</t>
        </is>
      </c>
      <c r="B200" s="29">
        <f>IF($A200="","",IFERROR(INDEX(Roster!$B$2:$B$40,MATCH($A200,Roster!$A$2:$A$40,0)),"?"))</f>
        <v/>
      </c>
      <c r="C200" s="15" t="inlineStr">
        <is>
          <t>Ursa_1</t>
        </is>
      </c>
      <c r="D200" s="29">
        <f>IF($C200="","",IFERROR(IF(INDEX(Deals!$C$2:$C$355,MATCH($C200,Deals!$A$2:$A$355,0))=0,"",INDEX(Deals!$C$2:$C$355,MATCH($C200,Deals!$A$2:$A$355,0))),"?"))</f>
        <v/>
      </c>
      <c r="E200" s="29">
        <f>IF($C200="","",IFERROR(INDEX(Deals!$F$2:$F$355,MATCH($C200,Deals!$A$2:$A$355,0)),"?"))</f>
        <v/>
      </c>
      <c r="F200" s="15" t="inlineStr">
        <is>
          <t>MD</t>
        </is>
      </c>
      <c r="G200" s="15" t="inlineStr">
        <is>
          <t>Active</t>
        </is>
      </c>
      <c r="H200" s="27" t="n"/>
      <c r="I200" s="20">
        <f>IF(OR($A200="",$G200&lt;&gt;"Active"),0,IF($H200&lt;&gt;"",$H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</f>
        <v/>
      </c>
      <c r="J200" s="23">
        <f>IF($C200="",0,IFERROR(INDEX(Deals!$H$2:$H$355,MATCH($C200,Deals!$A$2:$A$355,0)),0))</f>
        <v/>
      </c>
      <c r="K200" s="20">
        <f>IF(Settings!$B$4="Yes",$I200*$J200,$I200)</f>
        <v/>
      </c>
      <c r="L200" s="31">
        <f>IF($C200="","",IFERROR(IF(INDEX(Deals!$I$2:$I$355,MATCH($C200,Deals!$A$2:$A$355,0))=0,"",INDEX(Deals!$I$2:$I$355,MATCH($C200,Deals!$A$2:$A$355,0))),""))</f>
        <v/>
      </c>
      <c r="M200" s="31">
        <f>IF($C200="","",IFERROR(IF(INDEX(Deals!$J$2:$J$355,MATCH($C200,Deals!$A$2:$A$355,0))=0,"",INDEX(Deals!$J$2:$J$355,MATCH($C200,Deals!$A$2:$A$355,0))),""))</f>
        <v/>
      </c>
      <c r="N200" s="24">
        <f>IF($L200="",DATE(1900,1,1),$L200)</f>
        <v/>
      </c>
      <c r="O200" s="24">
        <f>IF($M200="",DATE(2100,12,31),$M200)</f>
        <v/>
      </c>
      <c r="P200" s="16" t="inlineStr"/>
      <c r="Q200" s="16" t="inlineStr"/>
      <c r="R200" s="29">
        <f>IF($C200="","",IFERROR(IF(INDEX(Deals!$U$2:$U$355,MATCH($C200,Deals!$A$2:$A$355,0))=0,"",INDEX(Deals!$U$2:$U$355,MATCH($C200,Deals!$A$2:$A$355,0))),""))</f>
        <v/>
      </c>
      <c r="S200" s="22">
        <f>IFERROR(IF($U200="",1,INDEX(Deals!$V$2:$V$355,MATCH($C200,Deals!$A$2:$A$355,0))),1)</f>
        <v/>
      </c>
      <c r="T200" s="22">
        <f>IFERROR(IF($U200="",1,INDEX(Deals!$W$2:$W$355,MATCH($C200,Deals!$A$2:$A$355,0))),1)</f>
        <v/>
      </c>
      <c r="U200" s="31">
        <f>IF($C200="","",IFERROR(IF(INDEX(Deals!$Y$2:$Y$355,MATCH($C200,Deals!$A$2:$A$355,0))=0,"",INDEX(Deals!$Y$2:$Y$355,MATCH($C200,Deals!$A$2:$A$355,0))),""))</f>
        <v/>
      </c>
      <c r="V200" s="24">
        <f>IF($U200="",DATE(1900,1,1),$N200)</f>
        <v/>
      </c>
      <c r="W200" s="24">
        <f>IF($U200="",DATE(2100,12,31),$U200)</f>
        <v/>
      </c>
      <c r="X200" s="20">
        <f>IF($U200="",$K200,$K200*$S200)</f>
        <v/>
      </c>
      <c r="Y200" s="24">
        <f>IF($U200="",DATE(2100,12,31),$U200+1)</f>
        <v/>
      </c>
      <c r="Z200" s="24">
        <f>IF($U200="",DATE(1900,1,1),$O200)</f>
        <v/>
      </c>
      <c r="AA200" s="20">
        <f>IF($U200="",0,$K200*$T200)</f>
        <v/>
      </c>
    </row>
    <row r="201">
      <c r="A201" s="15" t="inlineStr">
        <is>
          <t>Jeremy</t>
        </is>
      </c>
      <c r="B201" s="29">
        <f>IF($A201="","",IFERROR(INDEX(Roster!$B$2:$B$40,MATCH($A201,Roster!$A$2:$A$40,0)),"?"))</f>
        <v/>
      </c>
      <c r="C201" s="15" t="inlineStr">
        <is>
          <t>Voyager_1</t>
        </is>
      </c>
      <c r="D201" s="29">
        <f>IF($C201="","",IFERROR(IF(INDEX(Deals!$C$2:$C$355,MATCH($C201,Deals!$A$2:$A$355,0))=0,"",INDEX(Deals!$C$2:$C$355,MATCH($C201,Deals!$A$2:$A$355,0))),"?"))</f>
        <v/>
      </c>
      <c r="E201" s="29">
        <f>IF($C201="","",IFERROR(INDEX(Deals!$F$2:$F$355,MATCH($C201,Deals!$A$2:$A$355,0)),"?"))</f>
        <v/>
      </c>
      <c r="F201" s="15" t="inlineStr">
        <is>
          <t>MD</t>
        </is>
      </c>
      <c r="G201" s="15" t="inlineStr">
        <is>
          <t>Active</t>
        </is>
      </c>
      <c r="H201" s="27" t="n"/>
      <c r="I201" s="20">
        <f>IF(OR($A201="",$G201&lt;&gt;"Active"),0,IF($H201&lt;&gt;"",$H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</f>
        <v/>
      </c>
      <c r="J201" s="23">
        <f>IF($C201="",0,IFERROR(INDEX(Deals!$H$2:$H$355,MATCH($C201,Deals!$A$2:$A$355,0)),0))</f>
        <v/>
      </c>
      <c r="K201" s="20">
        <f>IF(Settings!$B$4="Yes",$I201*$J201,$I201)</f>
        <v/>
      </c>
      <c r="L201" s="31">
        <f>IF($C201="","",IFERROR(IF(INDEX(Deals!$I$2:$I$355,MATCH($C201,Deals!$A$2:$A$355,0))=0,"",INDEX(Deals!$I$2:$I$355,MATCH($C201,Deals!$A$2:$A$355,0))),""))</f>
        <v/>
      </c>
      <c r="M201" s="31">
        <f>IF($C201="","",IFERROR(IF(INDEX(Deals!$J$2:$J$355,MATCH($C201,Deals!$A$2:$A$355,0))=0,"",INDEX(Deals!$J$2:$J$355,MATCH($C201,Deals!$A$2:$A$355,0))),""))</f>
        <v/>
      </c>
      <c r="N201" s="24">
        <f>IF($L201="",DATE(1900,1,1),$L201)</f>
        <v/>
      </c>
      <c r="O201" s="24">
        <f>IF($M201="",DATE(2100,12,31),$M201)</f>
        <v/>
      </c>
      <c r="P201" s="16" t="inlineStr"/>
      <c r="Q201" s="16" t="inlineStr"/>
      <c r="R201" s="29">
        <f>IF($C201="","",IFERROR(IF(INDEX(Deals!$U$2:$U$355,MATCH($C201,Deals!$A$2:$A$355,0))=0,"",INDEX(Deals!$U$2:$U$355,MATCH($C201,Deals!$A$2:$A$355,0))),""))</f>
        <v/>
      </c>
      <c r="S201" s="22">
        <f>IFERROR(IF($U201="",1,INDEX(Deals!$V$2:$V$355,MATCH($C201,Deals!$A$2:$A$355,0))),1)</f>
        <v/>
      </c>
      <c r="T201" s="22">
        <f>IFERROR(IF($U201="",1,INDEX(Deals!$W$2:$W$355,MATCH($C201,Deals!$A$2:$A$355,0))),1)</f>
        <v/>
      </c>
      <c r="U201" s="31">
        <f>IF($C201="","",IFERROR(IF(INDEX(Deals!$Y$2:$Y$355,MATCH($C201,Deals!$A$2:$A$355,0))=0,"",INDEX(Deals!$Y$2:$Y$355,MATCH($C201,Deals!$A$2:$A$355,0))),""))</f>
        <v/>
      </c>
      <c r="V201" s="24">
        <f>IF($U201="",DATE(1900,1,1),$N201)</f>
        <v/>
      </c>
      <c r="W201" s="24">
        <f>IF($U201="",DATE(2100,12,31),$U201)</f>
        <v/>
      </c>
      <c r="X201" s="20">
        <f>IF($U201="",$K201,$K201*$S201)</f>
        <v/>
      </c>
      <c r="Y201" s="24">
        <f>IF($U201="",DATE(2100,12,31),$U201+1)</f>
        <v/>
      </c>
      <c r="Z201" s="24">
        <f>IF($U201="",DATE(1900,1,1),$O201)</f>
        <v/>
      </c>
      <c r="AA201" s="20">
        <f>IF($U201="",0,$K201*$T201)</f>
        <v/>
      </c>
    </row>
    <row r="202">
      <c r="A202" s="15" t="inlineStr">
        <is>
          <t>Jason</t>
        </is>
      </c>
      <c r="B202" s="29">
        <f>IF($A202="","",IFERROR(INDEX(Roster!$B$2:$B$40,MATCH($A202,Roster!$A$2:$A$40,0)),"?"))</f>
        <v/>
      </c>
      <c r="C202" s="15" t="inlineStr">
        <is>
          <t>360_2</t>
        </is>
      </c>
      <c r="D202" s="29">
        <f>IF($C202="","",IFERROR(IF(INDEX(Deals!$C$2:$C$355,MATCH($C202,Deals!$A$2:$A$355,0))=0,"",INDEX(Deals!$C$2:$C$355,MATCH($C202,Deals!$A$2:$A$355,0))),"?"))</f>
        <v/>
      </c>
      <c r="E202" s="29">
        <f>IF($C202="","",IFERROR(INDEX(Deals!$F$2:$F$355,MATCH($C202,Deals!$A$2:$A$355,0)),"?"))</f>
        <v/>
      </c>
      <c r="F202" s="15" t="inlineStr">
        <is>
          <t>MD</t>
        </is>
      </c>
      <c r="G202" s="15" t="inlineStr">
        <is>
          <t>Active</t>
        </is>
      </c>
      <c r="H202" s="27" t="n"/>
      <c r="I202" s="20">
        <f>IF(OR($A202="",$G202&lt;&gt;"Active"),0,IF($H202&lt;&gt;"",$H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</f>
        <v/>
      </c>
      <c r="J202" s="23">
        <f>IF($C202="",0,IFERROR(INDEX(Deals!$H$2:$H$355,MATCH($C202,Deals!$A$2:$A$355,0)),0))</f>
        <v/>
      </c>
      <c r="K202" s="20">
        <f>IF(Settings!$B$4="Yes",$I202*$J202,$I202)</f>
        <v/>
      </c>
      <c r="L202" s="31">
        <f>IF($C202="","",IFERROR(IF(INDEX(Deals!$I$2:$I$355,MATCH($C202,Deals!$A$2:$A$355,0))=0,"",INDEX(Deals!$I$2:$I$355,MATCH($C202,Deals!$A$2:$A$355,0))),""))</f>
        <v/>
      </c>
      <c r="M202" s="31">
        <f>IF($C202="","",IFERROR(IF(INDEX(Deals!$J$2:$J$355,MATCH($C202,Deals!$A$2:$A$355,0))=0,"",INDEX(Deals!$J$2:$J$355,MATCH($C202,Deals!$A$2:$A$355,0))),""))</f>
        <v/>
      </c>
      <c r="N202" s="24">
        <f>IF($L202="",DATE(1900,1,1),$L202)</f>
        <v/>
      </c>
      <c r="O202" s="24">
        <f>IF($M202="",DATE(2100,12,31),$M202)</f>
        <v/>
      </c>
      <c r="P202" s="16" t="inlineStr"/>
      <c r="Q202" s="16" t="inlineStr"/>
      <c r="R202" s="29">
        <f>IF($C202="","",IFERROR(IF(INDEX(Deals!$U$2:$U$355,MATCH($C202,Deals!$A$2:$A$355,0))=0,"",INDEX(Deals!$U$2:$U$355,MATCH($C202,Deals!$A$2:$A$355,0))),""))</f>
        <v/>
      </c>
      <c r="S202" s="22">
        <f>IFERROR(IF($U202="",1,INDEX(Deals!$V$2:$V$355,MATCH($C202,Deals!$A$2:$A$355,0))),1)</f>
        <v/>
      </c>
      <c r="T202" s="22">
        <f>IFERROR(IF($U202="",1,INDEX(Deals!$W$2:$W$355,MATCH($C202,Deals!$A$2:$A$355,0))),1)</f>
        <v/>
      </c>
      <c r="U202" s="31">
        <f>IF($C202="","",IFERROR(IF(INDEX(Deals!$Y$2:$Y$355,MATCH($C202,Deals!$A$2:$A$355,0))=0,"",INDEX(Deals!$Y$2:$Y$355,MATCH($C202,Deals!$A$2:$A$355,0))),""))</f>
        <v/>
      </c>
      <c r="V202" s="24">
        <f>IF($U202="",DATE(1900,1,1),$N202)</f>
        <v/>
      </c>
      <c r="W202" s="24">
        <f>IF($U202="",DATE(2100,12,31),$U202)</f>
        <v/>
      </c>
      <c r="X202" s="20">
        <f>IF($U202="",$K202,$K202*$S202)</f>
        <v/>
      </c>
      <c r="Y202" s="24">
        <f>IF($U202="",DATE(2100,12,31),$U202+1)</f>
        <v/>
      </c>
      <c r="Z202" s="24">
        <f>IF($U202="",DATE(1900,1,1),$O202)</f>
        <v/>
      </c>
      <c r="AA202" s="20">
        <f>IF($U202="",0,$K202*$T202)</f>
        <v/>
      </c>
    </row>
    <row r="203">
      <c r="A203" s="15" t="inlineStr">
        <is>
          <t>Jason</t>
        </is>
      </c>
      <c r="B203" s="29">
        <f>IF($A203="","",IFERROR(INDEX(Roster!$B$2:$B$40,MATCH($A203,Roster!$A$2:$A$40,0)),"?"))</f>
        <v/>
      </c>
      <c r="C203" s="15" t="inlineStr">
        <is>
          <t>Beacon_3</t>
        </is>
      </c>
      <c r="D203" s="29">
        <f>IF($C203="","",IFERROR(IF(INDEX(Deals!$C$2:$C$355,MATCH($C203,Deals!$A$2:$A$355,0))=0,"",INDEX(Deals!$C$2:$C$355,MATCH($C203,Deals!$A$2:$A$355,0))),"?"))</f>
        <v/>
      </c>
      <c r="E203" s="29">
        <f>IF($C203="","",IFERROR(INDEX(Deals!$F$2:$F$355,MATCH($C203,Deals!$A$2:$A$355,0)),"?"))</f>
        <v/>
      </c>
      <c r="F203" s="15" t="inlineStr">
        <is>
          <t>MD</t>
        </is>
      </c>
      <c r="G203" s="15" t="inlineStr">
        <is>
          <t>Inactive</t>
        </is>
      </c>
      <c r="H203" s="27" t="n"/>
      <c r="I203" s="20">
        <f>IF(OR($A203="",$G203&lt;&gt;"Active"),0,IF($H203&lt;&gt;"",$H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</f>
        <v/>
      </c>
      <c r="J203" s="23">
        <f>IF($C203="",0,IFERROR(INDEX(Deals!$H$2:$H$355,MATCH($C203,Deals!$A$2:$A$355,0)),0))</f>
        <v/>
      </c>
      <c r="K203" s="20">
        <f>IF(Settings!$B$4="Yes",$I203*$J203,$I203)</f>
        <v/>
      </c>
      <c r="L203" s="31">
        <f>IF($C203="","",IFERROR(IF(INDEX(Deals!$I$2:$I$355,MATCH($C203,Deals!$A$2:$A$355,0))=0,"",INDEX(Deals!$I$2:$I$355,MATCH($C203,Deals!$A$2:$A$355,0))),""))</f>
        <v/>
      </c>
      <c r="M203" s="31">
        <f>IF($C203="","",IFERROR(IF(INDEX(Deals!$J$2:$J$355,MATCH($C203,Deals!$A$2:$A$355,0))=0,"",INDEX(Deals!$J$2:$J$355,MATCH($C203,Deals!$A$2:$A$355,0))),""))</f>
        <v/>
      </c>
      <c r="N203" s="24">
        <f>IF($L203="",DATE(1900,1,1),$L203)</f>
        <v/>
      </c>
      <c r="O203" s="24">
        <f>IF($M203="",DATE(2100,12,31),$M203)</f>
        <v/>
      </c>
      <c r="P203" s="16" t="inlineStr"/>
      <c r="Q203" s="16" t="inlineStr">
        <is>
          <t>Deal lifecycle is Dead</t>
        </is>
      </c>
      <c r="R203" s="29">
        <f>IF($C203="","",IFERROR(IF(INDEX(Deals!$U$2:$U$355,MATCH($C203,Deals!$A$2:$A$355,0))=0,"",INDEX(Deals!$U$2:$U$355,MATCH($C203,Deals!$A$2:$A$355,0))),""))</f>
        <v/>
      </c>
      <c r="S203" s="22">
        <f>IFERROR(IF($U203="",1,INDEX(Deals!$V$2:$V$355,MATCH($C203,Deals!$A$2:$A$355,0))),1)</f>
        <v/>
      </c>
      <c r="T203" s="22">
        <f>IFERROR(IF($U203="",1,INDEX(Deals!$W$2:$W$355,MATCH($C203,Deals!$A$2:$A$355,0))),1)</f>
        <v/>
      </c>
      <c r="U203" s="31">
        <f>IF($C203="","",IFERROR(IF(INDEX(Deals!$Y$2:$Y$355,MATCH($C203,Deals!$A$2:$A$355,0))=0,"",INDEX(Deals!$Y$2:$Y$355,MATCH($C203,Deals!$A$2:$A$355,0))),""))</f>
        <v/>
      </c>
      <c r="V203" s="24">
        <f>IF($U203="",DATE(1900,1,1),$N203)</f>
        <v/>
      </c>
      <c r="W203" s="24">
        <f>IF($U203="",DATE(2100,12,31),$U203)</f>
        <v/>
      </c>
      <c r="X203" s="20">
        <f>IF($U203="",$K203,$K203*$S203)</f>
        <v/>
      </c>
      <c r="Y203" s="24">
        <f>IF($U203="",DATE(2100,12,31),$U203+1)</f>
        <v/>
      </c>
      <c r="Z203" s="24">
        <f>IF($U203="",DATE(1900,1,1),$O203)</f>
        <v/>
      </c>
      <c r="AA203" s="20">
        <f>IF($U203="",0,$K203*$T203)</f>
        <v/>
      </c>
    </row>
    <row r="204">
      <c r="A204" s="15" t="inlineStr">
        <is>
          <t>Jason</t>
        </is>
      </c>
      <c r="B204" s="29">
        <f>IF($A204="","",IFERROR(INDEX(Roster!$B$2:$B$40,MATCH($A204,Roster!$A$2:$A$40,0)),"?"))</f>
        <v/>
      </c>
      <c r="C204" s="15" t="inlineStr">
        <is>
          <t>Fengate_4</t>
        </is>
      </c>
      <c r="D204" s="29">
        <f>IF($C204="","",IFERROR(IF(INDEX(Deals!$C$2:$C$355,MATCH($C204,Deals!$A$2:$A$355,0))=0,"",INDEX(Deals!$C$2:$C$355,MATCH($C204,Deals!$A$2:$A$355,0))),"?"))</f>
        <v/>
      </c>
      <c r="E204" s="29">
        <f>IF($C204="","",IFERROR(INDEX(Deals!$F$2:$F$355,MATCH($C204,Deals!$A$2:$A$355,0)),"?"))</f>
        <v/>
      </c>
      <c r="F204" s="15" t="inlineStr">
        <is>
          <t>MD</t>
        </is>
      </c>
      <c r="G204" s="15" t="inlineStr">
        <is>
          <t>Active</t>
        </is>
      </c>
      <c r="H204" s="27" t="n"/>
      <c r="I204" s="20">
        <f>IF(OR($A204="",$G204&lt;&gt;"Active"),0,IF($H204&lt;&gt;"",$H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</f>
        <v/>
      </c>
      <c r="J204" s="23">
        <f>IF($C204="",0,IFERROR(INDEX(Deals!$H$2:$H$355,MATCH($C204,Deals!$A$2:$A$355,0)),0))</f>
        <v/>
      </c>
      <c r="K204" s="20">
        <f>IF(Settings!$B$4="Yes",$I204*$J204,$I204)</f>
        <v/>
      </c>
      <c r="L204" s="31">
        <f>IF($C204="","",IFERROR(IF(INDEX(Deals!$I$2:$I$355,MATCH($C204,Deals!$A$2:$A$355,0))=0,"",INDEX(Deals!$I$2:$I$355,MATCH($C204,Deals!$A$2:$A$355,0))),""))</f>
        <v/>
      </c>
      <c r="M204" s="31">
        <f>IF($C204="","",IFERROR(IF(INDEX(Deals!$J$2:$J$355,MATCH($C204,Deals!$A$2:$A$355,0))=0,"",INDEX(Deals!$J$2:$J$355,MATCH($C204,Deals!$A$2:$A$355,0))),""))</f>
        <v/>
      </c>
      <c r="N204" s="24">
        <f>IF($L204="",DATE(1900,1,1),$L204)</f>
        <v/>
      </c>
      <c r="O204" s="24">
        <f>IF($M204="",DATE(2100,12,31),$M204)</f>
        <v/>
      </c>
      <c r="P204" s="16" t="inlineStr"/>
      <c r="Q204" s="16" t="inlineStr"/>
      <c r="R204" s="29">
        <f>IF($C204="","",IFERROR(IF(INDEX(Deals!$U$2:$U$355,MATCH($C204,Deals!$A$2:$A$355,0))=0,"",INDEX(Deals!$U$2:$U$355,MATCH($C204,Deals!$A$2:$A$355,0))),""))</f>
        <v/>
      </c>
      <c r="S204" s="22">
        <f>IFERROR(IF($U204="",1,INDEX(Deals!$V$2:$V$355,MATCH($C204,Deals!$A$2:$A$355,0))),1)</f>
        <v/>
      </c>
      <c r="T204" s="22">
        <f>IFERROR(IF($U204="",1,INDEX(Deals!$W$2:$W$355,MATCH($C204,Deals!$A$2:$A$355,0))),1)</f>
        <v/>
      </c>
      <c r="U204" s="31">
        <f>IF($C204="","",IFERROR(IF(INDEX(Deals!$Y$2:$Y$355,MATCH($C204,Deals!$A$2:$A$355,0))=0,"",INDEX(Deals!$Y$2:$Y$355,MATCH($C204,Deals!$A$2:$A$355,0))),""))</f>
        <v/>
      </c>
      <c r="V204" s="24">
        <f>IF($U204="",DATE(1900,1,1),$N204)</f>
        <v/>
      </c>
      <c r="W204" s="24">
        <f>IF($U204="",DATE(2100,12,31),$U204)</f>
        <v/>
      </c>
      <c r="X204" s="20">
        <f>IF($U204="",$K204,$K204*$S204)</f>
        <v/>
      </c>
      <c r="Y204" s="24">
        <f>IF($U204="",DATE(2100,12,31),$U204+1)</f>
        <v/>
      </c>
      <c r="Z204" s="24">
        <f>IF($U204="",DATE(1900,1,1),$O204)</f>
        <v/>
      </c>
      <c r="AA204" s="20">
        <f>IF($U204="",0,$K204*$T204)</f>
        <v/>
      </c>
    </row>
    <row r="205">
      <c r="A205" s="15" t="inlineStr">
        <is>
          <t>Jason</t>
        </is>
      </c>
      <c r="B205" s="29">
        <f>IF($A205="","",IFERROR(INDEX(Roster!$B$2:$B$40,MATCH($A205,Roster!$A$2:$A$40,0)),"?"))</f>
        <v/>
      </c>
      <c r="C205" s="15" t="inlineStr">
        <is>
          <t>Fury_1</t>
        </is>
      </c>
      <c r="D205" s="29">
        <f>IF($C205="","",IFERROR(IF(INDEX(Deals!$C$2:$C$355,MATCH($C205,Deals!$A$2:$A$355,0))=0,"",INDEX(Deals!$C$2:$C$355,MATCH($C205,Deals!$A$2:$A$355,0))),"?"))</f>
        <v/>
      </c>
      <c r="E205" s="29">
        <f>IF($C205="","",IFERROR(INDEX(Deals!$F$2:$F$355,MATCH($C205,Deals!$A$2:$A$355,0)),"?"))</f>
        <v/>
      </c>
      <c r="F205" s="15" t="inlineStr">
        <is>
          <t>MD</t>
        </is>
      </c>
      <c r="G205" s="15" t="inlineStr">
        <is>
          <t>Active</t>
        </is>
      </c>
      <c r="H205" s="27" t="n"/>
      <c r="I205" s="20">
        <f>IF(OR($A205="",$G205&lt;&gt;"Active"),0,IF($H205&lt;&gt;"",$H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</f>
        <v/>
      </c>
      <c r="J205" s="23">
        <f>IF($C205="",0,IFERROR(INDEX(Deals!$H$2:$H$355,MATCH($C205,Deals!$A$2:$A$355,0)),0))</f>
        <v/>
      </c>
      <c r="K205" s="20">
        <f>IF(Settings!$B$4="Yes",$I205*$J205,$I205)</f>
        <v/>
      </c>
      <c r="L205" s="31">
        <f>IF($C205="","",IFERROR(IF(INDEX(Deals!$I$2:$I$355,MATCH($C205,Deals!$A$2:$A$355,0))=0,"",INDEX(Deals!$I$2:$I$355,MATCH($C205,Deals!$A$2:$A$355,0))),""))</f>
        <v/>
      </c>
      <c r="M205" s="31">
        <f>IF($C205="","",IFERROR(IF(INDEX(Deals!$J$2:$J$355,MATCH($C205,Deals!$A$2:$A$355,0))=0,"",INDEX(Deals!$J$2:$J$355,MATCH($C205,Deals!$A$2:$A$355,0))),""))</f>
        <v/>
      </c>
      <c r="N205" s="24">
        <f>IF($L205="",DATE(1900,1,1),$L205)</f>
        <v/>
      </c>
      <c r="O205" s="24">
        <f>IF($M205="",DATE(2100,12,31),$M205)</f>
        <v/>
      </c>
      <c r="P205" s="16" t="inlineStr"/>
      <c r="Q205" s="16" t="inlineStr"/>
      <c r="R205" s="29">
        <f>IF($C205="","",IFERROR(IF(INDEX(Deals!$U$2:$U$355,MATCH($C205,Deals!$A$2:$A$355,0))=0,"",INDEX(Deals!$U$2:$U$355,MATCH($C205,Deals!$A$2:$A$355,0))),""))</f>
        <v/>
      </c>
      <c r="S205" s="22">
        <f>IFERROR(IF($U205="",1,INDEX(Deals!$V$2:$V$355,MATCH($C205,Deals!$A$2:$A$355,0))),1)</f>
        <v/>
      </c>
      <c r="T205" s="22">
        <f>IFERROR(IF($U205="",1,INDEX(Deals!$W$2:$W$355,MATCH($C205,Deals!$A$2:$A$355,0))),1)</f>
        <v/>
      </c>
      <c r="U205" s="31">
        <f>IF($C205="","",IFERROR(IF(INDEX(Deals!$Y$2:$Y$355,MATCH($C205,Deals!$A$2:$A$355,0))=0,"",INDEX(Deals!$Y$2:$Y$355,MATCH($C205,Deals!$A$2:$A$355,0))),""))</f>
        <v/>
      </c>
      <c r="V205" s="24">
        <f>IF($U205="",DATE(1900,1,1),$N205)</f>
        <v/>
      </c>
      <c r="W205" s="24">
        <f>IF($U205="",DATE(2100,12,31),$U205)</f>
        <v/>
      </c>
      <c r="X205" s="20">
        <f>IF($U205="",$K205,$K205*$S205)</f>
        <v/>
      </c>
      <c r="Y205" s="24">
        <f>IF($U205="",DATE(2100,12,31),$U205+1)</f>
        <v/>
      </c>
      <c r="Z205" s="24">
        <f>IF($U205="",DATE(1900,1,1),$O205)</f>
        <v/>
      </c>
      <c r="AA205" s="20">
        <f>IF($U205="",0,$K205*$T205)</f>
        <v/>
      </c>
    </row>
    <row r="206">
      <c r="A206" s="15" t="inlineStr">
        <is>
          <t>Jason</t>
        </is>
      </c>
      <c r="B206" s="29">
        <f>IF($A206="","",IFERROR(INDEX(Roster!$B$2:$B$40,MATCH($A206,Roster!$A$2:$A$40,0)),"?"))</f>
        <v/>
      </c>
      <c r="C206" s="15" t="inlineStr">
        <is>
          <t>Galaxy_1</t>
        </is>
      </c>
      <c r="D206" s="29">
        <f>IF($C206="","",IFERROR(IF(INDEX(Deals!$C$2:$C$355,MATCH($C206,Deals!$A$2:$A$355,0))=0,"",INDEX(Deals!$C$2:$C$355,MATCH($C206,Deals!$A$2:$A$355,0))),"?"))</f>
        <v/>
      </c>
      <c r="E206" s="29">
        <f>IF($C206="","",IFERROR(INDEX(Deals!$F$2:$F$355,MATCH($C206,Deals!$A$2:$A$355,0)),"?"))</f>
        <v/>
      </c>
      <c r="F206" s="15" t="inlineStr">
        <is>
          <t>MD</t>
        </is>
      </c>
      <c r="G206" s="15" t="inlineStr">
        <is>
          <t>Active</t>
        </is>
      </c>
      <c r="H206" s="27" t="n"/>
      <c r="I206" s="20">
        <f>IF(OR($A206="",$G206&lt;&gt;"Active"),0,IF($H206&lt;&gt;"",$H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</f>
        <v/>
      </c>
      <c r="J206" s="23">
        <f>IF($C206="",0,IFERROR(INDEX(Deals!$H$2:$H$355,MATCH($C206,Deals!$A$2:$A$355,0)),0))</f>
        <v/>
      </c>
      <c r="K206" s="20">
        <f>IF(Settings!$B$4="Yes",$I206*$J206,$I206)</f>
        <v/>
      </c>
      <c r="L206" s="31">
        <f>IF($C206="","",IFERROR(IF(INDEX(Deals!$I$2:$I$355,MATCH($C206,Deals!$A$2:$A$355,0))=0,"",INDEX(Deals!$I$2:$I$355,MATCH($C206,Deals!$A$2:$A$355,0))),""))</f>
        <v/>
      </c>
      <c r="M206" s="31">
        <f>IF($C206="","",IFERROR(IF(INDEX(Deals!$J$2:$J$355,MATCH($C206,Deals!$A$2:$A$355,0))=0,"",INDEX(Deals!$J$2:$J$355,MATCH($C206,Deals!$A$2:$A$355,0))),""))</f>
        <v/>
      </c>
      <c r="N206" s="24">
        <f>IF($L206="",DATE(1900,1,1),$L206)</f>
        <v/>
      </c>
      <c r="O206" s="24">
        <f>IF($M206="",DATE(2100,12,31),$M206)</f>
        <v/>
      </c>
      <c r="P206" s="16" t="inlineStr"/>
      <c r="Q206" s="16" t="inlineStr"/>
      <c r="R206" s="29">
        <f>IF($C206="","",IFERROR(IF(INDEX(Deals!$U$2:$U$355,MATCH($C206,Deals!$A$2:$A$355,0))=0,"",INDEX(Deals!$U$2:$U$355,MATCH($C206,Deals!$A$2:$A$355,0))),""))</f>
        <v/>
      </c>
      <c r="S206" s="22">
        <f>IFERROR(IF($U206="",1,INDEX(Deals!$V$2:$V$355,MATCH($C206,Deals!$A$2:$A$355,0))),1)</f>
        <v/>
      </c>
      <c r="T206" s="22">
        <f>IFERROR(IF($U206="",1,INDEX(Deals!$W$2:$W$355,MATCH($C206,Deals!$A$2:$A$355,0))),1)</f>
        <v/>
      </c>
      <c r="U206" s="31">
        <f>IF($C206="","",IFERROR(IF(INDEX(Deals!$Y$2:$Y$355,MATCH($C206,Deals!$A$2:$A$355,0))=0,"",INDEX(Deals!$Y$2:$Y$355,MATCH($C206,Deals!$A$2:$A$355,0))),""))</f>
        <v/>
      </c>
      <c r="V206" s="24">
        <f>IF($U206="",DATE(1900,1,1),$N206)</f>
        <v/>
      </c>
      <c r="W206" s="24">
        <f>IF($U206="",DATE(2100,12,31),$U206)</f>
        <v/>
      </c>
      <c r="X206" s="20">
        <f>IF($U206="",$K206,$K206*$S206)</f>
        <v/>
      </c>
      <c r="Y206" s="24">
        <f>IF($U206="",DATE(2100,12,31),$U206+1)</f>
        <v/>
      </c>
      <c r="Z206" s="24">
        <f>IF($U206="",DATE(1900,1,1),$O206)</f>
        <v/>
      </c>
      <c r="AA206" s="20">
        <f>IF($U206="",0,$K206*$T206)</f>
        <v/>
      </c>
    </row>
    <row r="207">
      <c r="A207" s="15" t="inlineStr">
        <is>
          <t>Jason</t>
        </is>
      </c>
      <c r="B207" s="29">
        <f>IF($A207="","",IFERROR(INDEX(Roster!$B$2:$B$40,MATCH($A207,Roster!$A$2:$A$40,0)),"?"))</f>
        <v/>
      </c>
      <c r="C207" s="15" t="inlineStr">
        <is>
          <t>Mont_1</t>
        </is>
      </c>
      <c r="D207" s="29">
        <f>IF($C207="","",IFERROR(IF(INDEX(Deals!$C$2:$C$355,MATCH($C207,Deals!$A$2:$A$355,0))=0,"",INDEX(Deals!$C$2:$C$355,MATCH($C207,Deals!$A$2:$A$355,0))),"?"))</f>
        <v/>
      </c>
      <c r="E207" s="29">
        <f>IF($C207="","",IFERROR(INDEX(Deals!$F$2:$F$355,MATCH($C207,Deals!$A$2:$A$355,0)),"?"))</f>
        <v/>
      </c>
      <c r="F207" s="15" t="inlineStr">
        <is>
          <t>MD</t>
        </is>
      </c>
      <c r="G207" s="15" t="inlineStr">
        <is>
          <t>Active</t>
        </is>
      </c>
      <c r="H207" s="27" t="n"/>
      <c r="I207" s="20">
        <f>IF(OR($A207="",$G207&lt;&gt;"Active"),0,IF($H207&lt;&gt;"",$H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</f>
        <v/>
      </c>
      <c r="J207" s="23">
        <f>IF($C207="",0,IFERROR(INDEX(Deals!$H$2:$H$355,MATCH($C207,Deals!$A$2:$A$355,0)),0))</f>
        <v/>
      </c>
      <c r="K207" s="20">
        <f>IF(Settings!$B$4="Yes",$I207*$J207,$I207)</f>
        <v/>
      </c>
      <c r="L207" s="31">
        <f>IF($C207="","",IFERROR(IF(INDEX(Deals!$I$2:$I$355,MATCH($C207,Deals!$A$2:$A$355,0))=0,"",INDEX(Deals!$I$2:$I$355,MATCH($C207,Deals!$A$2:$A$355,0))),""))</f>
        <v/>
      </c>
      <c r="M207" s="31">
        <f>IF($C207="","",IFERROR(IF(INDEX(Deals!$J$2:$J$355,MATCH($C207,Deals!$A$2:$A$355,0))=0,"",INDEX(Deals!$J$2:$J$355,MATCH($C207,Deals!$A$2:$A$355,0))),""))</f>
        <v/>
      </c>
      <c r="N207" s="24">
        <f>IF($L207="",DATE(1900,1,1),$L207)</f>
        <v/>
      </c>
      <c r="O207" s="24">
        <f>IF($M207="",DATE(2100,12,31),$M207)</f>
        <v/>
      </c>
      <c r="P207" s="16" t="inlineStr"/>
      <c r="Q207" s="16" t="inlineStr"/>
      <c r="R207" s="29">
        <f>IF($C207="","",IFERROR(IF(INDEX(Deals!$U$2:$U$355,MATCH($C207,Deals!$A$2:$A$355,0))=0,"",INDEX(Deals!$U$2:$U$355,MATCH($C207,Deals!$A$2:$A$355,0))),""))</f>
        <v/>
      </c>
      <c r="S207" s="22">
        <f>IFERROR(IF($U207="",1,INDEX(Deals!$V$2:$V$355,MATCH($C207,Deals!$A$2:$A$355,0))),1)</f>
        <v/>
      </c>
      <c r="T207" s="22">
        <f>IFERROR(IF($U207="",1,INDEX(Deals!$W$2:$W$355,MATCH($C207,Deals!$A$2:$A$355,0))),1)</f>
        <v/>
      </c>
      <c r="U207" s="31">
        <f>IF($C207="","",IFERROR(IF(INDEX(Deals!$Y$2:$Y$355,MATCH($C207,Deals!$A$2:$A$355,0))=0,"",INDEX(Deals!$Y$2:$Y$355,MATCH($C207,Deals!$A$2:$A$355,0))),""))</f>
        <v/>
      </c>
      <c r="V207" s="24">
        <f>IF($U207="",DATE(1900,1,1),$N207)</f>
        <v/>
      </c>
      <c r="W207" s="24">
        <f>IF($U207="",DATE(2100,12,31),$U207)</f>
        <v/>
      </c>
      <c r="X207" s="20">
        <f>IF($U207="",$K207,$K207*$S207)</f>
        <v/>
      </c>
      <c r="Y207" s="24">
        <f>IF($U207="",DATE(2100,12,31),$U207+1)</f>
        <v/>
      </c>
      <c r="Z207" s="24">
        <f>IF($U207="",DATE(1900,1,1),$O207)</f>
        <v/>
      </c>
      <c r="AA207" s="20">
        <f>IF($U207="",0,$K207*$T207)</f>
        <v/>
      </c>
    </row>
    <row r="208">
      <c r="A208" s="15" t="inlineStr">
        <is>
          <t>Jason</t>
        </is>
      </c>
      <c r="B208" s="29">
        <f>IF($A208="","",IFERROR(INDEX(Roster!$B$2:$B$40,MATCH($A208,Roster!$A$2:$A$40,0)),"?"))</f>
        <v/>
      </c>
      <c r="C208" s="15" t="inlineStr">
        <is>
          <t>Naples_2</t>
        </is>
      </c>
      <c r="D208" s="29">
        <f>IF($C208="","",IFERROR(IF(INDEX(Deals!$C$2:$C$355,MATCH($C208,Deals!$A$2:$A$355,0))=0,"",INDEX(Deals!$C$2:$C$355,MATCH($C208,Deals!$A$2:$A$355,0))),"?"))</f>
        <v/>
      </c>
      <c r="E208" s="29">
        <f>IF($C208="","",IFERROR(INDEX(Deals!$F$2:$F$355,MATCH($C208,Deals!$A$2:$A$355,0)),"?"))</f>
        <v/>
      </c>
      <c r="F208" s="15" t="inlineStr">
        <is>
          <t>MD</t>
        </is>
      </c>
      <c r="G208" s="15" t="inlineStr">
        <is>
          <t>Active</t>
        </is>
      </c>
      <c r="H208" s="27" t="n"/>
      <c r="I208" s="20">
        <f>IF(OR($A208="",$G208&lt;&gt;"Active"),0,IF($H208&lt;&gt;"",$H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</f>
        <v/>
      </c>
      <c r="J208" s="23">
        <f>IF($C208="",0,IFERROR(INDEX(Deals!$H$2:$H$355,MATCH($C208,Deals!$A$2:$A$355,0)),0))</f>
        <v/>
      </c>
      <c r="K208" s="20">
        <f>IF(Settings!$B$4="Yes",$I208*$J208,$I208)</f>
        <v/>
      </c>
      <c r="L208" s="31">
        <f>IF($C208="","",IFERROR(IF(INDEX(Deals!$I$2:$I$355,MATCH($C208,Deals!$A$2:$A$355,0))=0,"",INDEX(Deals!$I$2:$I$355,MATCH($C208,Deals!$A$2:$A$355,0))),""))</f>
        <v/>
      </c>
      <c r="M208" s="31">
        <f>IF($C208="","",IFERROR(IF(INDEX(Deals!$J$2:$J$355,MATCH($C208,Deals!$A$2:$A$355,0))=0,"",INDEX(Deals!$J$2:$J$355,MATCH($C208,Deals!$A$2:$A$355,0))),""))</f>
        <v/>
      </c>
      <c r="N208" s="24">
        <f>IF($L208="",DATE(1900,1,1),$L208)</f>
        <v/>
      </c>
      <c r="O208" s="24">
        <f>IF($M208="",DATE(2100,12,31),$M208)</f>
        <v/>
      </c>
      <c r="P208" s="16" t="inlineStr"/>
      <c r="Q208" s="16" t="inlineStr"/>
      <c r="R208" s="29">
        <f>IF($C208="","",IFERROR(IF(INDEX(Deals!$U$2:$U$355,MATCH($C208,Deals!$A$2:$A$355,0))=0,"",INDEX(Deals!$U$2:$U$355,MATCH($C208,Deals!$A$2:$A$355,0))),""))</f>
        <v/>
      </c>
      <c r="S208" s="22">
        <f>IFERROR(IF($U208="",1,INDEX(Deals!$V$2:$V$355,MATCH($C208,Deals!$A$2:$A$355,0))),1)</f>
        <v/>
      </c>
      <c r="T208" s="22">
        <f>IFERROR(IF($U208="",1,INDEX(Deals!$W$2:$W$355,MATCH($C208,Deals!$A$2:$A$355,0))),1)</f>
        <v/>
      </c>
      <c r="U208" s="31">
        <f>IF($C208="","",IFERROR(IF(INDEX(Deals!$Y$2:$Y$355,MATCH($C208,Deals!$A$2:$A$355,0))=0,"",INDEX(Deals!$Y$2:$Y$355,MATCH($C208,Deals!$A$2:$A$355,0))),""))</f>
        <v/>
      </c>
      <c r="V208" s="24">
        <f>IF($U208="",DATE(1900,1,1),$N208)</f>
        <v/>
      </c>
      <c r="W208" s="24">
        <f>IF($U208="",DATE(2100,12,31),$U208)</f>
        <v/>
      </c>
      <c r="X208" s="20">
        <f>IF($U208="",$K208,$K208*$S208)</f>
        <v/>
      </c>
      <c r="Y208" s="24">
        <f>IF($U208="",DATE(2100,12,31),$U208+1)</f>
        <v/>
      </c>
      <c r="Z208" s="24">
        <f>IF($U208="",DATE(1900,1,1),$O208)</f>
        <v/>
      </c>
      <c r="AA208" s="20">
        <f>IF($U208="",0,$K208*$T208)</f>
        <v/>
      </c>
    </row>
    <row r="209">
      <c r="A209" s="15" t="inlineStr">
        <is>
          <t>Jason</t>
        </is>
      </c>
      <c r="B209" s="29">
        <f>IF($A209="","",IFERROR(INDEX(Roster!$B$2:$B$40,MATCH($A209,Roster!$A$2:$A$40,0)),"?"))</f>
        <v/>
      </c>
      <c r="C209" s="15" t="inlineStr">
        <is>
          <t>Pet_1</t>
        </is>
      </c>
      <c r="D209" s="29">
        <f>IF($C209="","",IFERROR(IF(INDEX(Deals!$C$2:$C$355,MATCH($C209,Deals!$A$2:$A$355,0))=0,"",INDEX(Deals!$C$2:$C$355,MATCH($C209,Deals!$A$2:$A$355,0))),"?"))</f>
        <v/>
      </c>
      <c r="E209" s="29">
        <f>IF($C209="","",IFERROR(INDEX(Deals!$F$2:$F$355,MATCH($C209,Deals!$A$2:$A$355,0)),"?"))</f>
        <v/>
      </c>
      <c r="F209" s="15" t="inlineStr">
        <is>
          <t>MD</t>
        </is>
      </c>
      <c r="G209" s="15" t="inlineStr">
        <is>
          <t>Active</t>
        </is>
      </c>
      <c r="H209" s="27" t="n"/>
      <c r="I209" s="20">
        <f>IF(OR($A209="",$G209&lt;&gt;"Active"),0,IF($H209&lt;&gt;"",$H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</f>
        <v/>
      </c>
      <c r="J209" s="23">
        <f>IF($C209="",0,IFERROR(INDEX(Deals!$H$2:$H$355,MATCH($C209,Deals!$A$2:$A$355,0)),0))</f>
        <v/>
      </c>
      <c r="K209" s="20">
        <f>IF(Settings!$B$4="Yes",$I209*$J209,$I209)</f>
        <v/>
      </c>
      <c r="L209" s="31">
        <f>IF($C209="","",IFERROR(IF(INDEX(Deals!$I$2:$I$355,MATCH($C209,Deals!$A$2:$A$355,0))=0,"",INDEX(Deals!$I$2:$I$355,MATCH($C209,Deals!$A$2:$A$355,0))),""))</f>
        <v/>
      </c>
      <c r="M209" s="31">
        <f>IF($C209="","",IFERROR(IF(INDEX(Deals!$J$2:$J$355,MATCH($C209,Deals!$A$2:$A$355,0))=0,"",INDEX(Deals!$J$2:$J$355,MATCH($C209,Deals!$A$2:$A$355,0))),""))</f>
        <v/>
      </c>
      <c r="N209" s="24">
        <f>IF($L209="",DATE(1900,1,1),$L209)</f>
        <v/>
      </c>
      <c r="O209" s="24">
        <f>IF($M209="",DATE(2100,12,31),$M209)</f>
        <v/>
      </c>
      <c r="P209" s="16" t="inlineStr"/>
      <c r="Q209" s="16" t="inlineStr"/>
      <c r="R209" s="29">
        <f>IF($C209="","",IFERROR(IF(INDEX(Deals!$U$2:$U$355,MATCH($C209,Deals!$A$2:$A$355,0))=0,"",INDEX(Deals!$U$2:$U$355,MATCH($C209,Deals!$A$2:$A$355,0))),""))</f>
        <v/>
      </c>
      <c r="S209" s="22">
        <f>IFERROR(IF($U209="",1,INDEX(Deals!$V$2:$V$355,MATCH($C209,Deals!$A$2:$A$355,0))),1)</f>
        <v/>
      </c>
      <c r="T209" s="22">
        <f>IFERROR(IF($U209="",1,INDEX(Deals!$W$2:$W$355,MATCH($C209,Deals!$A$2:$A$355,0))),1)</f>
        <v/>
      </c>
      <c r="U209" s="31">
        <f>IF($C209="","",IFERROR(IF(INDEX(Deals!$Y$2:$Y$355,MATCH($C209,Deals!$A$2:$A$355,0))=0,"",INDEX(Deals!$Y$2:$Y$355,MATCH($C209,Deals!$A$2:$A$355,0))),""))</f>
        <v/>
      </c>
      <c r="V209" s="24">
        <f>IF($U209="",DATE(1900,1,1),$N209)</f>
        <v/>
      </c>
      <c r="W209" s="24">
        <f>IF($U209="",DATE(2100,12,31),$U209)</f>
        <v/>
      </c>
      <c r="X209" s="20">
        <f>IF($U209="",$K209,$K209*$S209)</f>
        <v/>
      </c>
      <c r="Y209" s="24">
        <f>IF($U209="",DATE(2100,12,31),$U209+1)</f>
        <v/>
      </c>
      <c r="Z209" s="24">
        <f>IF($U209="",DATE(1900,1,1),$O209)</f>
        <v/>
      </c>
      <c r="AA209" s="20">
        <f>IF($U209="",0,$K209*$T209)</f>
        <v/>
      </c>
    </row>
    <row r="210">
      <c r="A210" s="15" t="inlineStr">
        <is>
          <t>Jason</t>
        </is>
      </c>
      <c r="B210" s="29">
        <f>IF($A210="","",IFERROR(INDEX(Roster!$B$2:$B$40,MATCH($A210,Roster!$A$2:$A$40,0)),"?"))</f>
        <v/>
      </c>
      <c r="C210" s="15" t="inlineStr">
        <is>
          <t>PMD_1</t>
        </is>
      </c>
      <c r="D210" s="29">
        <f>IF($C210="","",IFERROR(IF(INDEX(Deals!$C$2:$C$355,MATCH($C210,Deals!$A$2:$A$355,0))=0,"",INDEX(Deals!$C$2:$C$355,MATCH($C210,Deals!$A$2:$A$355,0))),"?"))</f>
        <v/>
      </c>
      <c r="E210" s="29">
        <f>IF($C210="","",IFERROR(INDEX(Deals!$F$2:$F$355,MATCH($C210,Deals!$A$2:$A$355,0)),"?"))</f>
        <v/>
      </c>
      <c r="F210" s="15" t="inlineStr">
        <is>
          <t>MD</t>
        </is>
      </c>
      <c r="G210" s="15" t="inlineStr">
        <is>
          <t>Active</t>
        </is>
      </c>
      <c r="H210" s="27" t="n"/>
      <c r="I210" s="20">
        <f>IF(OR($A210="",$G210&lt;&gt;"Active"),0,IF($H210&lt;&gt;"",$H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</f>
        <v/>
      </c>
      <c r="J210" s="23">
        <f>IF($C210="",0,IFERROR(INDEX(Deals!$H$2:$H$355,MATCH($C210,Deals!$A$2:$A$355,0)),0))</f>
        <v/>
      </c>
      <c r="K210" s="20">
        <f>IF(Settings!$B$4="Yes",$I210*$J210,$I210)</f>
        <v/>
      </c>
      <c r="L210" s="31">
        <f>IF($C210="","",IFERROR(IF(INDEX(Deals!$I$2:$I$355,MATCH($C210,Deals!$A$2:$A$355,0))=0,"",INDEX(Deals!$I$2:$I$355,MATCH($C210,Deals!$A$2:$A$355,0))),""))</f>
        <v/>
      </c>
      <c r="M210" s="31">
        <f>IF($C210="","",IFERROR(IF(INDEX(Deals!$J$2:$J$355,MATCH($C210,Deals!$A$2:$A$355,0))=0,"",INDEX(Deals!$J$2:$J$355,MATCH($C210,Deals!$A$2:$A$355,0))),""))</f>
        <v/>
      </c>
      <c r="N210" s="24">
        <f>IF($L210="",DATE(1900,1,1),$L210)</f>
        <v/>
      </c>
      <c r="O210" s="24">
        <f>IF($M210="",DATE(2100,12,31),$M210)</f>
        <v/>
      </c>
      <c r="P210" s="16" t="inlineStr"/>
      <c r="Q210" s="16" t="inlineStr"/>
      <c r="R210" s="29">
        <f>IF($C210="","",IFERROR(IF(INDEX(Deals!$U$2:$U$355,MATCH($C210,Deals!$A$2:$A$355,0))=0,"",INDEX(Deals!$U$2:$U$355,MATCH($C210,Deals!$A$2:$A$355,0))),""))</f>
        <v/>
      </c>
      <c r="S210" s="22">
        <f>IFERROR(IF($U210="",1,INDEX(Deals!$V$2:$V$355,MATCH($C210,Deals!$A$2:$A$355,0))),1)</f>
        <v/>
      </c>
      <c r="T210" s="22">
        <f>IFERROR(IF($U210="",1,INDEX(Deals!$W$2:$W$355,MATCH($C210,Deals!$A$2:$A$355,0))),1)</f>
        <v/>
      </c>
      <c r="U210" s="31">
        <f>IF($C210="","",IFERROR(IF(INDEX(Deals!$Y$2:$Y$355,MATCH($C210,Deals!$A$2:$A$355,0))=0,"",INDEX(Deals!$Y$2:$Y$355,MATCH($C210,Deals!$A$2:$A$355,0))),""))</f>
        <v/>
      </c>
      <c r="V210" s="24">
        <f>IF($U210="",DATE(1900,1,1),$N210)</f>
        <v/>
      </c>
      <c r="W210" s="24">
        <f>IF($U210="",DATE(2100,12,31),$U210)</f>
        <v/>
      </c>
      <c r="X210" s="20">
        <f>IF($U210="",$K210,$K210*$S210)</f>
        <v/>
      </c>
      <c r="Y210" s="24">
        <f>IF($U210="",DATE(2100,12,31),$U210+1)</f>
        <v/>
      </c>
      <c r="Z210" s="24">
        <f>IF($U210="",DATE(1900,1,1),$O210)</f>
        <v/>
      </c>
      <c r="AA210" s="20">
        <f>IF($U210="",0,$K210*$T210)</f>
        <v/>
      </c>
    </row>
    <row r="211">
      <c r="A211" s="15" t="inlineStr">
        <is>
          <t>Jason</t>
        </is>
      </c>
      <c r="B211" s="29">
        <f>IF($A211="","",IFERROR(INDEX(Roster!$B$2:$B$40,MATCH($A211,Roster!$A$2:$A$40,0)),"?"))</f>
        <v/>
      </c>
      <c r="C211" s="15" t="inlineStr">
        <is>
          <t>Pocket_1</t>
        </is>
      </c>
      <c r="D211" s="29">
        <f>IF($C211="","",IFERROR(IF(INDEX(Deals!$C$2:$C$355,MATCH($C211,Deals!$A$2:$A$355,0))=0,"",INDEX(Deals!$C$2:$C$355,MATCH($C211,Deals!$A$2:$A$355,0))),"?"))</f>
        <v/>
      </c>
      <c r="E211" s="29">
        <f>IF($C211="","",IFERROR(INDEX(Deals!$F$2:$F$355,MATCH($C211,Deals!$A$2:$A$355,0)),"?"))</f>
        <v/>
      </c>
      <c r="F211" s="15" t="inlineStr">
        <is>
          <t>MD</t>
        </is>
      </c>
      <c r="G211" s="15" t="inlineStr">
        <is>
          <t>Active</t>
        </is>
      </c>
      <c r="H211" s="27" t="n"/>
      <c r="I211" s="20">
        <f>IF(OR($A211="",$G211&lt;&gt;"Active"),0,IF($H211&lt;&gt;"",$H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</f>
        <v/>
      </c>
      <c r="J211" s="23">
        <f>IF($C211="",0,IFERROR(INDEX(Deals!$H$2:$H$355,MATCH($C211,Deals!$A$2:$A$355,0)),0))</f>
        <v/>
      </c>
      <c r="K211" s="20">
        <f>IF(Settings!$B$4="Yes",$I211*$J211,$I211)</f>
        <v/>
      </c>
      <c r="L211" s="31">
        <f>IF($C211="","",IFERROR(IF(INDEX(Deals!$I$2:$I$355,MATCH($C211,Deals!$A$2:$A$355,0))=0,"",INDEX(Deals!$I$2:$I$355,MATCH($C211,Deals!$A$2:$A$355,0))),""))</f>
        <v/>
      </c>
      <c r="M211" s="31">
        <f>IF($C211="","",IFERROR(IF(INDEX(Deals!$J$2:$J$355,MATCH($C211,Deals!$A$2:$A$355,0))=0,"",INDEX(Deals!$J$2:$J$355,MATCH($C211,Deals!$A$2:$A$355,0))),""))</f>
        <v/>
      </c>
      <c r="N211" s="24">
        <f>IF($L211="",DATE(1900,1,1),$L211)</f>
        <v/>
      </c>
      <c r="O211" s="24">
        <f>IF($M211="",DATE(2100,12,31),$M211)</f>
        <v/>
      </c>
      <c r="P211" s="16" t="inlineStr"/>
      <c r="Q211" s="16" t="inlineStr"/>
      <c r="R211" s="29">
        <f>IF($C211="","",IFERROR(IF(INDEX(Deals!$U$2:$U$355,MATCH($C211,Deals!$A$2:$A$355,0))=0,"",INDEX(Deals!$U$2:$U$355,MATCH($C211,Deals!$A$2:$A$355,0))),""))</f>
        <v/>
      </c>
      <c r="S211" s="22">
        <f>IFERROR(IF($U211="",1,INDEX(Deals!$V$2:$V$355,MATCH($C211,Deals!$A$2:$A$355,0))),1)</f>
        <v/>
      </c>
      <c r="T211" s="22">
        <f>IFERROR(IF($U211="",1,INDEX(Deals!$W$2:$W$355,MATCH($C211,Deals!$A$2:$A$355,0))),1)</f>
        <v/>
      </c>
      <c r="U211" s="31">
        <f>IF($C211="","",IFERROR(IF(INDEX(Deals!$Y$2:$Y$355,MATCH($C211,Deals!$A$2:$A$355,0))=0,"",INDEX(Deals!$Y$2:$Y$355,MATCH($C211,Deals!$A$2:$A$355,0))),""))</f>
        <v/>
      </c>
      <c r="V211" s="24">
        <f>IF($U211="",DATE(1900,1,1),$N211)</f>
        <v/>
      </c>
      <c r="W211" s="24">
        <f>IF($U211="",DATE(2100,12,31),$U211)</f>
        <v/>
      </c>
      <c r="X211" s="20">
        <f>IF($U211="",$K211,$K211*$S211)</f>
        <v/>
      </c>
      <c r="Y211" s="24">
        <f>IF($U211="",DATE(2100,12,31),$U211+1)</f>
        <v/>
      </c>
      <c r="Z211" s="24">
        <f>IF($U211="",DATE(1900,1,1),$O211)</f>
        <v/>
      </c>
      <c r="AA211" s="20">
        <f>IF($U211="",0,$K211*$T211)</f>
        <v/>
      </c>
    </row>
    <row r="212">
      <c r="A212" s="15" t="inlineStr">
        <is>
          <t>Jason</t>
        </is>
      </c>
      <c r="B212" s="29">
        <f>IF($A212="","",IFERROR(INDEX(Roster!$B$2:$B$40,MATCH($A212,Roster!$A$2:$A$40,0)),"?"))</f>
        <v/>
      </c>
      <c r="C212" s="15" t="inlineStr">
        <is>
          <t>Scion_1</t>
        </is>
      </c>
      <c r="D212" s="29">
        <f>IF($C212="","",IFERROR(IF(INDEX(Deals!$C$2:$C$355,MATCH($C212,Deals!$A$2:$A$355,0))=0,"",INDEX(Deals!$C$2:$C$355,MATCH($C212,Deals!$A$2:$A$355,0))),"?"))</f>
        <v/>
      </c>
      <c r="E212" s="29">
        <f>IF($C212="","",IFERROR(INDEX(Deals!$F$2:$F$355,MATCH($C212,Deals!$A$2:$A$355,0)),"?"))</f>
        <v/>
      </c>
      <c r="F212" s="15" t="inlineStr">
        <is>
          <t>MD</t>
        </is>
      </c>
      <c r="G212" s="15" t="inlineStr">
        <is>
          <t>Active</t>
        </is>
      </c>
      <c r="H212" s="27" t="n"/>
      <c r="I212" s="20">
        <f>IF(OR($A212="",$G212&lt;&gt;"Active"),0,IF($H212&lt;&gt;"",$H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</f>
        <v/>
      </c>
      <c r="J212" s="23">
        <f>IF($C212="",0,IFERROR(INDEX(Deals!$H$2:$H$355,MATCH($C212,Deals!$A$2:$A$355,0)),0))</f>
        <v/>
      </c>
      <c r="K212" s="20">
        <f>IF(Settings!$B$4="Yes",$I212*$J212,$I212)</f>
        <v/>
      </c>
      <c r="L212" s="31">
        <f>IF($C212="","",IFERROR(IF(INDEX(Deals!$I$2:$I$355,MATCH($C212,Deals!$A$2:$A$355,0))=0,"",INDEX(Deals!$I$2:$I$355,MATCH($C212,Deals!$A$2:$A$355,0))),""))</f>
        <v/>
      </c>
      <c r="M212" s="31">
        <f>IF($C212="","",IFERROR(IF(INDEX(Deals!$J$2:$J$355,MATCH($C212,Deals!$A$2:$A$355,0))=0,"",INDEX(Deals!$J$2:$J$355,MATCH($C212,Deals!$A$2:$A$355,0))),""))</f>
        <v/>
      </c>
      <c r="N212" s="24">
        <f>IF($L212="",DATE(1900,1,1),$L212)</f>
        <v/>
      </c>
      <c r="O212" s="24">
        <f>IF($M212="",DATE(2100,12,31),$M212)</f>
        <v/>
      </c>
      <c r="P212" s="16" t="inlineStr"/>
      <c r="Q212" s="16" t="inlineStr"/>
      <c r="R212" s="29">
        <f>IF($C212="","",IFERROR(IF(INDEX(Deals!$U$2:$U$355,MATCH($C212,Deals!$A$2:$A$355,0))=0,"",INDEX(Deals!$U$2:$U$355,MATCH($C212,Deals!$A$2:$A$355,0))),""))</f>
        <v/>
      </c>
      <c r="S212" s="22">
        <f>IFERROR(IF($U212="",1,INDEX(Deals!$V$2:$V$355,MATCH($C212,Deals!$A$2:$A$355,0))),1)</f>
        <v/>
      </c>
      <c r="T212" s="22">
        <f>IFERROR(IF($U212="",1,INDEX(Deals!$W$2:$W$355,MATCH($C212,Deals!$A$2:$A$355,0))),1)</f>
        <v/>
      </c>
      <c r="U212" s="31">
        <f>IF($C212="","",IFERROR(IF(INDEX(Deals!$Y$2:$Y$355,MATCH($C212,Deals!$A$2:$A$355,0))=0,"",INDEX(Deals!$Y$2:$Y$355,MATCH($C212,Deals!$A$2:$A$355,0))),""))</f>
        <v/>
      </c>
      <c r="V212" s="24">
        <f>IF($U212="",DATE(1900,1,1),$N212)</f>
        <v/>
      </c>
      <c r="W212" s="24">
        <f>IF($U212="",DATE(2100,12,31),$U212)</f>
        <v/>
      </c>
      <c r="X212" s="20">
        <f>IF($U212="",$K212,$K212*$S212)</f>
        <v/>
      </c>
      <c r="Y212" s="24">
        <f>IF($U212="",DATE(2100,12,31),$U212+1)</f>
        <v/>
      </c>
      <c r="Z212" s="24">
        <f>IF($U212="",DATE(1900,1,1),$O212)</f>
        <v/>
      </c>
      <c r="AA212" s="20">
        <f>IF($U212="",0,$K212*$T212)</f>
        <v/>
      </c>
    </row>
    <row r="213">
      <c r="A213" s="15" t="inlineStr">
        <is>
          <t>Jason</t>
        </is>
      </c>
      <c r="B213" s="29">
        <f>IF($A213="","",IFERROR(INDEX(Roster!$B$2:$B$40,MATCH($A213,Roster!$A$2:$A$40,0)),"?"))</f>
        <v/>
      </c>
      <c r="C213" s="15" t="inlineStr">
        <is>
          <t>Steam_2</t>
        </is>
      </c>
      <c r="D213" s="29">
        <f>IF($C213="","",IFERROR(IF(INDEX(Deals!$C$2:$C$355,MATCH($C213,Deals!$A$2:$A$355,0))=0,"",INDEX(Deals!$C$2:$C$355,MATCH($C213,Deals!$A$2:$A$355,0))),"?"))</f>
        <v/>
      </c>
      <c r="E213" s="29">
        <f>IF($C213="","",IFERROR(INDEX(Deals!$F$2:$F$355,MATCH($C213,Deals!$A$2:$A$355,0)),"?"))</f>
        <v/>
      </c>
      <c r="F213" s="15" t="inlineStr">
        <is>
          <t>MD</t>
        </is>
      </c>
      <c r="G213" s="15" t="inlineStr">
        <is>
          <t>Active</t>
        </is>
      </c>
      <c r="H213" s="27" t="n"/>
      <c r="I213" s="20">
        <f>IF(OR($A213="",$G213&lt;&gt;"Active"),0,IF($H213&lt;&gt;"",$H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</f>
        <v/>
      </c>
      <c r="J213" s="23">
        <f>IF($C213="",0,IFERROR(INDEX(Deals!$H$2:$H$355,MATCH($C213,Deals!$A$2:$A$355,0)),0))</f>
        <v/>
      </c>
      <c r="K213" s="20">
        <f>IF(Settings!$B$4="Yes",$I213*$J213,$I213)</f>
        <v/>
      </c>
      <c r="L213" s="31">
        <f>IF($C213="","",IFERROR(IF(INDEX(Deals!$I$2:$I$355,MATCH($C213,Deals!$A$2:$A$355,0))=0,"",INDEX(Deals!$I$2:$I$355,MATCH($C213,Deals!$A$2:$A$355,0))),""))</f>
        <v/>
      </c>
      <c r="M213" s="31">
        <f>IF($C213="","",IFERROR(IF(INDEX(Deals!$J$2:$J$355,MATCH($C213,Deals!$A$2:$A$355,0))=0,"",INDEX(Deals!$J$2:$J$355,MATCH($C213,Deals!$A$2:$A$355,0))),""))</f>
        <v/>
      </c>
      <c r="N213" s="24">
        <f>IF($L213="",DATE(1900,1,1),$L213)</f>
        <v/>
      </c>
      <c r="O213" s="24">
        <f>IF($M213="",DATE(2100,12,31),$M213)</f>
        <v/>
      </c>
      <c r="P213" s="16" t="inlineStr"/>
      <c r="Q213" s="16" t="inlineStr"/>
      <c r="R213" s="29">
        <f>IF($C213="","",IFERROR(IF(INDEX(Deals!$U$2:$U$355,MATCH($C213,Deals!$A$2:$A$355,0))=0,"",INDEX(Deals!$U$2:$U$355,MATCH($C213,Deals!$A$2:$A$355,0))),""))</f>
        <v/>
      </c>
      <c r="S213" s="22">
        <f>IFERROR(IF($U213="",1,INDEX(Deals!$V$2:$V$355,MATCH($C213,Deals!$A$2:$A$355,0))),1)</f>
        <v/>
      </c>
      <c r="T213" s="22">
        <f>IFERROR(IF($U213="",1,INDEX(Deals!$W$2:$W$355,MATCH($C213,Deals!$A$2:$A$355,0))),1)</f>
        <v/>
      </c>
      <c r="U213" s="31">
        <f>IF($C213="","",IFERROR(IF(INDEX(Deals!$Y$2:$Y$355,MATCH($C213,Deals!$A$2:$A$355,0))=0,"",INDEX(Deals!$Y$2:$Y$355,MATCH($C213,Deals!$A$2:$A$355,0))),""))</f>
        <v/>
      </c>
      <c r="V213" s="24">
        <f>IF($U213="",DATE(1900,1,1),$N213)</f>
        <v/>
      </c>
      <c r="W213" s="24">
        <f>IF($U213="",DATE(2100,12,31),$U213)</f>
        <v/>
      </c>
      <c r="X213" s="20">
        <f>IF($U213="",$K213,$K213*$S213)</f>
        <v/>
      </c>
      <c r="Y213" s="24">
        <f>IF($U213="",DATE(2100,12,31),$U213+1)</f>
        <v/>
      </c>
      <c r="Z213" s="24">
        <f>IF($U213="",DATE(1900,1,1),$O213)</f>
        <v/>
      </c>
      <c r="AA213" s="20">
        <f>IF($U213="",0,$K213*$T213)</f>
        <v/>
      </c>
    </row>
    <row r="214">
      <c r="A214" s="15" t="inlineStr">
        <is>
          <t>Jason</t>
        </is>
      </c>
      <c r="B214" s="29">
        <f>IF($A214="","",IFERROR(INDEX(Roster!$B$2:$B$40,MATCH($A214,Roster!$A$2:$A$40,0)),"?"))</f>
        <v/>
      </c>
      <c r="C214" s="15" t="inlineStr">
        <is>
          <t>Sunrise_5</t>
        </is>
      </c>
      <c r="D214" s="29">
        <f>IF($C214="","",IFERROR(IF(INDEX(Deals!$C$2:$C$355,MATCH($C214,Deals!$A$2:$A$355,0))=0,"",INDEX(Deals!$C$2:$C$355,MATCH($C214,Deals!$A$2:$A$355,0))),"?"))</f>
        <v/>
      </c>
      <c r="E214" s="29">
        <f>IF($C214="","",IFERROR(INDEX(Deals!$F$2:$F$355,MATCH($C214,Deals!$A$2:$A$355,0)),"?"))</f>
        <v/>
      </c>
      <c r="F214" s="15" t="inlineStr">
        <is>
          <t>MD</t>
        </is>
      </c>
      <c r="G214" s="15" t="inlineStr">
        <is>
          <t>Active</t>
        </is>
      </c>
      <c r="H214" s="27" t="n"/>
      <c r="I214" s="20">
        <f>IF(OR($A214="",$G214&lt;&gt;"Active"),0,IF($H214&lt;&gt;"",$H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</f>
        <v/>
      </c>
      <c r="J214" s="23">
        <f>IF($C214="",0,IFERROR(INDEX(Deals!$H$2:$H$355,MATCH($C214,Deals!$A$2:$A$355,0)),0))</f>
        <v/>
      </c>
      <c r="K214" s="20">
        <f>IF(Settings!$B$4="Yes",$I214*$J214,$I214)</f>
        <v/>
      </c>
      <c r="L214" s="31">
        <f>IF($C214="","",IFERROR(IF(INDEX(Deals!$I$2:$I$355,MATCH($C214,Deals!$A$2:$A$355,0))=0,"",INDEX(Deals!$I$2:$I$355,MATCH($C214,Deals!$A$2:$A$355,0))),""))</f>
        <v/>
      </c>
      <c r="M214" s="31">
        <f>IF($C214="","",IFERROR(IF(INDEX(Deals!$J$2:$J$355,MATCH($C214,Deals!$A$2:$A$355,0))=0,"",INDEX(Deals!$J$2:$J$355,MATCH($C214,Deals!$A$2:$A$355,0))),""))</f>
        <v/>
      </c>
      <c r="N214" s="24">
        <f>IF($L214="",DATE(1900,1,1),$L214)</f>
        <v/>
      </c>
      <c r="O214" s="24">
        <f>IF($M214="",DATE(2100,12,31),$M214)</f>
        <v/>
      </c>
      <c r="P214" s="16" t="inlineStr"/>
      <c r="Q214" s="16" t="inlineStr"/>
      <c r="R214" s="29">
        <f>IF($C214="","",IFERROR(IF(INDEX(Deals!$U$2:$U$355,MATCH($C214,Deals!$A$2:$A$355,0))=0,"",INDEX(Deals!$U$2:$U$355,MATCH($C214,Deals!$A$2:$A$355,0))),""))</f>
        <v/>
      </c>
      <c r="S214" s="22">
        <f>IFERROR(IF($U214="",1,INDEX(Deals!$V$2:$V$355,MATCH($C214,Deals!$A$2:$A$355,0))),1)</f>
        <v/>
      </c>
      <c r="T214" s="22">
        <f>IFERROR(IF($U214="",1,INDEX(Deals!$W$2:$W$355,MATCH($C214,Deals!$A$2:$A$355,0))),1)</f>
        <v/>
      </c>
      <c r="U214" s="31">
        <f>IF($C214="","",IFERROR(IF(INDEX(Deals!$Y$2:$Y$355,MATCH($C214,Deals!$A$2:$A$355,0))=0,"",INDEX(Deals!$Y$2:$Y$355,MATCH($C214,Deals!$A$2:$A$355,0))),""))</f>
        <v/>
      </c>
      <c r="V214" s="24">
        <f>IF($U214="",DATE(1900,1,1),$N214)</f>
        <v/>
      </c>
      <c r="W214" s="24">
        <f>IF($U214="",DATE(2100,12,31),$U214)</f>
        <v/>
      </c>
      <c r="X214" s="20">
        <f>IF($U214="",$K214,$K214*$S214)</f>
        <v/>
      </c>
      <c r="Y214" s="24">
        <f>IF($U214="",DATE(2100,12,31),$U214+1)</f>
        <v/>
      </c>
      <c r="Z214" s="24">
        <f>IF($U214="",DATE(1900,1,1),$O214)</f>
        <v/>
      </c>
      <c r="AA214" s="20">
        <f>IF($U214="",0,$K214*$T214)</f>
        <v/>
      </c>
    </row>
    <row r="215">
      <c r="A215" s="15" t="inlineStr">
        <is>
          <t>Jason</t>
        </is>
      </c>
      <c r="B215" s="29">
        <f>IF($A215="","",IFERROR(INDEX(Roster!$B$2:$B$40,MATCH($A215,Roster!$A$2:$A$40,0)),"?"))</f>
        <v/>
      </c>
      <c r="C215" s="15" t="inlineStr">
        <is>
          <t>Truman_1</t>
        </is>
      </c>
      <c r="D215" s="29">
        <f>IF($C215="","",IFERROR(IF(INDEX(Deals!$C$2:$C$355,MATCH($C215,Deals!$A$2:$A$355,0))=0,"",INDEX(Deals!$C$2:$C$355,MATCH($C215,Deals!$A$2:$A$355,0))),"?"))</f>
        <v/>
      </c>
      <c r="E215" s="29">
        <f>IF($C215="","",IFERROR(INDEX(Deals!$F$2:$F$355,MATCH($C215,Deals!$A$2:$A$355,0)),"?"))</f>
        <v/>
      </c>
      <c r="F215" s="15" t="inlineStr">
        <is>
          <t>MD</t>
        </is>
      </c>
      <c r="G215" s="15" t="inlineStr">
        <is>
          <t>Active</t>
        </is>
      </c>
      <c r="H215" s="27" t="n"/>
      <c r="I215" s="20">
        <f>IF(OR($A215="",$G215&lt;&gt;"Active"),0,IF($H215&lt;&gt;"",$H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</f>
        <v/>
      </c>
      <c r="J215" s="23">
        <f>IF($C215="",0,IFERROR(INDEX(Deals!$H$2:$H$355,MATCH($C215,Deals!$A$2:$A$355,0)),0))</f>
        <v/>
      </c>
      <c r="K215" s="20">
        <f>IF(Settings!$B$4="Yes",$I215*$J215,$I215)</f>
        <v/>
      </c>
      <c r="L215" s="31">
        <f>IF($C215="","",IFERROR(IF(INDEX(Deals!$I$2:$I$355,MATCH($C215,Deals!$A$2:$A$355,0))=0,"",INDEX(Deals!$I$2:$I$355,MATCH($C215,Deals!$A$2:$A$355,0))),""))</f>
        <v/>
      </c>
      <c r="M215" s="31">
        <f>IF($C215="","",IFERROR(IF(INDEX(Deals!$J$2:$J$355,MATCH($C215,Deals!$A$2:$A$355,0))=0,"",INDEX(Deals!$J$2:$J$355,MATCH($C215,Deals!$A$2:$A$355,0))),""))</f>
        <v/>
      </c>
      <c r="N215" s="24">
        <f>IF($L215="",DATE(1900,1,1),$L215)</f>
        <v/>
      </c>
      <c r="O215" s="24">
        <f>IF($M215="",DATE(2100,12,31),$M215)</f>
        <v/>
      </c>
      <c r="P215" s="16" t="inlineStr"/>
      <c r="Q215" s="16" t="inlineStr"/>
      <c r="R215" s="29">
        <f>IF($C215="","",IFERROR(IF(INDEX(Deals!$U$2:$U$355,MATCH($C215,Deals!$A$2:$A$355,0))=0,"",INDEX(Deals!$U$2:$U$355,MATCH($C215,Deals!$A$2:$A$355,0))),""))</f>
        <v/>
      </c>
      <c r="S215" s="22">
        <f>IFERROR(IF($U215="",1,INDEX(Deals!$V$2:$V$355,MATCH($C215,Deals!$A$2:$A$355,0))),1)</f>
        <v/>
      </c>
      <c r="T215" s="22">
        <f>IFERROR(IF($U215="",1,INDEX(Deals!$W$2:$W$355,MATCH($C215,Deals!$A$2:$A$355,0))),1)</f>
        <v/>
      </c>
      <c r="U215" s="31">
        <f>IF($C215="","",IFERROR(IF(INDEX(Deals!$Y$2:$Y$355,MATCH($C215,Deals!$A$2:$A$355,0))=0,"",INDEX(Deals!$Y$2:$Y$355,MATCH($C215,Deals!$A$2:$A$355,0))),""))</f>
        <v/>
      </c>
      <c r="V215" s="24">
        <f>IF($U215="",DATE(1900,1,1),$N215)</f>
        <v/>
      </c>
      <c r="W215" s="24">
        <f>IF($U215="",DATE(2100,12,31),$U215)</f>
        <v/>
      </c>
      <c r="X215" s="20">
        <f>IF($U215="",$K215,$K215*$S215)</f>
        <v/>
      </c>
      <c r="Y215" s="24">
        <f>IF($U215="",DATE(2100,12,31),$U215+1)</f>
        <v/>
      </c>
      <c r="Z215" s="24">
        <f>IF($U215="",DATE(1900,1,1),$O215)</f>
        <v/>
      </c>
      <c r="AA215" s="20">
        <f>IF($U215="",0,$K215*$T215)</f>
        <v/>
      </c>
    </row>
    <row r="216">
      <c r="A216" s="15" t="inlineStr">
        <is>
          <t>Justine</t>
        </is>
      </c>
      <c r="B216" s="29">
        <f>IF($A216="","",IFERROR(INDEX(Roster!$B$2:$B$40,MATCH($A216,Roster!$A$2:$A$40,0)),"?"))</f>
        <v/>
      </c>
      <c r="C216" s="15" t="inlineStr">
        <is>
          <t>Advantage_1</t>
        </is>
      </c>
      <c r="D216" s="29">
        <f>IF($C216="","",IFERROR(IF(INDEX(Deals!$C$2:$C$355,MATCH($C216,Deals!$A$2:$A$355,0))=0,"",INDEX(Deals!$C$2:$C$355,MATCH($C216,Deals!$A$2:$A$355,0))),"?"))</f>
        <v/>
      </c>
      <c r="E216" s="29">
        <f>IF($C216="","",IFERROR(INDEX(Deals!$F$2:$F$355,MATCH($C216,Deals!$A$2:$A$355,0)),"?"))</f>
        <v/>
      </c>
      <c r="F216" s="15" t="inlineStr">
        <is>
          <t>Director</t>
        </is>
      </c>
      <c r="G216" s="15" t="inlineStr">
        <is>
          <t>Active</t>
        </is>
      </c>
      <c r="H216" s="27" t="n"/>
      <c r="I216" s="20">
        <f>IF(OR($A216="",$G216&lt;&gt;"Active"),0,IF($H216&lt;&gt;"",$H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</f>
        <v/>
      </c>
      <c r="J216" s="23">
        <f>IF($C216="",0,IFERROR(INDEX(Deals!$H$2:$H$355,MATCH($C216,Deals!$A$2:$A$355,0)),0))</f>
        <v/>
      </c>
      <c r="K216" s="20">
        <f>IF(Settings!$B$4="Yes",$I216*$J216,$I216)</f>
        <v/>
      </c>
      <c r="L216" s="31">
        <f>IF($C216="","",IFERROR(IF(INDEX(Deals!$I$2:$I$355,MATCH($C216,Deals!$A$2:$A$355,0))=0,"",INDEX(Deals!$I$2:$I$355,MATCH($C216,Deals!$A$2:$A$355,0))),""))</f>
        <v/>
      </c>
      <c r="M216" s="31">
        <f>IF($C216="","",IFERROR(IF(INDEX(Deals!$J$2:$J$355,MATCH($C216,Deals!$A$2:$A$355,0))=0,"",INDEX(Deals!$J$2:$J$355,MATCH($C216,Deals!$A$2:$A$355,0))),""))</f>
        <v/>
      </c>
      <c r="N216" s="24">
        <f>IF($L216="",DATE(1900,1,1),$L216)</f>
        <v/>
      </c>
      <c r="O216" s="24">
        <f>IF($M216="",DATE(2100,12,31),$M216)</f>
        <v/>
      </c>
      <c r="P216" s="16" t="inlineStr">
        <is>
          <t>Ongoing</t>
        </is>
      </c>
      <c r="Q216" s="16" t="inlineStr"/>
      <c r="R216" s="29">
        <f>IF($C216="","",IFERROR(IF(INDEX(Deals!$U$2:$U$355,MATCH($C216,Deals!$A$2:$A$355,0))=0,"",INDEX(Deals!$U$2:$U$355,MATCH($C216,Deals!$A$2:$A$355,0))),""))</f>
        <v/>
      </c>
      <c r="S216" s="22">
        <f>IFERROR(IF($U216="",1,INDEX(Deals!$V$2:$V$355,MATCH($C216,Deals!$A$2:$A$355,0))),1)</f>
        <v/>
      </c>
      <c r="T216" s="22">
        <f>IFERROR(IF($U216="",1,INDEX(Deals!$W$2:$W$355,MATCH($C216,Deals!$A$2:$A$355,0))),1)</f>
        <v/>
      </c>
      <c r="U216" s="31">
        <f>IF($C216="","",IFERROR(IF(INDEX(Deals!$Y$2:$Y$355,MATCH($C216,Deals!$A$2:$A$355,0))=0,"",INDEX(Deals!$Y$2:$Y$355,MATCH($C216,Deals!$A$2:$A$355,0))),""))</f>
        <v/>
      </c>
      <c r="V216" s="24">
        <f>IF($U216="",DATE(1900,1,1),$N216)</f>
        <v/>
      </c>
      <c r="W216" s="24">
        <f>IF($U216="",DATE(2100,12,31),$U216)</f>
        <v/>
      </c>
      <c r="X216" s="20">
        <f>IF($U216="",$K216,$K216*$S216)</f>
        <v/>
      </c>
      <c r="Y216" s="24">
        <f>IF($U216="",DATE(2100,12,31),$U216+1)</f>
        <v/>
      </c>
      <c r="Z216" s="24">
        <f>IF($U216="",DATE(1900,1,1),$O216)</f>
        <v/>
      </c>
      <c r="AA216" s="20">
        <f>IF($U216="",0,$K216*$T216)</f>
        <v/>
      </c>
    </row>
    <row r="217">
      <c r="A217" s="15" t="inlineStr">
        <is>
          <t>Justine</t>
        </is>
      </c>
      <c r="B217" s="29">
        <f>IF($A217="","",IFERROR(INDEX(Roster!$B$2:$B$40,MATCH($A217,Roster!$A$2:$A$40,0)),"?"))</f>
        <v/>
      </c>
      <c r="C217" s="15" t="inlineStr">
        <is>
          <t>Alliance_1</t>
        </is>
      </c>
      <c r="D217" s="29">
        <f>IF($C217="","",IFERROR(IF(INDEX(Deals!$C$2:$C$355,MATCH($C217,Deals!$A$2:$A$355,0))=0,"",INDEX(Deals!$C$2:$C$355,MATCH($C217,Deals!$A$2:$A$355,0))),"?"))</f>
        <v/>
      </c>
      <c r="E217" s="29">
        <f>IF($C217="","",IFERROR(INDEX(Deals!$F$2:$F$355,MATCH($C217,Deals!$A$2:$A$355,0)),"?"))</f>
        <v/>
      </c>
      <c r="F217" s="15" t="inlineStr">
        <is>
          <t>Director</t>
        </is>
      </c>
      <c r="G217" s="15" t="inlineStr">
        <is>
          <t>Inactive</t>
        </is>
      </c>
      <c r="H217" s="27" t="n"/>
      <c r="I217" s="20">
        <f>IF(OR($A217="",$G217&lt;&gt;"Active"),0,IF($H217&lt;&gt;"",$H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</f>
        <v/>
      </c>
      <c r="J217" s="23">
        <f>IF($C217="",0,IFERROR(INDEX(Deals!$H$2:$H$355,MATCH($C217,Deals!$A$2:$A$355,0)),0))</f>
        <v/>
      </c>
      <c r="K217" s="20">
        <f>IF(Settings!$B$4="Yes",$I217*$J217,$I217)</f>
        <v/>
      </c>
      <c r="L217" s="31">
        <f>IF($C217="","",IFERROR(IF(INDEX(Deals!$I$2:$I$355,MATCH($C217,Deals!$A$2:$A$355,0))=0,"",INDEX(Deals!$I$2:$I$355,MATCH($C217,Deals!$A$2:$A$355,0))),""))</f>
        <v/>
      </c>
      <c r="M217" s="31">
        <f>IF($C217="","",IFERROR(IF(INDEX(Deals!$J$2:$J$355,MATCH($C217,Deals!$A$2:$A$355,0))=0,"",INDEX(Deals!$J$2:$J$355,MATCH($C217,Deals!$A$2:$A$355,0))),""))</f>
        <v/>
      </c>
      <c r="N217" s="24">
        <f>IF($L217="",DATE(1900,1,1),$L217)</f>
        <v/>
      </c>
      <c r="O217" s="24">
        <f>IF($M217="",DATE(2100,12,31),$M217)</f>
        <v/>
      </c>
      <c r="P217" s="16" t="inlineStr">
        <is>
          <t>Not involved in ongoing work</t>
        </is>
      </c>
      <c r="Q217" s="16" t="inlineStr"/>
      <c r="R217" s="29">
        <f>IF($C217="","",IFERROR(IF(INDEX(Deals!$U$2:$U$355,MATCH($C217,Deals!$A$2:$A$355,0))=0,"",INDEX(Deals!$U$2:$U$355,MATCH($C217,Deals!$A$2:$A$355,0))),""))</f>
        <v/>
      </c>
      <c r="S217" s="22">
        <f>IFERROR(IF($U217="",1,INDEX(Deals!$V$2:$V$355,MATCH($C217,Deals!$A$2:$A$355,0))),1)</f>
        <v/>
      </c>
      <c r="T217" s="22">
        <f>IFERROR(IF($U217="",1,INDEX(Deals!$W$2:$W$355,MATCH($C217,Deals!$A$2:$A$355,0))),1)</f>
        <v/>
      </c>
      <c r="U217" s="31">
        <f>IF($C217="","",IFERROR(IF(INDEX(Deals!$Y$2:$Y$355,MATCH($C217,Deals!$A$2:$A$355,0))=0,"",INDEX(Deals!$Y$2:$Y$355,MATCH($C217,Deals!$A$2:$A$355,0))),""))</f>
        <v/>
      </c>
      <c r="V217" s="24">
        <f>IF($U217="",DATE(1900,1,1),$N217)</f>
        <v/>
      </c>
      <c r="W217" s="24">
        <f>IF($U217="",DATE(2100,12,31),$U217)</f>
        <v/>
      </c>
      <c r="X217" s="20">
        <f>IF($U217="",$K217,$K217*$S217)</f>
        <v/>
      </c>
      <c r="Y217" s="24">
        <f>IF($U217="",DATE(2100,12,31),$U217+1)</f>
        <v/>
      </c>
      <c r="Z217" s="24">
        <f>IF($U217="",DATE(1900,1,1),$O217)</f>
        <v/>
      </c>
      <c r="AA217" s="20">
        <f>IF($U217="",0,$K217*$T217)</f>
        <v/>
      </c>
    </row>
    <row r="218">
      <c r="A218" s="15" t="inlineStr">
        <is>
          <t>Justine</t>
        </is>
      </c>
      <c r="B218" s="29">
        <f>IF($A218="","",IFERROR(INDEX(Roster!$B$2:$B$40,MATCH($A218,Roster!$A$2:$A$40,0)),"?"))</f>
        <v/>
      </c>
      <c r="C218" s="15" t="inlineStr">
        <is>
          <t>Assys_1</t>
        </is>
      </c>
      <c r="D218" s="29">
        <f>IF($C218="","",IFERROR(IF(INDEX(Deals!$C$2:$C$355,MATCH($C218,Deals!$A$2:$A$355,0))=0,"",INDEX(Deals!$C$2:$C$355,MATCH($C218,Deals!$A$2:$A$355,0))),"?"))</f>
        <v/>
      </c>
      <c r="E218" s="29">
        <f>IF($C218="","",IFERROR(INDEX(Deals!$F$2:$F$355,MATCH($C218,Deals!$A$2:$A$355,0)),"?"))</f>
        <v/>
      </c>
      <c r="F218" s="15" t="inlineStr">
        <is>
          <t>Director</t>
        </is>
      </c>
      <c r="G218" s="15" t="inlineStr">
        <is>
          <t>Active</t>
        </is>
      </c>
      <c r="H218" s="27" t="n"/>
      <c r="I218" s="20">
        <f>IF(OR($A218="",$G218&lt;&gt;"Active"),0,IF($H218&lt;&gt;"",$H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</f>
        <v/>
      </c>
      <c r="J218" s="23">
        <f>IF($C218="",0,IFERROR(INDEX(Deals!$H$2:$H$355,MATCH($C218,Deals!$A$2:$A$355,0)),0))</f>
        <v/>
      </c>
      <c r="K218" s="20">
        <f>IF(Settings!$B$4="Yes",$I218*$J218,$I218)</f>
        <v/>
      </c>
      <c r="L218" s="31">
        <f>IF($C218="","",IFERROR(IF(INDEX(Deals!$I$2:$I$355,MATCH($C218,Deals!$A$2:$A$355,0))=0,"",INDEX(Deals!$I$2:$I$355,MATCH($C218,Deals!$A$2:$A$355,0))),""))</f>
        <v/>
      </c>
      <c r="M218" s="31">
        <f>IF($C218="","",IFERROR(IF(INDEX(Deals!$J$2:$J$355,MATCH($C218,Deals!$A$2:$A$355,0))=0,"",INDEX(Deals!$J$2:$J$355,MATCH($C218,Deals!$A$2:$A$355,0))),""))</f>
        <v/>
      </c>
      <c r="N218" s="24">
        <f>IF($L218="",DATE(1900,1,1),$L218)</f>
        <v/>
      </c>
      <c r="O218" s="24">
        <f>IF($M218="",DATE(2100,12,31),$M218)</f>
        <v/>
      </c>
      <c r="P218" s="16" t="inlineStr">
        <is>
          <t>Proposal</t>
        </is>
      </c>
      <c r="Q218" s="16" t="inlineStr"/>
      <c r="R218" s="29">
        <f>IF($C218="","",IFERROR(IF(INDEX(Deals!$U$2:$U$355,MATCH($C218,Deals!$A$2:$A$355,0))=0,"",INDEX(Deals!$U$2:$U$355,MATCH($C218,Deals!$A$2:$A$355,0))),""))</f>
        <v/>
      </c>
      <c r="S218" s="22">
        <f>IFERROR(IF($U218="",1,INDEX(Deals!$V$2:$V$355,MATCH($C218,Deals!$A$2:$A$355,0))),1)</f>
        <v/>
      </c>
      <c r="T218" s="22">
        <f>IFERROR(IF($U218="",1,INDEX(Deals!$W$2:$W$355,MATCH($C218,Deals!$A$2:$A$355,0))),1)</f>
        <v/>
      </c>
      <c r="U218" s="31">
        <f>IF($C218="","",IFERROR(IF(INDEX(Deals!$Y$2:$Y$355,MATCH($C218,Deals!$A$2:$A$355,0))=0,"",INDEX(Deals!$Y$2:$Y$355,MATCH($C218,Deals!$A$2:$A$355,0))),""))</f>
        <v/>
      </c>
      <c r="V218" s="24">
        <f>IF($U218="",DATE(1900,1,1),$N218)</f>
        <v/>
      </c>
      <c r="W218" s="24">
        <f>IF($U218="",DATE(2100,12,31),$U218)</f>
        <v/>
      </c>
      <c r="X218" s="20">
        <f>IF($U218="",$K218,$K218*$S218)</f>
        <v/>
      </c>
      <c r="Y218" s="24">
        <f>IF($U218="",DATE(2100,12,31),$U218+1)</f>
        <v/>
      </c>
      <c r="Z218" s="24">
        <f>IF($U218="",DATE(1900,1,1),$O218)</f>
        <v/>
      </c>
      <c r="AA218" s="20">
        <f>IF($U218="",0,$K218*$T218)</f>
        <v/>
      </c>
    </row>
    <row r="219">
      <c r="A219" s="15" t="inlineStr">
        <is>
          <t>Justine</t>
        </is>
      </c>
      <c r="B219" s="29">
        <f>IF($A219="","",IFERROR(INDEX(Roster!$B$2:$B$40,MATCH($A219,Roster!$A$2:$A$40,0)),"?"))</f>
        <v/>
      </c>
      <c r="C219" s="15" t="inlineStr">
        <is>
          <t>Atlas_4</t>
        </is>
      </c>
      <c r="D219" s="29">
        <f>IF($C219="","",IFERROR(IF(INDEX(Deals!$C$2:$C$355,MATCH($C219,Deals!$A$2:$A$355,0))=0,"",INDEX(Deals!$C$2:$C$355,MATCH($C219,Deals!$A$2:$A$355,0))),"?"))</f>
        <v/>
      </c>
      <c r="E219" s="29">
        <f>IF($C219="","",IFERROR(INDEX(Deals!$F$2:$F$355,MATCH($C219,Deals!$A$2:$A$355,0)),"?"))</f>
        <v/>
      </c>
      <c r="F219" s="15" t="inlineStr">
        <is>
          <t>Director</t>
        </is>
      </c>
      <c r="G219" s="15" t="inlineStr">
        <is>
          <t>Inactive</t>
        </is>
      </c>
      <c r="H219" s="27" t="n"/>
      <c r="I219" s="20">
        <f>IF(OR($A219="",$G219&lt;&gt;"Active"),0,IF($H219&lt;&gt;"",$H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</f>
        <v/>
      </c>
      <c r="J219" s="23">
        <f>IF($C219="",0,IFERROR(INDEX(Deals!$H$2:$H$355,MATCH($C219,Deals!$A$2:$A$355,0)),0))</f>
        <v/>
      </c>
      <c r="K219" s="20">
        <f>IF(Settings!$B$4="Yes",$I219*$J219,$I219)</f>
        <v/>
      </c>
      <c r="L219" s="31">
        <f>IF($C219="","",IFERROR(IF(INDEX(Deals!$I$2:$I$355,MATCH($C219,Deals!$A$2:$A$355,0))=0,"",INDEX(Deals!$I$2:$I$355,MATCH($C219,Deals!$A$2:$A$355,0))),""))</f>
        <v/>
      </c>
      <c r="M219" s="31">
        <f>IF($C219="","",IFERROR(IF(INDEX(Deals!$J$2:$J$355,MATCH($C219,Deals!$A$2:$A$355,0))=0,"",INDEX(Deals!$J$2:$J$355,MATCH($C219,Deals!$A$2:$A$355,0))),""))</f>
        <v/>
      </c>
      <c r="N219" s="24">
        <f>IF($L219="",DATE(1900,1,1),$L219)</f>
        <v/>
      </c>
      <c r="O219" s="24">
        <f>IF($M219="",DATE(2100,12,31),$M219)</f>
        <v/>
      </c>
      <c r="P219" s="16" t="inlineStr">
        <is>
          <t>Closed</t>
        </is>
      </c>
      <c r="Q219" s="16" t="inlineStr"/>
      <c r="R219" s="29">
        <f>IF($C219="","",IFERROR(IF(INDEX(Deals!$U$2:$U$355,MATCH($C219,Deals!$A$2:$A$355,0))=0,"",INDEX(Deals!$U$2:$U$355,MATCH($C219,Deals!$A$2:$A$355,0))),""))</f>
        <v/>
      </c>
      <c r="S219" s="22">
        <f>IFERROR(IF($U219="",1,INDEX(Deals!$V$2:$V$355,MATCH($C219,Deals!$A$2:$A$355,0))),1)</f>
        <v/>
      </c>
      <c r="T219" s="22">
        <f>IFERROR(IF($U219="",1,INDEX(Deals!$W$2:$W$355,MATCH($C219,Deals!$A$2:$A$355,0))),1)</f>
        <v/>
      </c>
      <c r="U219" s="31">
        <f>IF($C219="","",IFERROR(IF(INDEX(Deals!$Y$2:$Y$355,MATCH($C219,Deals!$A$2:$A$355,0))=0,"",INDEX(Deals!$Y$2:$Y$355,MATCH($C219,Deals!$A$2:$A$355,0))),""))</f>
        <v/>
      </c>
      <c r="V219" s="24">
        <f>IF($U219="",DATE(1900,1,1),$N219)</f>
        <v/>
      </c>
      <c r="W219" s="24">
        <f>IF($U219="",DATE(2100,12,31),$U219)</f>
        <v/>
      </c>
      <c r="X219" s="20">
        <f>IF($U219="",$K219,$K219*$S219)</f>
        <v/>
      </c>
      <c r="Y219" s="24">
        <f>IF($U219="",DATE(2100,12,31),$U219+1)</f>
        <v/>
      </c>
      <c r="Z219" s="24">
        <f>IF($U219="",DATE(1900,1,1),$O219)</f>
        <v/>
      </c>
      <c r="AA219" s="20">
        <f>IF($U219="",0,$K219*$T219)</f>
        <v/>
      </c>
    </row>
    <row r="220">
      <c r="A220" s="15" t="inlineStr">
        <is>
          <t>Justine</t>
        </is>
      </c>
      <c r="B220" s="29">
        <f>IF($A220="","",IFERROR(INDEX(Roster!$B$2:$B$40,MATCH($A220,Roster!$A$2:$A$40,0)),"?"))</f>
        <v/>
      </c>
      <c r="C220" s="15" t="inlineStr">
        <is>
          <t>Beauty_3</t>
        </is>
      </c>
      <c r="D220" s="29">
        <f>IF($C220="","",IFERROR(IF(INDEX(Deals!$C$2:$C$355,MATCH($C220,Deals!$A$2:$A$355,0))=0,"",INDEX(Deals!$C$2:$C$355,MATCH($C220,Deals!$A$2:$A$355,0))),"?"))</f>
        <v/>
      </c>
      <c r="E220" s="29">
        <f>IF($C220="","",IFERROR(INDEX(Deals!$F$2:$F$355,MATCH($C220,Deals!$A$2:$A$355,0)),"?"))</f>
        <v/>
      </c>
      <c r="F220" s="15" t="inlineStr">
        <is>
          <t>Director</t>
        </is>
      </c>
      <c r="G220" s="15" t="inlineStr">
        <is>
          <t>Active</t>
        </is>
      </c>
      <c r="H220" s="27" t="n"/>
      <c r="I220" s="20">
        <f>IF(OR($A220="",$G220&lt;&gt;"Active"),0,IF($H220&lt;&gt;"",$H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</f>
        <v/>
      </c>
      <c r="J220" s="23">
        <f>IF($C220="",0,IFERROR(INDEX(Deals!$H$2:$H$355,MATCH($C220,Deals!$A$2:$A$355,0)),0))</f>
        <v/>
      </c>
      <c r="K220" s="20">
        <f>IF(Settings!$B$4="Yes",$I220*$J220,$I220)</f>
        <v/>
      </c>
      <c r="L220" s="31">
        <f>IF($C220="","",IFERROR(IF(INDEX(Deals!$I$2:$I$355,MATCH($C220,Deals!$A$2:$A$355,0))=0,"",INDEX(Deals!$I$2:$I$355,MATCH($C220,Deals!$A$2:$A$355,0))),""))</f>
        <v/>
      </c>
      <c r="M220" s="31">
        <f>IF($C220="","",IFERROR(IF(INDEX(Deals!$J$2:$J$355,MATCH($C220,Deals!$A$2:$A$355,0))=0,"",INDEX(Deals!$J$2:$J$355,MATCH($C220,Deals!$A$2:$A$355,0))),""))</f>
        <v/>
      </c>
      <c r="N220" s="24">
        <f>IF($L220="",DATE(1900,1,1),$L220)</f>
        <v/>
      </c>
      <c r="O220" s="24">
        <f>IF($M220="",DATE(2100,12,31),$M220)</f>
        <v/>
      </c>
      <c r="P220" s="16" t="inlineStr">
        <is>
          <t>Ongoing</t>
        </is>
      </c>
      <c r="Q220" s="16" t="inlineStr"/>
      <c r="R220" s="29">
        <f>IF($C220="","",IFERROR(IF(INDEX(Deals!$U$2:$U$355,MATCH($C220,Deals!$A$2:$A$355,0))=0,"",INDEX(Deals!$U$2:$U$355,MATCH($C220,Deals!$A$2:$A$355,0))),""))</f>
        <v/>
      </c>
      <c r="S220" s="22">
        <f>IFERROR(IF($U220="",1,INDEX(Deals!$V$2:$V$355,MATCH($C220,Deals!$A$2:$A$355,0))),1)</f>
        <v/>
      </c>
      <c r="T220" s="22">
        <f>IFERROR(IF($U220="",1,INDEX(Deals!$W$2:$W$355,MATCH($C220,Deals!$A$2:$A$355,0))),1)</f>
        <v/>
      </c>
      <c r="U220" s="31">
        <f>IF($C220="","",IFERROR(IF(INDEX(Deals!$Y$2:$Y$355,MATCH($C220,Deals!$A$2:$A$355,0))=0,"",INDEX(Deals!$Y$2:$Y$355,MATCH($C220,Deals!$A$2:$A$355,0))),""))</f>
        <v/>
      </c>
      <c r="V220" s="24">
        <f>IF($U220="",DATE(1900,1,1),$N220)</f>
        <v/>
      </c>
      <c r="W220" s="24">
        <f>IF($U220="",DATE(2100,12,31),$U220)</f>
        <v/>
      </c>
      <c r="X220" s="20">
        <f>IF($U220="",$K220,$K220*$S220)</f>
        <v/>
      </c>
      <c r="Y220" s="24">
        <f>IF($U220="",DATE(2100,12,31),$U220+1)</f>
        <v/>
      </c>
      <c r="Z220" s="24">
        <f>IF($U220="",DATE(1900,1,1),$O220)</f>
        <v/>
      </c>
      <c r="AA220" s="20">
        <f>IF($U220="",0,$K220*$T220)</f>
        <v/>
      </c>
    </row>
    <row r="221">
      <c r="A221" s="15" t="inlineStr">
        <is>
          <t>Justine</t>
        </is>
      </c>
      <c r="B221" s="29">
        <f>IF($A221="","",IFERROR(INDEX(Roster!$B$2:$B$40,MATCH($A221,Roster!$A$2:$A$40,0)),"?"))</f>
        <v/>
      </c>
      <c r="C221" s="15" t="inlineStr">
        <is>
          <t>Canoe_1</t>
        </is>
      </c>
      <c r="D221" s="29">
        <f>IF($C221="","",IFERROR(IF(INDEX(Deals!$C$2:$C$355,MATCH($C221,Deals!$A$2:$A$355,0))=0,"",INDEX(Deals!$C$2:$C$355,MATCH($C221,Deals!$A$2:$A$355,0))),"?"))</f>
        <v/>
      </c>
      <c r="E221" s="29">
        <f>IF($C221="","",IFERROR(INDEX(Deals!$F$2:$F$355,MATCH($C221,Deals!$A$2:$A$355,0)),"?"))</f>
        <v/>
      </c>
      <c r="F221" s="15" t="inlineStr">
        <is>
          <t>Director</t>
        </is>
      </c>
      <c r="G221" s="15" t="inlineStr">
        <is>
          <t>Active</t>
        </is>
      </c>
      <c r="H221" s="27" t="n"/>
      <c r="I221" s="20">
        <f>IF(OR($A221="",$G221&lt;&gt;"Active"),0,IF($H221&lt;&gt;"",$H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</f>
        <v/>
      </c>
      <c r="J221" s="23">
        <f>IF($C221="",0,IFERROR(INDEX(Deals!$H$2:$H$355,MATCH($C221,Deals!$A$2:$A$355,0)),0))</f>
        <v/>
      </c>
      <c r="K221" s="20">
        <f>IF(Settings!$B$4="Yes",$I221*$J221,$I221)</f>
        <v/>
      </c>
      <c r="L221" s="31">
        <f>IF($C221="","",IFERROR(IF(INDEX(Deals!$I$2:$I$355,MATCH($C221,Deals!$A$2:$A$355,0))=0,"",INDEX(Deals!$I$2:$I$355,MATCH($C221,Deals!$A$2:$A$355,0))),""))</f>
        <v/>
      </c>
      <c r="M221" s="31">
        <f>IF($C221="","",IFERROR(IF(INDEX(Deals!$J$2:$J$355,MATCH($C221,Deals!$A$2:$A$355,0))=0,"",INDEX(Deals!$J$2:$J$355,MATCH($C221,Deals!$A$2:$A$355,0))),""))</f>
        <v/>
      </c>
      <c r="N221" s="24">
        <f>IF($L221="",DATE(1900,1,1),$L221)</f>
        <v/>
      </c>
      <c r="O221" s="24">
        <f>IF($M221="",DATE(2100,12,31),$M221)</f>
        <v/>
      </c>
      <c r="P221" s="16" t="inlineStr">
        <is>
          <t>Proposal</t>
        </is>
      </c>
      <c r="Q221" s="16" t="inlineStr"/>
      <c r="R221" s="29">
        <f>IF($C221="","",IFERROR(IF(INDEX(Deals!$U$2:$U$355,MATCH($C221,Deals!$A$2:$A$355,0))=0,"",INDEX(Deals!$U$2:$U$355,MATCH($C221,Deals!$A$2:$A$355,0))),""))</f>
        <v/>
      </c>
      <c r="S221" s="22">
        <f>IFERROR(IF($U221="",1,INDEX(Deals!$V$2:$V$355,MATCH($C221,Deals!$A$2:$A$355,0))),1)</f>
        <v/>
      </c>
      <c r="T221" s="22">
        <f>IFERROR(IF($U221="",1,INDEX(Deals!$W$2:$W$355,MATCH($C221,Deals!$A$2:$A$355,0))),1)</f>
        <v/>
      </c>
      <c r="U221" s="31">
        <f>IF($C221="","",IFERROR(IF(INDEX(Deals!$Y$2:$Y$355,MATCH($C221,Deals!$A$2:$A$355,0))=0,"",INDEX(Deals!$Y$2:$Y$355,MATCH($C221,Deals!$A$2:$A$355,0))),""))</f>
        <v/>
      </c>
      <c r="V221" s="24">
        <f>IF($U221="",DATE(1900,1,1),$N221)</f>
        <v/>
      </c>
      <c r="W221" s="24">
        <f>IF($U221="",DATE(2100,12,31),$U221)</f>
        <v/>
      </c>
      <c r="X221" s="20">
        <f>IF($U221="",$K221,$K221*$S221)</f>
        <v/>
      </c>
      <c r="Y221" s="24">
        <f>IF($U221="",DATE(2100,12,31),$U221+1)</f>
        <v/>
      </c>
      <c r="Z221" s="24">
        <f>IF($U221="",DATE(1900,1,1),$O221)</f>
        <v/>
      </c>
      <c r="AA221" s="20">
        <f>IF($U221="",0,$K221*$T221)</f>
        <v/>
      </c>
    </row>
    <row r="222">
      <c r="A222" s="15" t="inlineStr">
        <is>
          <t>Justine</t>
        </is>
      </c>
      <c r="B222" s="29">
        <f>IF($A222="","",IFERROR(INDEX(Roster!$B$2:$B$40,MATCH($A222,Roster!$A$2:$A$40,0)),"?"))</f>
        <v/>
      </c>
      <c r="C222" s="15" t="inlineStr">
        <is>
          <t>Canyon_2</t>
        </is>
      </c>
      <c r="D222" s="29">
        <f>IF($C222="","",IFERROR(IF(INDEX(Deals!$C$2:$C$355,MATCH($C222,Deals!$A$2:$A$355,0))=0,"",INDEX(Deals!$C$2:$C$355,MATCH($C222,Deals!$A$2:$A$355,0))),"?"))</f>
        <v/>
      </c>
      <c r="E222" s="29">
        <f>IF($C222="","",IFERROR(INDEX(Deals!$F$2:$F$355,MATCH($C222,Deals!$A$2:$A$355,0)),"?"))</f>
        <v/>
      </c>
      <c r="F222" s="15" t="inlineStr">
        <is>
          <t>Director</t>
        </is>
      </c>
      <c r="G222" s="15" t="inlineStr">
        <is>
          <t>Inactive</t>
        </is>
      </c>
      <c r="H222" s="27" t="n"/>
      <c r="I222" s="20">
        <f>IF(OR($A222="",$G222&lt;&gt;"Active"),0,IF($H222&lt;&gt;"",$H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</f>
        <v/>
      </c>
      <c r="J222" s="23">
        <f>IF($C222="",0,IFERROR(INDEX(Deals!$H$2:$H$355,MATCH($C222,Deals!$A$2:$A$355,0)),0))</f>
        <v/>
      </c>
      <c r="K222" s="20">
        <f>IF(Settings!$B$4="Yes",$I222*$J222,$I222)</f>
        <v/>
      </c>
      <c r="L222" s="31">
        <f>IF($C222="","",IFERROR(IF(INDEX(Deals!$I$2:$I$355,MATCH($C222,Deals!$A$2:$A$355,0))=0,"",INDEX(Deals!$I$2:$I$355,MATCH($C222,Deals!$A$2:$A$355,0))),""))</f>
        <v/>
      </c>
      <c r="M222" s="31">
        <f>IF($C222="","",IFERROR(IF(INDEX(Deals!$J$2:$J$355,MATCH($C222,Deals!$A$2:$A$355,0))=0,"",INDEX(Deals!$J$2:$J$355,MATCH($C222,Deals!$A$2:$A$355,0))),""))</f>
        <v/>
      </c>
      <c r="N222" s="24">
        <f>IF($L222="",DATE(1900,1,1),$L222)</f>
        <v/>
      </c>
      <c r="O222" s="24">
        <f>IF($M222="",DATE(2100,12,31),$M222)</f>
        <v/>
      </c>
      <c r="P222" s="16" t="inlineStr">
        <is>
          <t>Closed</t>
        </is>
      </c>
      <c r="Q222" s="16" t="inlineStr"/>
      <c r="R222" s="29">
        <f>IF($C222="","",IFERROR(IF(INDEX(Deals!$U$2:$U$355,MATCH($C222,Deals!$A$2:$A$355,0))=0,"",INDEX(Deals!$U$2:$U$355,MATCH($C222,Deals!$A$2:$A$355,0))),""))</f>
        <v/>
      </c>
      <c r="S222" s="22">
        <f>IFERROR(IF($U222="",1,INDEX(Deals!$V$2:$V$355,MATCH($C222,Deals!$A$2:$A$355,0))),1)</f>
        <v/>
      </c>
      <c r="T222" s="22">
        <f>IFERROR(IF($U222="",1,INDEX(Deals!$W$2:$W$355,MATCH($C222,Deals!$A$2:$A$355,0))),1)</f>
        <v/>
      </c>
      <c r="U222" s="31">
        <f>IF($C222="","",IFERROR(IF(INDEX(Deals!$Y$2:$Y$355,MATCH($C222,Deals!$A$2:$A$355,0))=0,"",INDEX(Deals!$Y$2:$Y$355,MATCH($C222,Deals!$A$2:$A$355,0))),""))</f>
        <v/>
      </c>
      <c r="V222" s="24">
        <f>IF($U222="",DATE(1900,1,1),$N222)</f>
        <v/>
      </c>
      <c r="W222" s="24">
        <f>IF($U222="",DATE(2100,12,31),$U222)</f>
        <v/>
      </c>
      <c r="X222" s="20">
        <f>IF($U222="",$K222,$K222*$S222)</f>
        <v/>
      </c>
      <c r="Y222" s="24">
        <f>IF($U222="",DATE(2100,12,31),$U222+1)</f>
        <v/>
      </c>
      <c r="Z222" s="24">
        <f>IF($U222="",DATE(1900,1,1),$O222)</f>
        <v/>
      </c>
      <c r="AA222" s="20">
        <f>IF($U222="",0,$K222*$T222)</f>
        <v/>
      </c>
    </row>
    <row r="223">
      <c r="A223" s="15" t="inlineStr">
        <is>
          <t>Justine</t>
        </is>
      </c>
      <c r="B223" s="29">
        <f>IF($A223="","",IFERROR(INDEX(Roster!$B$2:$B$40,MATCH($A223,Roster!$A$2:$A$40,0)),"?"))</f>
        <v/>
      </c>
      <c r="C223" s="15" t="inlineStr">
        <is>
          <t>Celestial_1</t>
        </is>
      </c>
      <c r="D223" s="29">
        <f>IF($C223="","",IFERROR(IF(INDEX(Deals!$C$2:$C$355,MATCH($C223,Deals!$A$2:$A$355,0))=0,"",INDEX(Deals!$C$2:$C$355,MATCH($C223,Deals!$A$2:$A$355,0))),"?"))</f>
        <v/>
      </c>
      <c r="E223" s="29">
        <f>IF($C223="","",IFERROR(INDEX(Deals!$F$2:$F$355,MATCH($C223,Deals!$A$2:$A$355,0)),"?"))</f>
        <v/>
      </c>
      <c r="F223" s="15" t="inlineStr">
        <is>
          <t>Director</t>
        </is>
      </c>
      <c r="G223" s="15" t="inlineStr">
        <is>
          <t>Inactive</t>
        </is>
      </c>
      <c r="H223" s="27" t="n"/>
      <c r="I223" s="20">
        <f>IF(OR($A223="",$G223&lt;&gt;"Active"),0,IF($H223&lt;&gt;"",$H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</f>
        <v/>
      </c>
      <c r="J223" s="23">
        <f>IF($C223="",0,IFERROR(INDEX(Deals!$H$2:$H$355,MATCH($C223,Deals!$A$2:$A$355,0)),0))</f>
        <v/>
      </c>
      <c r="K223" s="20">
        <f>IF(Settings!$B$4="Yes",$I223*$J223,$I223)</f>
        <v/>
      </c>
      <c r="L223" s="31">
        <f>IF($C223="","",IFERROR(IF(INDEX(Deals!$I$2:$I$355,MATCH($C223,Deals!$A$2:$A$355,0))=0,"",INDEX(Deals!$I$2:$I$355,MATCH($C223,Deals!$A$2:$A$355,0))),""))</f>
        <v/>
      </c>
      <c r="M223" s="31">
        <f>IF($C223="","",IFERROR(IF(INDEX(Deals!$J$2:$J$355,MATCH($C223,Deals!$A$2:$A$355,0))=0,"",INDEX(Deals!$J$2:$J$355,MATCH($C223,Deals!$A$2:$A$355,0))),""))</f>
        <v/>
      </c>
      <c r="N223" s="24">
        <f>IF($L223="",DATE(1900,1,1),$L223)</f>
        <v/>
      </c>
      <c r="O223" s="24">
        <f>IF($M223="",DATE(2100,12,31),$M223)</f>
        <v/>
      </c>
      <c r="P223" s="16" t="inlineStr">
        <is>
          <t>Closed</t>
        </is>
      </c>
      <c r="Q223" s="16" t="inlineStr"/>
      <c r="R223" s="29">
        <f>IF($C223="","",IFERROR(IF(INDEX(Deals!$U$2:$U$355,MATCH($C223,Deals!$A$2:$A$355,0))=0,"",INDEX(Deals!$U$2:$U$355,MATCH($C223,Deals!$A$2:$A$355,0))),""))</f>
        <v/>
      </c>
      <c r="S223" s="22">
        <f>IFERROR(IF($U223="",1,INDEX(Deals!$V$2:$V$355,MATCH($C223,Deals!$A$2:$A$355,0))),1)</f>
        <v/>
      </c>
      <c r="T223" s="22">
        <f>IFERROR(IF($U223="",1,INDEX(Deals!$W$2:$W$355,MATCH($C223,Deals!$A$2:$A$355,0))),1)</f>
        <v/>
      </c>
      <c r="U223" s="31">
        <f>IF($C223="","",IFERROR(IF(INDEX(Deals!$Y$2:$Y$355,MATCH($C223,Deals!$A$2:$A$355,0))=0,"",INDEX(Deals!$Y$2:$Y$355,MATCH($C223,Deals!$A$2:$A$355,0))),""))</f>
        <v/>
      </c>
      <c r="V223" s="24">
        <f>IF($U223="",DATE(1900,1,1),$N223)</f>
        <v/>
      </c>
      <c r="W223" s="24">
        <f>IF($U223="",DATE(2100,12,31),$U223)</f>
        <v/>
      </c>
      <c r="X223" s="20">
        <f>IF($U223="",$K223,$K223*$S223)</f>
        <v/>
      </c>
      <c r="Y223" s="24">
        <f>IF($U223="",DATE(2100,12,31),$U223+1)</f>
        <v/>
      </c>
      <c r="Z223" s="24">
        <f>IF($U223="",DATE(1900,1,1),$O223)</f>
        <v/>
      </c>
      <c r="AA223" s="20">
        <f>IF($U223="",0,$K223*$T223)</f>
        <v/>
      </c>
    </row>
    <row r="224">
      <c r="A224" s="15" t="inlineStr">
        <is>
          <t>Justine</t>
        </is>
      </c>
      <c r="B224" s="29">
        <f>IF($A224="","",IFERROR(INDEX(Roster!$B$2:$B$40,MATCH($A224,Roster!$A$2:$A$40,0)),"?"))</f>
        <v/>
      </c>
      <c r="C224" s="15" t="inlineStr">
        <is>
          <t>Colt_2</t>
        </is>
      </c>
      <c r="D224" s="29">
        <f>IF($C224="","",IFERROR(IF(INDEX(Deals!$C$2:$C$355,MATCH($C224,Deals!$A$2:$A$355,0))=0,"",INDEX(Deals!$C$2:$C$355,MATCH($C224,Deals!$A$2:$A$355,0))),"?"))</f>
        <v/>
      </c>
      <c r="E224" s="29">
        <f>IF($C224="","",IFERROR(INDEX(Deals!$F$2:$F$355,MATCH($C224,Deals!$A$2:$A$355,0)),"?"))</f>
        <v/>
      </c>
      <c r="F224" s="15" t="inlineStr">
        <is>
          <t>Director</t>
        </is>
      </c>
      <c r="G224" s="15" t="inlineStr">
        <is>
          <t>Active</t>
        </is>
      </c>
      <c r="H224" s="27" t="n"/>
      <c r="I224" s="20">
        <f>IF(OR($A224="",$G224&lt;&gt;"Active"),0,IF($H224&lt;&gt;"",$H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</f>
        <v/>
      </c>
      <c r="J224" s="23">
        <f>IF($C224="",0,IFERROR(INDEX(Deals!$H$2:$H$355,MATCH($C224,Deals!$A$2:$A$355,0)),0))</f>
        <v/>
      </c>
      <c r="K224" s="20">
        <f>IF(Settings!$B$4="Yes",$I224*$J224,$I224)</f>
        <v/>
      </c>
      <c r="L224" s="31">
        <f>IF($C224="","",IFERROR(IF(INDEX(Deals!$I$2:$I$355,MATCH($C224,Deals!$A$2:$A$355,0))=0,"",INDEX(Deals!$I$2:$I$355,MATCH($C224,Deals!$A$2:$A$355,0))),""))</f>
        <v/>
      </c>
      <c r="M224" s="31">
        <f>IF($C224="","",IFERROR(IF(INDEX(Deals!$J$2:$J$355,MATCH($C224,Deals!$A$2:$A$355,0))=0,"",INDEX(Deals!$J$2:$J$355,MATCH($C224,Deals!$A$2:$A$355,0))),""))</f>
        <v/>
      </c>
      <c r="N224" s="24">
        <f>IF($L224="",DATE(1900,1,1),$L224)</f>
        <v/>
      </c>
      <c r="O224" s="24">
        <f>IF($M224="",DATE(2100,12,31),$M224)</f>
        <v/>
      </c>
      <c r="P224" s="16" t="inlineStr">
        <is>
          <t>Proposal</t>
        </is>
      </c>
      <c r="Q224" s="16" t="inlineStr"/>
      <c r="R224" s="29">
        <f>IF($C224="","",IFERROR(IF(INDEX(Deals!$U$2:$U$355,MATCH($C224,Deals!$A$2:$A$355,0))=0,"",INDEX(Deals!$U$2:$U$355,MATCH($C224,Deals!$A$2:$A$355,0))),""))</f>
        <v/>
      </c>
      <c r="S224" s="22">
        <f>IFERROR(IF($U224="",1,INDEX(Deals!$V$2:$V$355,MATCH($C224,Deals!$A$2:$A$355,0))),1)</f>
        <v/>
      </c>
      <c r="T224" s="22">
        <f>IFERROR(IF($U224="",1,INDEX(Deals!$W$2:$W$355,MATCH($C224,Deals!$A$2:$A$355,0))),1)</f>
        <v/>
      </c>
      <c r="U224" s="31">
        <f>IF($C224="","",IFERROR(IF(INDEX(Deals!$Y$2:$Y$355,MATCH($C224,Deals!$A$2:$A$355,0))=0,"",INDEX(Deals!$Y$2:$Y$355,MATCH($C224,Deals!$A$2:$A$355,0))),""))</f>
        <v/>
      </c>
      <c r="V224" s="24">
        <f>IF($U224="",DATE(1900,1,1),$N224)</f>
        <v/>
      </c>
      <c r="W224" s="24">
        <f>IF($U224="",DATE(2100,12,31),$U224)</f>
        <v/>
      </c>
      <c r="X224" s="20">
        <f>IF($U224="",$K224,$K224*$S224)</f>
        <v/>
      </c>
      <c r="Y224" s="24">
        <f>IF($U224="",DATE(2100,12,31),$U224+1)</f>
        <v/>
      </c>
      <c r="Z224" s="24">
        <f>IF($U224="",DATE(1900,1,1),$O224)</f>
        <v/>
      </c>
      <c r="AA224" s="20">
        <f>IF($U224="",0,$K224*$T224)</f>
        <v/>
      </c>
    </row>
    <row r="225">
      <c r="A225" s="15" t="inlineStr">
        <is>
          <t>Justine</t>
        </is>
      </c>
      <c r="B225" s="29">
        <f>IF($A225="","",IFERROR(INDEX(Roster!$B$2:$B$40,MATCH($A225,Roster!$A$2:$A$40,0)),"?"))</f>
        <v/>
      </c>
      <c r="C225" s="15" t="inlineStr">
        <is>
          <t>Cosmetic _1</t>
        </is>
      </c>
      <c r="D225" s="29">
        <f>IF($C225="","",IFERROR(IF(INDEX(Deals!$C$2:$C$355,MATCH($C225,Deals!$A$2:$A$355,0))=0,"",INDEX(Deals!$C$2:$C$355,MATCH($C225,Deals!$A$2:$A$355,0))),"?"))</f>
        <v/>
      </c>
      <c r="E225" s="29">
        <f>IF($C225="","",IFERROR(INDEX(Deals!$F$2:$F$355,MATCH($C225,Deals!$A$2:$A$355,0)),"?"))</f>
        <v/>
      </c>
      <c r="F225" s="15" t="inlineStr">
        <is>
          <t>Director</t>
        </is>
      </c>
      <c r="G225" s="15" t="inlineStr">
        <is>
          <t>Active</t>
        </is>
      </c>
      <c r="H225" s="27" t="n"/>
      <c r="I225" s="20">
        <f>IF(OR($A225="",$G225&lt;&gt;"Active"),0,IF($H225&lt;&gt;"",$H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</f>
        <v/>
      </c>
      <c r="J225" s="23">
        <f>IF($C225="",0,IFERROR(INDEX(Deals!$H$2:$H$355,MATCH($C225,Deals!$A$2:$A$355,0)),0))</f>
        <v/>
      </c>
      <c r="K225" s="20">
        <f>IF(Settings!$B$4="Yes",$I225*$J225,$I225)</f>
        <v/>
      </c>
      <c r="L225" s="31">
        <f>IF($C225="","",IFERROR(IF(INDEX(Deals!$I$2:$I$355,MATCH($C225,Deals!$A$2:$A$355,0))=0,"",INDEX(Deals!$I$2:$I$355,MATCH($C225,Deals!$A$2:$A$355,0))),""))</f>
        <v/>
      </c>
      <c r="M225" s="31">
        <f>IF($C225="","",IFERROR(IF(INDEX(Deals!$J$2:$J$355,MATCH($C225,Deals!$A$2:$A$355,0))=0,"",INDEX(Deals!$J$2:$J$355,MATCH($C225,Deals!$A$2:$A$355,0))),""))</f>
        <v/>
      </c>
      <c r="N225" s="24">
        <f>IF($L225="",DATE(1900,1,1),$L225)</f>
        <v/>
      </c>
      <c r="O225" s="24">
        <f>IF($M225="",DATE(2100,12,31),$M225)</f>
        <v/>
      </c>
      <c r="P225" s="16" t="inlineStr">
        <is>
          <t>Ongoing</t>
        </is>
      </c>
      <c r="Q225" s="16" t="inlineStr"/>
      <c r="R225" s="29">
        <f>IF($C225="","",IFERROR(IF(INDEX(Deals!$U$2:$U$355,MATCH($C225,Deals!$A$2:$A$355,0))=0,"",INDEX(Deals!$U$2:$U$355,MATCH($C225,Deals!$A$2:$A$355,0))),""))</f>
        <v/>
      </c>
      <c r="S225" s="22">
        <f>IFERROR(IF($U225="",1,INDEX(Deals!$V$2:$V$355,MATCH($C225,Deals!$A$2:$A$355,0))),1)</f>
        <v/>
      </c>
      <c r="T225" s="22">
        <f>IFERROR(IF($U225="",1,INDEX(Deals!$W$2:$W$355,MATCH($C225,Deals!$A$2:$A$355,0))),1)</f>
        <v/>
      </c>
      <c r="U225" s="31">
        <f>IF($C225="","",IFERROR(IF(INDEX(Deals!$Y$2:$Y$355,MATCH($C225,Deals!$A$2:$A$355,0))=0,"",INDEX(Deals!$Y$2:$Y$355,MATCH($C225,Deals!$A$2:$A$355,0))),""))</f>
        <v/>
      </c>
      <c r="V225" s="24">
        <f>IF($U225="",DATE(1900,1,1),$N225)</f>
        <v/>
      </c>
      <c r="W225" s="24">
        <f>IF($U225="",DATE(2100,12,31),$U225)</f>
        <v/>
      </c>
      <c r="X225" s="20">
        <f>IF($U225="",$K225,$K225*$S225)</f>
        <v/>
      </c>
      <c r="Y225" s="24">
        <f>IF($U225="",DATE(2100,12,31),$U225+1)</f>
        <v/>
      </c>
      <c r="Z225" s="24">
        <f>IF($U225="",DATE(1900,1,1),$O225)</f>
        <v/>
      </c>
      <c r="AA225" s="20">
        <f>IF($U225="",0,$K225*$T225)</f>
        <v/>
      </c>
    </row>
    <row r="226">
      <c r="A226" s="15" t="inlineStr">
        <is>
          <t>Justine</t>
        </is>
      </c>
      <c r="B226" s="29">
        <f>IF($A226="","",IFERROR(INDEX(Roster!$B$2:$B$40,MATCH($A226,Roster!$A$2:$A$40,0)),"?"))</f>
        <v/>
      </c>
      <c r="C226" s="15" t="inlineStr">
        <is>
          <t>Danone_1</t>
        </is>
      </c>
      <c r="D226" s="29">
        <f>IF($C226="","",IFERROR(IF(INDEX(Deals!$C$2:$C$355,MATCH($C226,Deals!$A$2:$A$355,0))=0,"",INDEX(Deals!$C$2:$C$355,MATCH($C226,Deals!$A$2:$A$355,0))),"?"))</f>
        <v/>
      </c>
      <c r="E226" s="29">
        <f>IF($C226="","",IFERROR(INDEX(Deals!$F$2:$F$355,MATCH($C226,Deals!$A$2:$A$355,0)),"?"))</f>
        <v/>
      </c>
      <c r="F226" s="15" t="inlineStr">
        <is>
          <t>Director</t>
        </is>
      </c>
      <c r="G226" s="15" t="inlineStr">
        <is>
          <t>Active</t>
        </is>
      </c>
      <c r="H226" s="27" t="n"/>
      <c r="I226" s="20">
        <f>IF(OR($A226="",$G226&lt;&gt;"Active"),0,IF($H226&lt;&gt;"",$H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</f>
        <v/>
      </c>
      <c r="J226" s="23">
        <f>IF($C226="",0,IFERROR(INDEX(Deals!$H$2:$H$355,MATCH($C226,Deals!$A$2:$A$355,0)),0))</f>
        <v/>
      </c>
      <c r="K226" s="20">
        <f>IF(Settings!$B$4="Yes",$I226*$J226,$I226)</f>
        <v/>
      </c>
      <c r="L226" s="31">
        <f>IF($C226="","",IFERROR(IF(INDEX(Deals!$I$2:$I$355,MATCH($C226,Deals!$A$2:$A$355,0))=0,"",INDEX(Deals!$I$2:$I$355,MATCH($C226,Deals!$A$2:$A$355,0))),""))</f>
        <v/>
      </c>
      <c r="M226" s="31">
        <f>IF($C226="","",IFERROR(IF(INDEX(Deals!$J$2:$J$355,MATCH($C226,Deals!$A$2:$A$355,0))=0,"",INDEX(Deals!$J$2:$J$355,MATCH($C226,Deals!$A$2:$A$355,0))),""))</f>
        <v/>
      </c>
      <c r="N226" s="24">
        <f>IF($L226="",DATE(1900,1,1),$L226)</f>
        <v/>
      </c>
      <c r="O226" s="24">
        <f>IF($M226="",DATE(2100,12,31),$M226)</f>
        <v/>
      </c>
      <c r="P226" s="16" t="inlineStr">
        <is>
          <t>Proposal</t>
        </is>
      </c>
      <c r="Q226" s="16" t="inlineStr"/>
      <c r="R226" s="29">
        <f>IF($C226="","",IFERROR(IF(INDEX(Deals!$U$2:$U$355,MATCH($C226,Deals!$A$2:$A$355,0))=0,"",INDEX(Deals!$U$2:$U$355,MATCH($C226,Deals!$A$2:$A$355,0))),""))</f>
        <v/>
      </c>
      <c r="S226" s="22">
        <f>IFERROR(IF($U226="",1,INDEX(Deals!$V$2:$V$355,MATCH($C226,Deals!$A$2:$A$355,0))),1)</f>
        <v/>
      </c>
      <c r="T226" s="22">
        <f>IFERROR(IF($U226="",1,INDEX(Deals!$W$2:$W$355,MATCH($C226,Deals!$A$2:$A$355,0))),1)</f>
        <v/>
      </c>
      <c r="U226" s="31">
        <f>IF($C226="","",IFERROR(IF(INDEX(Deals!$Y$2:$Y$355,MATCH($C226,Deals!$A$2:$A$355,0))=0,"",INDEX(Deals!$Y$2:$Y$355,MATCH($C226,Deals!$A$2:$A$355,0))),""))</f>
        <v/>
      </c>
      <c r="V226" s="24">
        <f>IF($U226="",DATE(1900,1,1),$N226)</f>
        <v/>
      </c>
      <c r="W226" s="24">
        <f>IF($U226="",DATE(2100,12,31),$U226)</f>
        <v/>
      </c>
      <c r="X226" s="20">
        <f>IF($U226="",$K226,$K226*$S226)</f>
        <v/>
      </c>
      <c r="Y226" s="24">
        <f>IF($U226="",DATE(2100,12,31),$U226+1)</f>
        <v/>
      </c>
      <c r="Z226" s="24">
        <f>IF($U226="",DATE(1900,1,1),$O226)</f>
        <v/>
      </c>
      <c r="AA226" s="20">
        <f>IF($U226="",0,$K226*$T226)</f>
        <v/>
      </c>
    </row>
    <row r="227">
      <c r="A227" s="15" t="inlineStr">
        <is>
          <t>Justine</t>
        </is>
      </c>
      <c r="B227" s="29">
        <f>IF($A227="","",IFERROR(INDEX(Roster!$B$2:$B$40,MATCH($A227,Roster!$A$2:$A$40,0)),"?"))</f>
        <v/>
      </c>
      <c r="C227" s="15" t="inlineStr">
        <is>
          <t>DEBT analysis_1</t>
        </is>
      </c>
      <c r="D227" s="29">
        <f>IF($C227="","",IFERROR(IF(INDEX(Deals!$C$2:$C$355,MATCH($C227,Deals!$A$2:$A$355,0))=0,"",INDEX(Deals!$C$2:$C$355,MATCH($C227,Deals!$A$2:$A$355,0))),"?"))</f>
        <v/>
      </c>
      <c r="E227" s="29">
        <f>IF($C227="","",IFERROR(INDEX(Deals!$F$2:$F$355,MATCH($C227,Deals!$A$2:$A$355,0)),"?"))</f>
        <v/>
      </c>
      <c r="F227" s="15" t="inlineStr">
        <is>
          <t>Director</t>
        </is>
      </c>
      <c r="G227" s="15" t="inlineStr">
        <is>
          <t>Active</t>
        </is>
      </c>
      <c r="H227" s="27" t="n"/>
      <c r="I227" s="20">
        <f>IF(OR($A227="",$G227&lt;&gt;"Active"),0,IF($H227&lt;&gt;"",$H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</f>
        <v/>
      </c>
      <c r="J227" s="23">
        <f>IF($C227="",0,IFERROR(INDEX(Deals!$H$2:$H$355,MATCH($C227,Deals!$A$2:$A$355,0)),0))</f>
        <v/>
      </c>
      <c r="K227" s="20">
        <f>IF(Settings!$B$4="Yes",$I227*$J227,$I227)</f>
        <v/>
      </c>
      <c r="L227" s="31">
        <f>IF($C227="","",IFERROR(IF(INDEX(Deals!$I$2:$I$355,MATCH($C227,Deals!$A$2:$A$355,0))=0,"",INDEX(Deals!$I$2:$I$355,MATCH($C227,Deals!$A$2:$A$355,0))),""))</f>
        <v/>
      </c>
      <c r="M227" s="31">
        <f>IF($C227="","",IFERROR(IF(INDEX(Deals!$J$2:$J$355,MATCH($C227,Deals!$A$2:$A$355,0))=0,"",INDEX(Deals!$J$2:$J$355,MATCH($C227,Deals!$A$2:$A$355,0))),""))</f>
        <v/>
      </c>
      <c r="N227" s="24">
        <f>IF($L227="",DATE(1900,1,1),$L227)</f>
        <v/>
      </c>
      <c r="O227" s="24">
        <f>IF($M227="",DATE(2100,12,31),$M227)</f>
        <v/>
      </c>
      <c r="P227" s="16" t="inlineStr">
        <is>
          <t>Ongoing / Jeremy</t>
        </is>
      </c>
      <c r="Q227" s="16" t="inlineStr"/>
      <c r="R227" s="29">
        <f>IF($C227="","",IFERROR(IF(INDEX(Deals!$U$2:$U$355,MATCH($C227,Deals!$A$2:$A$355,0))=0,"",INDEX(Deals!$U$2:$U$355,MATCH($C227,Deals!$A$2:$A$355,0))),""))</f>
        <v/>
      </c>
      <c r="S227" s="22">
        <f>IFERROR(IF($U227="",1,INDEX(Deals!$V$2:$V$355,MATCH($C227,Deals!$A$2:$A$355,0))),1)</f>
        <v/>
      </c>
      <c r="T227" s="22">
        <f>IFERROR(IF($U227="",1,INDEX(Deals!$W$2:$W$355,MATCH($C227,Deals!$A$2:$A$355,0))),1)</f>
        <v/>
      </c>
      <c r="U227" s="31">
        <f>IF($C227="","",IFERROR(IF(INDEX(Deals!$Y$2:$Y$355,MATCH($C227,Deals!$A$2:$A$355,0))=0,"",INDEX(Deals!$Y$2:$Y$355,MATCH($C227,Deals!$A$2:$A$355,0))),""))</f>
        <v/>
      </c>
      <c r="V227" s="24">
        <f>IF($U227="",DATE(1900,1,1),$N227)</f>
        <v/>
      </c>
      <c r="W227" s="24">
        <f>IF($U227="",DATE(2100,12,31),$U227)</f>
        <v/>
      </c>
      <c r="X227" s="20">
        <f>IF($U227="",$K227,$K227*$S227)</f>
        <v/>
      </c>
      <c r="Y227" s="24">
        <f>IF($U227="",DATE(2100,12,31),$U227+1)</f>
        <v/>
      </c>
      <c r="Z227" s="24">
        <f>IF($U227="",DATE(1900,1,1),$O227)</f>
        <v/>
      </c>
      <c r="AA227" s="20">
        <f>IF($U227="",0,$K227*$T227)</f>
        <v/>
      </c>
    </row>
    <row r="228">
      <c r="A228" s="15" t="inlineStr">
        <is>
          <t>Justine</t>
        </is>
      </c>
      <c r="B228" s="29">
        <f>IF($A228="","",IFERROR(INDEX(Roster!$B$2:$B$40,MATCH($A228,Roster!$A$2:$A$40,0)),"?"))</f>
        <v/>
      </c>
      <c r="C228" s="15" t="inlineStr">
        <is>
          <t>EDFG TVDD_1</t>
        </is>
      </c>
      <c r="D228" s="29">
        <f>IF($C228="","",IFERROR(IF(INDEX(Deals!$C$2:$C$355,MATCH($C228,Deals!$A$2:$A$355,0))=0,"",INDEX(Deals!$C$2:$C$355,MATCH($C228,Deals!$A$2:$A$355,0))),"?"))</f>
        <v/>
      </c>
      <c r="E228" s="29">
        <f>IF($C228="","",IFERROR(INDEX(Deals!$F$2:$F$355,MATCH($C228,Deals!$A$2:$A$355,0)),"?"))</f>
        <v/>
      </c>
      <c r="F228" s="15" t="inlineStr">
        <is>
          <t>Director</t>
        </is>
      </c>
      <c r="G228" s="15" t="inlineStr">
        <is>
          <t>Active</t>
        </is>
      </c>
      <c r="H228" s="27" t="n"/>
      <c r="I228" s="20">
        <f>IF(OR($A228="",$G228&lt;&gt;"Active"),0,IF($H228&lt;&gt;"",$H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</f>
        <v/>
      </c>
      <c r="J228" s="23">
        <f>IF($C228="",0,IFERROR(INDEX(Deals!$H$2:$H$355,MATCH($C228,Deals!$A$2:$A$355,0)),0))</f>
        <v/>
      </c>
      <c r="K228" s="20">
        <f>IF(Settings!$B$4="Yes",$I228*$J228,$I228)</f>
        <v/>
      </c>
      <c r="L228" s="31">
        <f>IF($C228="","",IFERROR(IF(INDEX(Deals!$I$2:$I$355,MATCH($C228,Deals!$A$2:$A$355,0))=0,"",INDEX(Deals!$I$2:$I$355,MATCH($C228,Deals!$A$2:$A$355,0))),""))</f>
        <v/>
      </c>
      <c r="M228" s="31">
        <f>IF($C228="","",IFERROR(IF(INDEX(Deals!$J$2:$J$355,MATCH($C228,Deals!$A$2:$A$355,0))=0,"",INDEX(Deals!$J$2:$J$355,MATCH($C228,Deals!$A$2:$A$355,0))),""))</f>
        <v/>
      </c>
      <c r="N228" s="24">
        <f>IF($L228="",DATE(1900,1,1),$L228)</f>
        <v/>
      </c>
      <c r="O228" s="24">
        <f>IF($M228="",DATE(2100,12,31),$M228)</f>
        <v/>
      </c>
      <c r="P228" s="16" t="inlineStr">
        <is>
          <t>Proposal</t>
        </is>
      </c>
      <c r="Q228" s="16" t="inlineStr"/>
      <c r="R228" s="29">
        <f>IF($C228="","",IFERROR(IF(INDEX(Deals!$U$2:$U$355,MATCH($C228,Deals!$A$2:$A$355,0))=0,"",INDEX(Deals!$U$2:$U$355,MATCH($C228,Deals!$A$2:$A$355,0))),""))</f>
        <v/>
      </c>
      <c r="S228" s="22">
        <f>IFERROR(IF($U228="",1,INDEX(Deals!$V$2:$V$355,MATCH($C228,Deals!$A$2:$A$355,0))),1)</f>
        <v/>
      </c>
      <c r="T228" s="22">
        <f>IFERROR(IF($U228="",1,INDEX(Deals!$W$2:$W$355,MATCH($C228,Deals!$A$2:$A$355,0))),1)</f>
        <v/>
      </c>
      <c r="U228" s="31">
        <f>IF($C228="","",IFERROR(IF(INDEX(Deals!$Y$2:$Y$355,MATCH($C228,Deals!$A$2:$A$355,0))=0,"",INDEX(Deals!$Y$2:$Y$355,MATCH($C228,Deals!$A$2:$A$355,0))),""))</f>
        <v/>
      </c>
      <c r="V228" s="24">
        <f>IF($U228="",DATE(1900,1,1),$N228)</f>
        <v/>
      </c>
      <c r="W228" s="24">
        <f>IF($U228="",DATE(2100,12,31),$U228)</f>
        <v/>
      </c>
      <c r="X228" s="20">
        <f>IF($U228="",$K228,$K228*$S228)</f>
        <v/>
      </c>
      <c r="Y228" s="24">
        <f>IF($U228="",DATE(2100,12,31),$U228+1)</f>
        <v/>
      </c>
      <c r="Z228" s="24">
        <f>IF($U228="",DATE(1900,1,1),$O228)</f>
        <v/>
      </c>
      <c r="AA228" s="20">
        <f>IF($U228="",0,$K228*$T228)</f>
        <v/>
      </c>
    </row>
    <row r="229">
      <c r="A229" s="15" t="inlineStr">
        <is>
          <t>Justine</t>
        </is>
      </c>
      <c r="B229" s="29">
        <f>IF($A229="","",IFERROR(INDEX(Roster!$B$2:$B$40,MATCH($A229,Roster!$A$2:$A$40,0)),"?"))</f>
        <v/>
      </c>
      <c r="C229" s="15" t="inlineStr">
        <is>
          <t>Ek_1</t>
        </is>
      </c>
      <c r="D229" s="29">
        <f>IF($C229="","",IFERROR(IF(INDEX(Deals!$C$2:$C$355,MATCH($C229,Deals!$A$2:$A$355,0))=0,"",INDEX(Deals!$C$2:$C$355,MATCH($C229,Deals!$A$2:$A$355,0))),"?"))</f>
        <v/>
      </c>
      <c r="E229" s="29">
        <f>IF($C229="","",IFERROR(INDEX(Deals!$F$2:$F$355,MATCH($C229,Deals!$A$2:$A$355,0)),"?"))</f>
        <v/>
      </c>
      <c r="F229" s="15" t="inlineStr">
        <is>
          <t>Director</t>
        </is>
      </c>
      <c r="G229" s="15" t="inlineStr">
        <is>
          <t>Active</t>
        </is>
      </c>
      <c r="H229" s="27" t="n"/>
      <c r="I229" s="20">
        <f>IF(OR($A229="",$G229&lt;&gt;"Active"),0,IF($H229&lt;&gt;"",$H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</f>
        <v/>
      </c>
      <c r="J229" s="23">
        <f>IF($C229="",0,IFERROR(INDEX(Deals!$H$2:$H$355,MATCH($C229,Deals!$A$2:$A$355,0)),0))</f>
        <v/>
      </c>
      <c r="K229" s="20">
        <f>IF(Settings!$B$4="Yes",$I229*$J229,$I229)</f>
        <v/>
      </c>
      <c r="L229" s="31">
        <f>IF($C229="","",IFERROR(IF(INDEX(Deals!$I$2:$I$355,MATCH($C229,Deals!$A$2:$A$355,0))=0,"",INDEX(Deals!$I$2:$I$355,MATCH($C229,Deals!$A$2:$A$355,0))),""))</f>
        <v/>
      </c>
      <c r="M229" s="31">
        <f>IF($C229="","",IFERROR(IF(INDEX(Deals!$J$2:$J$355,MATCH($C229,Deals!$A$2:$A$355,0))=0,"",INDEX(Deals!$J$2:$J$355,MATCH($C229,Deals!$A$2:$A$355,0))),""))</f>
        <v/>
      </c>
      <c r="N229" s="24">
        <f>IF($L229="",DATE(1900,1,1),$L229)</f>
        <v/>
      </c>
      <c r="O229" s="24">
        <f>IF($M229="",DATE(2100,12,31),$M229)</f>
        <v/>
      </c>
      <c r="P229" s="16" t="inlineStr">
        <is>
          <t>Proposal</t>
        </is>
      </c>
      <c r="Q229" s="16" t="inlineStr"/>
      <c r="R229" s="29">
        <f>IF($C229="","",IFERROR(IF(INDEX(Deals!$U$2:$U$355,MATCH($C229,Deals!$A$2:$A$355,0))=0,"",INDEX(Deals!$U$2:$U$355,MATCH($C229,Deals!$A$2:$A$355,0))),""))</f>
        <v/>
      </c>
      <c r="S229" s="22">
        <f>IFERROR(IF($U229="",1,INDEX(Deals!$V$2:$V$355,MATCH($C229,Deals!$A$2:$A$355,0))),1)</f>
        <v/>
      </c>
      <c r="T229" s="22">
        <f>IFERROR(IF($U229="",1,INDEX(Deals!$W$2:$W$355,MATCH($C229,Deals!$A$2:$A$355,0))),1)</f>
        <v/>
      </c>
      <c r="U229" s="31">
        <f>IF($C229="","",IFERROR(IF(INDEX(Deals!$Y$2:$Y$355,MATCH($C229,Deals!$A$2:$A$355,0))=0,"",INDEX(Deals!$Y$2:$Y$355,MATCH($C229,Deals!$A$2:$A$355,0))),""))</f>
        <v/>
      </c>
      <c r="V229" s="24">
        <f>IF($U229="",DATE(1900,1,1),$N229)</f>
        <v/>
      </c>
      <c r="W229" s="24">
        <f>IF($U229="",DATE(2100,12,31),$U229)</f>
        <v/>
      </c>
      <c r="X229" s="20">
        <f>IF($U229="",$K229,$K229*$S229)</f>
        <v/>
      </c>
      <c r="Y229" s="24">
        <f>IF($U229="",DATE(2100,12,31),$U229+1)</f>
        <v/>
      </c>
      <c r="Z229" s="24">
        <f>IF($U229="",DATE(1900,1,1),$O229)</f>
        <v/>
      </c>
      <c r="AA229" s="20">
        <f>IF($U229="",0,$K229*$T229)</f>
        <v/>
      </c>
    </row>
    <row r="230">
      <c r="A230" s="15" t="inlineStr">
        <is>
          <t>Justine</t>
        </is>
      </c>
      <c r="B230" s="29">
        <f>IF($A230="","",IFERROR(INDEX(Roster!$B$2:$B$40,MATCH($A230,Roster!$A$2:$A$40,0)),"?"))</f>
        <v/>
      </c>
      <c r="C230" s="15" t="inlineStr">
        <is>
          <t>Engineering_1</t>
        </is>
      </c>
      <c r="D230" s="29">
        <f>IF($C230="","",IFERROR(IF(INDEX(Deals!$C$2:$C$355,MATCH($C230,Deals!$A$2:$A$355,0))=0,"",INDEX(Deals!$C$2:$C$355,MATCH($C230,Deals!$A$2:$A$355,0))),"?"))</f>
        <v/>
      </c>
      <c r="E230" s="29">
        <f>IF($C230="","",IFERROR(INDEX(Deals!$F$2:$F$355,MATCH($C230,Deals!$A$2:$A$355,0)),"?"))</f>
        <v/>
      </c>
      <c r="F230" s="15" t="inlineStr">
        <is>
          <t>Director</t>
        </is>
      </c>
      <c r="G230" s="15" t="inlineStr">
        <is>
          <t>Active</t>
        </is>
      </c>
      <c r="H230" s="27" t="n"/>
      <c r="I230" s="20">
        <f>IF(OR($A230="",$G230&lt;&gt;"Active"),0,IF($H230&lt;&gt;"",$H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</f>
        <v/>
      </c>
      <c r="J230" s="23">
        <f>IF($C230="",0,IFERROR(INDEX(Deals!$H$2:$H$355,MATCH($C230,Deals!$A$2:$A$355,0)),0))</f>
        <v/>
      </c>
      <c r="K230" s="20">
        <f>IF(Settings!$B$4="Yes",$I230*$J230,$I230)</f>
        <v/>
      </c>
      <c r="L230" s="31">
        <f>IF($C230="","",IFERROR(IF(INDEX(Deals!$I$2:$I$355,MATCH($C230,Deals!$A$2:$A$355,0))=0,"",INDEX(Deals!$I$2:$I$355,MATCH($C230,Deals!$A$2:$A$355,0))),""))</f>
        <v/>
      </c>
      <c r="M230" s="31">
        <f>IF($C230="","",IFERROR(IF(INDEX(Deals!$J$2:$J$355,MATCH($C230,Deals!$A$2:$A$355,0))=0,"",INDEX(Deals!$J$2:$J$355,MATCH($C230,Deals!$A$2:$A$355,0))),""))</f>
        <v/>
      </c>
      <c r="N230" s="24">
        <f>IF($L230="",DATE(1900,1,1),$L230)</f>
        <v/>
      </c>
      <c r="O230" s="24">
        <f>IF($M230="",DATE(2100,12,31),$M230)</f>
        <v/>
      </c>
      <c r="P230" s="16" t="inlineStr">
        <is>
          <t>Proposal</t>
        </is>
      </c>
      <c r="Q230" s="16" t="inlineStr"/>
      <c r="R230" s="29">
        <f>IF($C230="","",IFERROR(IF(INDEX(Deals!$U$2:$U$355,MATCH($C230,Deals!$A$2:$A$355,0))=0,"",INDEX(Deals!$U$2:$U$355,MATCH($C230,Deals!$A$2:$A$355,0))),""))</f>
        <v/>
      </c>
      <c r="S230" s="22">
        <f>IFERROR(IF($U230="",1,INDEX(Deals!$V$2:$V$355,MATCH($C230,Deals!$A$2:$A$355,0))),1)</f>
        <v/>
      </c>
      <c r="T230" s="22">
        <f>IFERROR(IF($U230="",1,INDEX(Deals!$W$2:$W$355,MATCH($C230,Deals!$A$2:$A$355,0))),1)</f>
        <v/>
      </c>
      <c r="U230" s="31">
        <f>IF($C230="","",IFERROR(IF(INDEX(Deals!$Y$2:$Y$355,MATCH($C230,Deals!$A$2:$A$355,0))=0,"",INDEX(Deals!$Y$2:$Y$355,MATCH($C230,Deals!$A$2:$A$355,0))),""))</f>
        <v/>
      </c>
      <c r="V230" s="24">
        <f>IF($U230="",DATE(1900,1,1),$N230)</f>
        <v/>
      </c>
      <c r="W230" s="24">
        <f>IF($U230="",DATE(2100,12,31),$U230)</f>
        <v/>
      </c>
      <c r="X230" s="20">
        <f>IF($U230="",$K230,$K230*$S230)</f>
        <v/>
      </c>
      <c r="Y230" s="24">
        <f>IF($U230="",DATE(2100,12,31),$U230+1)</f>
        <v/>
      </c>
      <c r="Z230" s="24">
        <f>IF($U230="",DATE(1900,1,1),$O230)</f>
        <v/>
      </c>
      <c r="AA230" s="20">
        <f>IF($U230="",0,$K230*$T230)</f>
        <v/>
      </c>
    </row>
    <row r="231">
      <c r="A231" s="15" t="inlineStr">
        <is>
          <t>Justine</t>
        </is>
      </c>
      <c r="B231" s="29">
        <f>IF($A231="","",IFERROR(INDEX(Roster!$B$2:$B$40,MATCH($A231,Roster!$A$2:$A$40,0)),"?"))</f>
        <v/>
      </c>
      <c r="C231" s="15" t="inlineStr">
        <is>
          <t>EOS</t>
        </is>
      </c>
      <c r="D231" s="29">
        <f>IF($C231="","",IFERROR(IF(INDEX(Deals!$C$2:$C$355,MATCH($C231,Deals!$A$2:$A$355,0))=0,"",INDEX(Deals!$C$2:$C$355,MATCH($C231,Deals!$A$2:$A$355,0))),"?"))</f>
        <v/>
      </c>
      <c r="E231" s="29">
        <f>IF($C231="","",IFERROR(INDEX(Deals!$F$2:$F$355,MATCH($C231,Deals!$A$2:$A$355,0)),"?"))</f>
        <v/>
      </c>
      <c r="F231" s="15" t="inlineStr">
        <is>
          <t>Director</t>
        </is>
      </c>
      <c r="G231" s="15" t="inlineStr">
        <is>
          <t>Active</t>
        </is>
      </c>
      <c r="H231" s="27" t="n"/>
      <c r="I231" s="20">
        <f>IF(OR($A231="",$G231&lt;&gt;"Active"),0,IF($H231&lt;&gt;"",$H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</f>
        <v/>
      </c>
      <c r="J231" s="23">
        <f>IF($C231="",0,IFERROR(INDEX(Deals!$H$2:$H$355,MATCH($C231,Deals!$A$2:$A$355,0)),0))</f>
        <v/>
      </c>
      <c r="K231" s="20">
        <f>IF(Settings!$B$4="Yes",$I231*$J231,$I231)</f>
        <v/>
      </c>
      <c r="L231" s="31">
        <f>IF($C231="","",IFERROR(IF(INDEX(Deals!$I$2:$I$355,MATCH($C231,Deals!$A$2:$A$355,0))=0,"",INDEX(Deals!$I$2:$I$355,MATCH($C231,Deals!$A$2:$A$355,0))),""))</f>
        <v/>
      </c>
      <c r="M231" s="31">
        <f>IF($C231="","",IFERROR(IF(INDEX(Deals!$J$2:$J$355,MATCH($C231,Deals!$A$2:$A$355,0))=0,"",INDEX(Deals!$J$2:$J$355,MATCH($C231,Deals!$A$2:$A$355,0))),""))</f>
        <v/>
      </c>
      <c r="N231" s="24">
        <f>IF($L231="",DATE(1900,1,1),$L231)</f>
        <v/>
      </c>
      <c r="O231" s="24">
        <f>IF($M231="",DATE(2100,12,31),$M231)</f>
        <v/>
      </c>
      <c r="P231" s="16" t="inlineStr">
        <is>
          <t>Ongoing</t>
        </is>
      </c>
      <c r="Q231" s="16" t="inlineStr">
        <is>
          <t>Added from Summary tab</t>
        </is>
      </c>
      <c r="R231" s="29">
        <f>IF($C231="","",IFERROR(IF(INDEX(Deals!$U$2:$U$355,MATCH($C231,Deals!$A$2:$A$355,0))=0,"",INDEX(Deals!$U$2:$U$355,MATCH($C231,Deals!$A$2:$A$355,0))),""))</f>
        <v/>
      </c>
      <c r="S231" s="22">
        <f>IFERROR(IF($U231="",1,INDEX(Deals!$V$2:$V$355,MATCH($C231,Deals!$A$2:$A$355,0))),1)</f>
        <v/>
      </c>
      <c r="T231" s="22">
        <f>IFERROR(IF($U231="",1,INDEX(Deals!$W$2:$W$355,MATCH($C231,Deals!$A$2:$A$355,0))),1)</f>
        <v/>
      </c>
      <c r="U231" s="31">
        <f>IF($C231="","",IFERROR(IF(INDEX(Deals!$Y$2:$Y$355,MATCH($C231,Deals!$A$2:$A$355,0))=0,"",INDEX(Deals!$Y$2:$Y$355,MATCH($C231,Deals!$A$2:$A$355,0))),""))</f>
        <v/>
      </c>
      <c r="V231" s="24">
        <f>IF($U231="",DATE(1900,1,1),$N231)</f>
        <v/>
      </c>
      <c r="W231" s="24">
        <f>IF($U231="",DATE(2100,12,31),$U231)</f>
        <v/>
      </c>
      <c r="X231" s="20">
        <f>IF($U231="",$K231,$K231*$S231)</f>
        <v/>
      </c>
      <c r="Y231" s="24">
        <f>IF($U231="",DATE(2100,12,31),$U231+1)</f>
        <v/>
      </c>
      <c r="Z231" s="24">
        <f>IF($U231="",DATE(1900,1,1),$O231)</f>
        <v/>
      </c>
      <c r="AA231" s="20">
        <f>IF($U231="",0,$K231*$T231)</f>
        <v/>
      </c>
    </row>
    <row r="232">
      <c r="A232" s="15" t="inlineStr">
        <is>
          <t>Justine</t>
        </is>
      </c>
      <c r="B232" s="29">
        <f>IF($A232="","",IFERROR(INDEX(Roster!$B$2:$B$40,MATCH($A232,Roster!$A$2:$A$40,0)),"?"))</f>
        <v/>
      </c>
      <c r="C232" s="15" t="inlineStr">
        <is>
          <t>EV3</t>
        </is>
      </c>
      <c r="D232" s="29">
        <f>IF($C232="","",IFERROR(IF(INDEX(Deals!$C$2:$C$355,MATCH($C232,Deals!$A$2:$A$355,0))=0,"",INDEX(Deals!$C$2:$C$355,MATCH($C232,Deals!$A$2:$A$355,0))),"?"))</f>
        <v/>
      </c>
      <c r="E232" s="29">
        <f>IF($C232="","",IFERROR(INDEX(Deals!$F$2:$F$355,MATCH($C232,Deals!$A$2:$A$355,0)),"?"))</f>
        <v/>
      </c>
      <c r="F232" s="15" t="inlineStr">
        <is>
          <t>Director</t>
        </is>
      </c>
      <c r="G232" s="15" t="inlineStr">
        <is>
          <t>Active</t>
        </is>
      </c>
      <c r="H232" s="27" t="n"/>
      <c r="I232" s="20">
        <f>IF(OR($A232="",$G232&lt;&gt;"Active"),0,IF($H232&lt;&gt;"",$H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</f>
        <v/>
      </c>
      <c r="J232" s="23">
        <f>IF($C232="",0,IFERROR(INDEX(Deals!$H$2:$H$355,MATCH($C232,Deals!$A$2:$A$355,0)),0))</f>
        <v/>
      </c>
      <c r="K232" s="20">
        <f>IF(Settings!$B$4="Yes",$I232*$J232,$I232)</f>
        <v/>
      </c>
      <c r="L232" s="31">
        <f>IF($C232="","",IFERROR(IF(INDEX(Deals!$I$2:$I$355,MATCH($C232,Deals!$A$2:$A$355,0))=0,"",INDEX(Deals!$I$2:$I$355,MATCH($C232,Deals!$A$2:$A$355,0))),""))</f>
        <v/>
      </c>
      <c r="M232" s="31">
        <f>IF($C232="","",IFERROR(IF(INDEX(Deals!$J$2:$J$355,MATCH($C232,Deals!$A$2:$A$355,0))=0,"",INDEX(Deals!$J$2:$J$355,MATCH($C232,Deals!$A$2:$A$355,0))),""))</f>
        <v/>
      </c>
      <c r="N232" s="24">
        <f>IF($L232="",DATE(1900,1,1),$L232)</f>
        <v/>
      </c>
      <c r="O232" s="24">
        <f>IF($M232="",DATE(2100,12,31),$M232)</f>
        <v/>
      </c>
      <c r="P232" s="16" t="inlineStr">
        <is>
          <t>Proposal</t>
        </is>
      </c>
      <c r="Q232" s="16" t="inlineStr">
        <is>
          <t>Added from Summary tab</t>
        </is>
      </c>
      <c r="R232" s="29">
        <f>IF($C232="","",IFERROR(IF(INDEX(Deals!$U$2:$U$355,MATCH($C232,Deals!$A$2:$A$355,0))=0,"",INDEX(Deals!$U$2:$U$355,MATCH($C232,Deals!$A$2:$A$355,0))),""))</f>
        <v/>
      </c>
      <c r="S232" s="22">
        <f>IFERROR(IF($U232="",1,INDEX(Deals!$V$2:$V$355,MATCH($C232,Deals!$A$2:$A$355,0))),1)</f>
        <v/>
      </c>
      <c r="T232" s="22">
        <f>IFERROR(IF($U232="",1,INDEX(Deals!$W$2:$W$355,MATCH($C232,Deals!$A$2:$A$355,0))),1)</f>
        <v/>
      </c>
      <c r="U232" s="31">
        <f>IF($C232="","",IFERROR(IF(INDEX(Deals!$Y$2:$Y$355,MATCH($C232,Deals!$A$2:$A$355,0))=0,"",INDEX(Deals!$Y$2:$Y$355,MATCH($C232,Deals!$A$2:$A$355,0))),""))</f>
        <v/>
      </c>
      <c r="V232" s="24">
        <f>IF($U232="",DATE(1900,1,1),$N232)</f>
        <v/>
      </c>
      <c r="W232" s="24">
        <f>IF($U232="",DATE(2100,12,31),$U232)</f>
        <v/>
      </c>
      <c r="X232" s="20">
        <f>IF($U232="",$K232,$K232*$S232)</f>
        <v/>
      </c>
      <c r="Y232" s="24">
        <f>IF($U232="",DATE(2100,12,31),$U232+1)</f>
        <v/>
      </c>
      <c r="Z232" s="24">
        <f>IF($U232="",DATE(1900,1,1),$O232)</f>
        <v/>
      </c>
      <c r="AA232" s="20">
        <f>IF($U232="",0,$K232*$T232)</f>
        <v/>
      </c>
    </row>
    <row r="233">
      <c r="A233" s="15" t="inlineStr">
        <is>
          <t>Justine</t>
        </is>
      </c>
      <c r="B233" s="29">
        <f>IF($A233="","",IFERROR(INDEX(Roster!$B$2:$B$40,MATCH($A233,Roster!$A$2:$A$40,0)),"?"))</f>
        <v/>
      </c>
      <c r="C233" s="15" t="inlineStr">
        <is>
          <t>FAUME US Expansion_1</t>
        </is>
      </c>
      <c r="D233" s="29">
        <f>IF($C233="","",IFERROR(IF(INDEX(Deals!$C$2:$C$355,MATCH($C233,Deals!$A$2:$A$355,0))=0,"",INDEX(Deals!$C$2:$C$355,MATCH($C233,Deals!$A$2:$A$355,0))),"?"))</f>
        <v/>
      </c>
      <c r="E233" s="29">
        <f>IF($C233="","",IFERROR(INDEX(Deals!$F$2:$F$355,MATCH($C233,Deals!$A$2:$A$355,0)),"?"))</f>
        <v/>
      </c>
      <c r="F233" s="15" t="inlineStr">
        <is>
          <t>Director</t>
        </is>
      </c>
      <c r="G233" s="15" t="inlineStr">
        <is>
          <t>Active</t>
        </is>
      </c>
      <c r="H233" s="27" t="n"/>
      <c r="I233" s="20">
        <f>IF(OR($A233="",$G233&lt;&gt;"Active"),0,IF($H233&lt;&gt;"",$H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</f>
        <v/>
      </c>
      <c r="J233" s="23">
        <f>IF($C233="",0,IFERROR(INDEX(Deals!$H$2:$H$355,MATCH($C233,Deals!$A$2:$A$355,0)),0))</f>
        <v/>
      </c>
      <c r="K233" s="20">
        <f>IF(Settings!$B$4="Yes",$I233*$J233,$I233)</f>
        <v/>
      </c>
      <c r="L233" s="31">
        <f>IF($C233="","",IFERROR(IF(INDEX(Deals!$I$2:$I$355,MATCH($C233,Deals!$A$2:$A$355,0))=0,"",INDEX(Deals!$I$2:$I$355,MATCH($C233,Deals!$A$2:$A$355,0))),""))</f>
        <v/>
      </c>
      <c r="M233" s="31">
        <f>IF($C233="","",IFERROR(IF(INDEX(Deals!$J$2:$J$355,MATCH($C233,Deals!$A$2:$A$355,0))=0,"",INDEX(Deals!$J$2:$J$355,MATCH($C233,Deals!$A$2:$A$355,0))),""))</f>
        <v/>
      </c>
      <c r="N233" s="24">
        <f>IF($L233="",DATE(1900,1,1),$L233)</f>
        <v/>
      </c>
      <c r="O233" s="24">
        <f>IF($M233="",DATE(2100,12,31),$M233)</f>
        <v/>
      </c>
      <c r="P233" s="16" t="inlineStr">
        <is>
          <t>Proposal</t>
        </is>
      </c>
      <c r="Q233" s="16" t="inlineStr"/>
      <c r="R233" s="29">
        <f>IF($C233="","",IFERROR(IF(INDEX(Deals!$U$2:$U$355,MATCH($C233,Deals!$A$2:$A$355,0))=0,"",INDEX(Deals!$U$2:$U$355,MATCH($C233,Deals!$A$2:$A$355,0))),""))</f>
        <v/>
      </c>
      <c r="S233" s="22">
        <f>IFERROR(IF($U233="",1,INDEX(Deals!$V$2:$V$355,MATCH($C233,Deals!$A$2:$A$355,0))),1)</f>
        <v/>
      </c>
      <c r="T233" s="22">
        <f>IFERROR(IF($U233="",1,INDEX(Deals!$W$2:$W$355,MATCH($C233,Deals!$A$2:$A$355,0))),1)</f>
        <v/>
      </c>
      <c r="U233" s="31">
        <f>IF($C233="","",IFERROR(IF(INDEX(Deals!$Y$2:$Y$355,MATCH($C233,Deals!$A$2:$A$355,0))=0,"",INDEX(Deals!$Y$2:$Y$355,MATCH($C233,Deals!$A$2:$A$355,0))),""))</f>
        <v/>
      </c>
      <c r="V233" s="24">
        <f>IF($U233="",DATE(1900,1,1),$N233)</f>
        <v/>
      </c>
      <c r="W233" s="24">
        <f>IF($U233="",DATE(2100,12,31),$U233)</f>
        <v/>
      </c>
      <c r="X233" s="20">
        <f>IF($U233="",$K233,$K233*$S233)</f>
        <v/>
      </c>
      <c r="Y233" s="24">
        <f>IF($U233="",DATE(2100,12,31),$U233+1)</f>
        <v/>
      </c>
      <c r="Z233" s="24">
        <f>IF($U233="",DATE(1900,1,1),$O233)</f>
        <v/>
      </c>
      <c r="AA233" s="20">
        <f>IF($U233="",0,$K233*$T233)</f>
        <v/>
      </c>
    </row>
    <row r="234">
      <c r="A234" s="15" t="inlineStr">
        <is>
          <t>Justine</t>
        </is>
      </c>
      <c r="B234" s="29">
        <f>IF($A234="","",IFERROR(INDEX(Roster!$B$2:$B$40,MATCH($A234,Roster!$A$2:$A$40,0)),"?"))</f>
        <v/>
      </c>
      <c r="C234" s="15" t="inlineStr">
        <is>
          <t>Geneseo_1</t>
        </is>
      </c>
      <c r="D234" s="29">
        <f>IF($C234="","",IFERROR(IF(INDEX(Deals!$C$2:$C$355,MATCH($C234,Deals!$A$2:$A$355,0))=0,"",INDEX(Deals!$C$2:$C$355,MATCH($C234,Deals!$A$2:$A$355,0))),"?"))</f>
        <v/>
      </c>
      <c r="E234" s="29">
        <f>IF($C234="","",IFERROR(INDEX(Deals!$F$2:$F$355,MATCH($C234,Deals!$A$2:$A$355,0)),"?"))</f>
        <v/>
      </c>
      <c r="F234" s="15" t="inlineStr">
        <is>
          <t>Director</t>
        </is>
      </c>
      <c r="G234" s="15" t="inlineStr">
        <is>
          <t>Active</t>
        </is>
      </c>
      <c r="H234" s="27" t="n"/>
      <c r="I234" s="20">
        <f>IF(OR($A234="",$G234&lt;&gt;"Active"),0,IF($H234&lt;&gt;"",$H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</f>
        <v/>
      </c>
      <c r="J234" s="23">
        <f>IF($C234="",0,IFERROR(INDEX(Deals!$H$2:$H$355,MATCH($C234,Deals!$A$2:$A$355,0)),0))</f>
        <v/>
      </c>
      <c r="K234" s="20">
        <f>IF(Settings!$B$4="Yes",$I234*$J234,$I234)</f>
        <v/>
      </c>
      <c r="L234" s="31">
        <f>IF($C234="","",IFERROR(IF(INDEX(Deals!$I$2:$I$355,MATCH($C234,Deals!$A$2:$A$355,0))=0,"",INDEX(Deals!$I$2:$I$355,MATCH($C234,Deals!$A$2:$A$355,0))),""))</f>
        <v/>
      </c>
      <c r="M234" s="31">
        <f>IF($C234="","",IFERROR(IF(INDEX(Deals!$J$2:$J$355,MATCH($C234,Deals!$A$2:$A$355,0))=0,"",INDEX(Deals!$J$2:$J$355,MATCH($C234,Deals!$A$2:$A$355,0))),""))</f>
        <v/>
      </c>
      <c r="N234" s="24">
        <f>IF($L234="",DATE(1900,1,1),$L234)</f>
        <v/>
      </c>
      <c r="O234" s="24">
        <f>IF($M234="",DATE(2100,12,31),$M234)</f>
        <v/>
      </c>
      <c r="P234" s="16" t="inlineStr">
        <is>
          <t>Ongoing</t>
        </is>
      </c>
      <c r="Q234" s="16" t="inlineStr"/>
      <c r="R234" s="29">
        <f>IF($C234="","",IFERROR(IF(INDEX(Deals!$U$2:$U$355,MATCH($C234,Deals!$A$2:$A$355,0))=0,"",INDEX(Deals!$U$2:$U$355,MATCH($C234,Deals!$A$2:$A$355,0))),""))</f>
        <v/>
      </c>
      <c r="S234" s="22">
        <f>IFERROR(IF($U234="",1,INDEX(Deals!$V$2:$V$355,MATCH($C234,Deals!$A$2:$A$355,0))),1)</f>
        <v/>
      </c>
      <c r="T234" s="22">
        <f>IFERROR(IF($U234="",1,INDEX(Deals!$W$2:$W$355,MATCH($C234,Deals!$A$2:$A$355,0))),1)</f>
        <v/>
      </c>
      <c r="U234" s="31">
        <f>IF($C234="","",IFERROR(IF(INDEX(Deals!$Y$2:$Y$355,MATCH($C234,Deals!$A$2:$A$355,0))=0,"",INDEX(Deals!$Y$2:$Y$355,MATCH($C234,Deals!$A$2:$A$355,0))),""))</f>
        <v/>
      </c>
      <c r="V234" s="24">
        <f>IF($U234="",DATE(1900,1,1),$N234)</f>
        <v/>
      </c>
      <c r="W234" s="24">
        <f>IF($U234="",DATE(2100,12,31),$U234)</f>
        <v/>
      </c>
      <c r="X234" s="20">
        <f>IF($U234="",$K234,$K234*$S234)</f>
        <v/>
      </c>
      <c r="Y234" s="24">
        <f>IF($U234="",DATE(2100,12,31),$U234+1)</f>
        <v/>
      </c>
      <c r="Z234" s="24">
        <f>IF($U234="",DATE(1900,1,1),$O234)</f>
        <v/>
      </c>
      <c r="AA234" s="20">
        <f>IF($U234="",0,$K234*$T234)</f>
        <v/>
      </c>
    </row>
    <row r="235">
      <c r="A235" s="15" t="inlineStr">
        <is>
          <t>Justine</t>
        </is>
      </c>
      <c r="B235" s="29">
        <f>IF($A235="","",IFERROR(INDEX(Roster!$B$2:$B$40,MATCH($A235,Roster!$A$2:$A$40,0)),"?"))</f>
        <v/>
      </c>
      <c r="C235" s="15" t="inlineStr">
        <is>
          <t>Gerflor REORG</t>
        </is>
      </c>
      <c r="D235" s="29">
        <f>IF($C235="","",IFERROR(IF(INDEX(Deals!$C$2:$C$355,MATCH($C235,Deals!$A$2:$A$355,0))=0,"",INDEX(Deals!$C$2:$C$355,MATCH($C235,Deals!$A$2:$A$355,0))),"?"))</f>
        <v/>
      </c>
      <c r="E235" s="29">
        <f>IF($C235="","",IFERROR(INDEX(Deals!$F$2:$F$355,MATCH($C235,Deals!$A$2:$A$355,0)),"?"))</f>
        <v/>
      </c>
      <c r="F235" s="15" t="inlineStr">
        <is>
          <t>Director</t>
        </is>
      </c>
      <c r="G235" s="15" t="inlineStr">
        <is>
          <t>Active</t>
        </is>
      </c>
      <c r="H235" s="27" t="n"/>
      <c r="I235" s="20">
        <f>IF(OR($A235="",$G235&lt;&gt;"Active"),0,IF($H235&lt;&gt;"",$H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</f>
        <v/>
      </c>
      <c r="J235" s="23">
        <f>IF($C235="",0,IFERROR(INDEX(Deals!$H$2:$H$355,MATCH($C235,Deals!$A$2:$A$355,0)),0))</f>
        <v/>
      </c>
      <c r="K235" s="20">
        <f>IF(Settings!$B$4="Yes",$I235*$J235,$I235)</f>
        <v/>
      </c>
      <c r="L235" s="31">
        <f>IF($C235="","",IFERROR(IF(INDEX(Deals!$I$2:$I$355,MATCH($C235,Deals!$A$2:$A$355,0))=0,"",INDEX(Deals!$I$2:$I$355,MATCH($C235,Deals!$A$2:$A$355,0))),""))</f>
        <v/>
      </c>
      <c r="M235" s="31">
        <f>IF($C235="","",IFERROR(IF(INDEX(Deals!$J$2:$J$355,MATCH($C235,Deals!$A$2:$A$355,0))=0,"",INDEX(Deals!$J$2:$J$355,MATCH($C235,Deals!$A$2:$A$355,0))),""))</f>
        <v/>
      </c>
      <c r="N235" s="24">
        <f>IF($L235="",DATE(1900,1,1),$L235)</f>
        <v/>
      </c>
      <c r="O235" s="24">
        <f>IF($M235="",DATE(2100,12,31),$M235)</f>
        <v/>
      </c>
      <c r="P235" s="16" t="inlineStr">
        <is>
          <t>Proposal</t>
        </is>
      </c>
      <c r="Q235" s="16" t="inlineStr">
        <is>
          <t>Added from Summary tab</t>
        </is>
      </c>
      <c r="R235" s="29">
        <f>IF($C235="","",IFERROR(IF(INDEX(Deals!$U$2:$U$355,MATCH($C235,Deals!$A$2:$A$355,0))=0,"",INDEX(Deals!$U$2:$U$355,MATCH($C235,Deals!$A$2:$A$355,0))),""))</f>
        <v/>
      </c>
      <c r="S235" s="22">
        <f>IFERROR(IF($U235="",1,INDEX(Deals!$V$2:$V$355,MATCH($C235,Deals!$A$2:$A$355,0))),1)</f>
        <v/>
      </c>
      <c r="T235" s="22">
        <f>IFERROR(IF($U235="",1,INDEX(Deals!$W$2:$W$355,MATCH($C235,Deals!$A$2:$A$355,0))),1)</f>
        <v/>
      </c>
      <c r="U235" s="31">
        <f>IF($C235="","",IFERROR(IF(INDEX(Deals!$Y$2:$Y$355,MATCH($C235,Deals!$A$2:$A$355,0))=0,"",INDEX(Deals!$Y$2:$Y$355,MATCH($C235,Deals!$A$2:$A$355,0))),""))</f>
        <v/>
      </c>
      <c r="V235" s="24">
        <f>IF($U235="",DATE(1900,1,1),$N235)</f>
        <v/>
      </c>
      <c r="W235" s="24">
        <f>IF($U235="",DATE(2100,12,31),$U235)</f>
        <v/>
      </c>
      <c r="X235" s="20">
        <f>IF($U235="",$K235,$K235*$S235)</f>
        <v/>
      </c>
      <c r="Y235" s="24">
        <f>IF($U235="",DATE(2100,12,31),$U235+1)</f>
        <v/>
      </c>
      <c r="Z235" s="24">
        <f>IF($U235="",DATE(1900,1,1),$O235)</f>
        <v/>
      </c>
      <c r="AA235" s="20">
        <f>IF($U235="",0,$K235*$T235)</f>
        <v/>
      </c>
    </row>
    <row r="236">
      <c r="A236" s="15" t="inlineStr">
        <is>
          <t>Justine</t>
        </is>
      </c>
      <c r="B236" s="29">
        <f>IF($A236="","",IFERROR(INDEX(Roster!$B$2:$B$40,MATCH($A236,Roster!$A$2:$A$40,0)),"?"))</f>
        <v/>
      </c>
      <c r="C236" s="15" t="inlineStr">
        <is>
          <t>Graitec Reorg_2</t>
        </is>
      </c>
      <c r="D236" s="29">
        <f>IF($C236="","",IFERROR(IF(INDEX(Deals!$C$2:$C$355,MATCH($C236,Deals!$A$2:$A$355,0))=0,"",INDEX(Deals!$C$2:$C$355,MATCH($C236,Deals!$A$2:$A$355,0))),"?"))</f>
        <v/>
      </c>
      <c r="E236" s="29">
        <f>IF($C236="","",IFERROR(INDEX(Deals!$F$2:$F$355,MATCH($C236,Deals!$A$2:$A$355,0)),"?"))</f>
        <v/>
      </c>
      <c r="F236" s="15" t="inlineStr">
        <is>
          <t>Director</t>
        </is>
      </c>
      <c r="G236" s="15" t="inlineStr">
        <is>
          <t>Active</t>
        </is>
      </c>
      <c r="H236" s="27" t="n"/>
      <c r="I236" s="20">
        <f>IF(OR($A236="",$G236&lt;&gt;"Active"),0,IF($H236&lt;&gt;"",$H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</f>
        <v/>
      </c>
      <c r="J236" s="23">
        <f>IF($C236="",0,IFERROR(INDEX(Deals!$H$2:$H$355,MATCH($C236,Deals!$A$2:$A$355,0)),0))</f>
        <v/>
      </c>
      <c r="K236" s="20">
        <f>IF(Settings!$B$4="Yes",$I236*$J236,$I236)</f>
        <v/>
      </c>
      <c r="L236" s="31">
        <f>IF($C236="","",IFERROR(IF(INDEX(Deals!$I$2:$I$355,MATCH($C236,Deals!$A$2:$A$355,0))=0,"",INDEX(Deals!$I$2:$I$355,MATCH($C236,Deals!$A$2:$A$355,0))),""))</f>
        <v/>
      </c>
      <c r="M236" s="31">
        <f>IF($C236="","",IFERROR(IF(INDEX(Deals!$J$2:$J$355,MATCH($C236,Deals!$A$2:$A$355,0))=0,"",INDEX(Deals!$J$2:$J$355,MATCH($C236,Deals!$A$2:$A$355,0))),""))</f>
        <v/>
      </c>
      <c r="N236" s="24">
        <f>IF($L236="",DATE(1900,1,1),$L236)</f>
        <v/>
      </c>
      <c r="O236" s="24">
        <f>IF($M236="",DATE(2100,12,31),$M236)</f>
        <v/>
      </c>
      <c r="P236" s="16" t="inlineStr">
        <is>
          <t>Ongoing</t>
        </is>
      </c>
      <c r="Q236" s="16" t="inlineStr"/>
      <c r="R236" s="29">
        <f>IF($C236="","",IFERROR(IF(INDEX(Deals!$U$2:$U$355,MATCH($C236,Deals!$A$2:$A$355,0))=0,"",INDEX(Deals!$U$2:$U$355,MATCH($C236,Deals!$A$2:$A$355,0))),""))</f>
        <v/>
      </c>
      <c r="S236" s="22">
        <f>IFERROR(IF($U236="",1,INDEX(Deals!$V$2:$V$355,MATCH($C236,Deals!$A$2:$A$355,0))),1)</f>
        <v/>
      </c>
      <c r="T236" s="22">
        <f>IFERROR(IF($U236="",1,INDEX(Deals!$W$2:$W$355,MATCH($C236,Deals!$A$2:$A$355,0))),1)</f>
        <v/>
      </c>
      <c r="U236" s="31">
        <f>IF($C236="","",IFERROR(IF(INDEX(Deals!$Y$2:$Y$355,MATCH($C236,Deals!$A$2:$A$355,0))=0,"",INDEX(Deals!$Y$2:$Y$355,MATCH($C236,Deals!$A$2:$A$355,0))),""))</f>
        <v/>
      </c>
      <c r="V236" s="24">
        <f>IF($U236="",DATE(1900,1,1),$N236)</f>
        <v/>
      </c>
      <c r="W236" s="24">
        <f>IF($U236="",DATE(2100,12,31),$U236)</f>
        <v/>
      </c>
      <c r="X236" s="20">
        <f>IF($U236="",$K236,$K236*$S236)</f>
        <v/>
      </c>
      <c r="Y236" s="24">
        <f>IF($U236="",DATE(2100,12,31),$U236+1)</f>
        <v/>
      </c>
      <c r="Z236" s="24">
        <f>IF($U236="",DATE(1900,1,1),$O236)</f>
        <v/>
      </c>
      <c r="AA236" s="20">
        <f>IF($U236="",0,$K236*$T236)</f>
        <v/>
      </c>
    </row>
    <row r="237">
      <c r="A237" s="15" t="inlineStr">
        <is>
          <t>Justine</t>
        </is>
      </c>
      <c r="B237" s="29">
        <f>IF($A237="","",IFERROR(INDEX(Roster!$B$2:$B$40,MATCH($A237,Roster!$A$2:$A$40,0)),"?"))</f>
        <v/>
      </c>
      <c r="C237" s="15" t="inlineStr">
        <is>
          <t>Horizon_3</t>
        </is>
      </c>
      <c r="D237" s="29">
        <f>IF($C237="","",IFERROR(IF(INDEX(Deals!$C$2:$C$355,MATCH($C237,Deals!$A$2:$A$355,0))=0,"",INDEX(Deals!$C$2:$C$355,MATCH($C237,Deals!$A$2:$A$355,0))),"?"))</f>
        <v/>
      </c>
      <c r="E237" s="29">
        <f>IF($C237="","",IFERROR(INDEX(Deals!$F$2:$F$355,MATCH($C237,Deals!$A$2:$A$355,0)),"?"))</f>
        <v/>
      </c>
      <c r="F237" s="15" t="inlineStr">
        <is>
          <t>Director</t>
        </is>
      </c>
      <c r="G237" s="15" t="inlineStr">
        <is>
          <t>Inactive</t>
        </is>
      </c>
      <c r="H237" s="27" t="n"/>
      <c r="I237" s="20">
        <f>IF(OR($A237="",$G237&lt;&gt;"Active"),0,IF($H237&lt;&gt;"",$H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</f>
        <v/>
      </c>
      <c r="J237" s="23">
        <f>IF($C237="",0,IFERROR(INDEX(Deals!$H$2:$H$355,MATCH($C237,Deals!$A$2:$A$355,0)),0))</f>
        <v/>
      </c>
      <c r="K237" s="20">
        <f>IF(Settings!$B$4="Yes",$I237*$J237,$I237)</f>
        <v/>
      </c>
      <c r="L237" s="31">
        <f>IF($C237="","",IFERROR(IF(INDEX(Deals!$I$2:$I$355,MATCH($C237,Deals!$A$2:$A$355,0))=0,"",INDEX(Deals!$I$2:$I$355,MATCH($C237,Deals!$A$2:$A$355,0))),""))</f>
        <v/>
      </c>
      <c r="M237" s="31">
        <f>IF($C237="","",IFERROR(IF(INDEX(Deals!$J$2:$J$355,MATCH($C237,Deals!$A$2:$A$355,0))=0,"",INDEX(Deals!$J$2:$J$355,MATCH($C237,Deals!$A$2:$A$355,0))),""))</f>
        <v/>
      </c>
      <c r="N237" s="24">
        <f>IF($L237="",DATE(1900,1,1),$L237)</f>
        <v/>
      </c>
      <c r="O237" s="24">
        <f>IF($M237="",DATE(2100,12,31),$M237)</f>
        <v/>
      </c>
      <c r="P237" s="16" t="inlineStr">
        <is>
          <t>Dead</t>
        </is>
      </c>
      <c r="Q237" s="16" t="inlineStr"/>
      <c r="R237" s="29">
        <f>IF($C237="","",IFERROR(IF(INDEX(Deals!$U$2:$U$355,MATCH($C237,Deals!$A$2:$A$355,0))=0,"",INDEX(Deals!$U$2:$U$355,MATCH($C237,Deals!$A$2:$A$355,0))),""))</f>
        <v/>
      </c>
      <c r="S237" s="22">
        <f>IFERROR(IF($U237="",1,INDEX(Deals!$V$2:$V$355,MATCH($C237,Deals!$A$2:$A$355,0))),1)</f>
        <v/>
      </c>
      <c r="T237" s="22">
        <f>IFERROR(IF($U237="",1,INDEX(Deals!$W$2:$W$355,MATCH($C237,Deals!$A$2:$A$355,0))),1)</f>
        <v/>
      </c>
      <c r="U237" s="31">
        <f>IF($C237="","",IFERROR(IF(INDEX(Deals!$Y$2:$Y$355,MATCH($C237,Deals!$A$2:$A$355,0))=0,"",INDEX(Deals!$Y$2:$Y$355,MATCH($C237,Deals!$A$2:$A$355,0))),""))</f>
        <v/>
      </c>
      <c r="V237" s="24">
        <f>IF($U237="",DATE(1900,1,1),$N237)</f>
        <v/>
      </c>
      <c r="W237" s="24">
        <f>IF($U237="",DATE(2100,12,31),$U237)</f>
        <v/>
      </c>
      <c r="X237" s="20">
        <f>IF($U237="",$K237,$K237*$S237)</f>
        <v/>
      </c>
      <c r="Y237" s="24">
        <f>IF($U237="",DATE(2100,12,31),$U237+1)</f>
        <v/>
      </c>
      <c r="Z237" s="24">
        <f>IF($U237="",DATE(1900,1,1),$O237)</f>
        <v/>
      </c>
      <c r="AA237" s="20">
        <f>IF($U237="",0,$K237*$T237)</f>
        <v/>
      </c>
    </row>
    <row r="238">
      <c r="A238" s="15" t="inlineStr">
        <is>
          <t>Justine</t>
        </is>
      </c>
      <c r="B238" s="29">
        <f>IF($A238="","",IFERROR(INDEX(Roster!$B$2:$B$40,MATCH($A238,Roster!$A$2:$A$40,0)),"?"))</f>
        <v/>
      </c>
      <c r="C238" s="15" t="inlineStr">
        <is>
          <t>Javelina Gain_1</t>
        </is>
      </c>
      <c r="D238" s="29">
        <f>IF($C238="","",IFERROR(IF(INDEX(Deals!$C$2:$C$355,MATCH($C238,Deals!$A$2:$A$355,0))=0,"",INDEX(Deals!$C$2:$C$355,MATCH($C238,Deals!$A$2:$A$355,0))),"?"))</f>
        <v/>
      </c>
      <c r="E238" s="29">
        <f>IF($C238="","",IFERROR(INDEX(Deals!$F$2:$F$355,MATCH($C238,Deals!$A$2:$A$355,0)),"?"))</f>
        <v/>
      </c>
      <c r="F238" s="15" t="inlineStr">
        <is>
          <t>Director</t>
        </is>
      </c>
      <c r="G238" s="15" t="inlineStr">
        <is>
          <t>Active</t>
        </is>
      </c>
      <c r="H238" s="27" t="n"/>
      <c r="I238" s="20">
        <f>IF(OR($A238="",$G238&lt;&gt;"Active"),0,IF($H238&lt;&gt;"",$H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</f>
        <v/>
      </c>
      <c r="J238" s="23">
        <f>IF($C238="",0,IFERROR(INDEX(Deals!$H$2:$H$355,MATCH($C238,Deals!$A$2:$A$355,0)),0))</f>
        <v/>
      </c>
      <c r="K238" s="20">
        <f>IF(Settings!$B$4="Yes",$I238*$J238,$I238)</f>
        <v/>
      </c>
      <c r="L238" s="31">
        <f>IF($C238="","",IFERROR(IF(INDEX(Deals!$I$2:$I$355,MATCH($C238,Deals!$A$2:$A$355,0))=0,"",INDEX(Deals!$I$2:$I$355,MATCH($C238,Deals!$A$2:$A$355,0))),""))</f>
        <v/>
      </c>
      <c r="M238" s="31">
        <f>IF($C238="","",IFERROR(IF(INDEX(Deals!$J$2:$J$355,MATCH($C238,Deals!$A$2:$A$355,0))=0,"",INDEX(Deals!$J$2:$J$355,MATCH($C238,Deals!$A$2:$A$355,0))),""))</f>
        <v/>
      </c>
      <c r="N238" s="24">
        <f>IF($L238="",DATE(1900,1,1),$L238)</f>
        <v/>
      </c>
      <c r="O238" s="24">
        <f>IF($M238="",DATE(2100,12,31),$M238)</f>
        <v/>
      </c>
      <c r="P238" s="16" t="inlineStr">
        <is>
          <t>Ongoing</t>
        </is>
      </c>
      <c r="Q238" s="16" t="inlineStr"/>
      <c r="R238" s="29">
        <f>IF($C238="","",IFERROR(IF(INDEX(Deals!$U$2:$U$355,MATCH($C238,Deals!$A$2:$A$355,0))=0,"",INDEX(Deals!$U$2:$U$355,MATCH($C238,Deals!$A$2:$A$355,0))),""))</f>
        <v/>
      </c>
      <c r="S238" s="22">
        <f>IFERROR(IF($U238="",1,INDEX(Deals!$V$2:$V$355,MATCH($C238,Deals!$A$2:$A$355,0))),1)</f>
        <v/>
      </c>
      <c r="T238" s="22">
        <f>IFERROR(IF($U238="",1,INDEX(Deals!$W$2:$W$355,MATCH($C238,Deals!$A$2:$A$355,0))),1)</f>
        <v/>
      </c>
      <c r="U238" s="31">
        <f>IF($C238="","",IFERROR(IF(INDEX(Deals!$Y$2:$Y$355,MATCH($C238,Deals!$A$2:$A$355,0))=0,"",INDEX(Deals!$Y$2:$Y$355,MATCH($C238,Deals!$A$2:$A$355,0))),""))</f>
        <v/>
      </c>
      <c r="V238" s="24">
        <f>IF($U238="",DATE(1900,1,1),$N238)</f>
        <v/>
      </c>
      <c r="W238" s="24">
        <f>IF($U238="",DATE(2100,12,31),$U238)</f>
        <v/>
      </c>
      <c r="X238" s="20">
        <f>IF($U238="",$K238,$K238*$S238)</f>
        <v/>
      </c>
      <c r="Y238" s="24">
        <f>IF($U238="",DATE(2100,12,31),$U238+1)</f>
        <v/>
      </c>
      <c r="Z238" s="24">
        <f>IF($U238="",DATE(1900,1,1),$O238)</f>
        <v/>
      </c>
      <c r="AA238" s="20">
        <f>IF($U238="",0,$K238*$T238)</f>
        <v/>
      </c>
    </row>
    <row r="239">
      <c r="A239" s="15" t="inlineStr">
        <is>
          <t>Justine</t>
        </is>
      </c>
      <c r="B239" s="29">
        <f>IF($A239="","",IFERROR(INDEX(Roster!$B$2:$B$40,MATCH($A239,Roster!$A$2:$A$40,0)),"?"))</f>
        <v/>
      </c>
      <c r="C239" s="15" t="inlineStr">
        <is>
          <t>Kering_1</t>
        </is>
      </c>
      <c r="D239" s="29">
        <f>IF($C239="","",IFERROR(IF(INDEX(Deals!$C$2:$C$355,MATCH($C239,Deals!$A$2:$A$355,0))=0,"",INDEX(Deals!$C$2:$C$355,MATCH($C239,Deals!$A$2:$A$355,0))),"?"))</f>
        <v/>
      </c>
      <c r="E239" s="29">
        <f>IF($C239="","",IFERROR(INDEX(Deals!$F$2:$F$355,MATCH($C239,Deals!$A$2:$A$355,0)),"?"))</f>
        <v/>
      </c>
      <c r="F239" s="15" t="inlineStr">
        <is>
          <t>Director</t>
        </is>
      </c>
      <c r="G239" s="15" t="inlineStr">
        <is>
          <t>Active</t>
        </is>
      </c>
      <c r="H239" s="27" t="n"/>
      <c r="I239" s="20">
        <f>IF(OR($A239="",$G239&lt;&gt;"Active"),0,IF($H239&lt;&gt;"",$H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</f>
        <v/>
      </c>
      <c r="J239" s="23">
        <f>IF($C239="",0,IFERROR(INDEX(Deals!$H$2:$H$355,MATCH($C239,Deals!$A$2:$A$355,0)),0))</f>
        <v/>
      </c>
      <c r="K239" s="20">
        <f>IF(Settings!$B$4="Yes",$I239*$J239,$I239)</f>
        <v/>
      </c>
      <c r="L239" s="31">
        <f>IF($C239="","",IFERROR(IF(INDEX(Deals!$I$2:$I$355,MATCH($C239,Deals!$A$2:$A$355,0))=0,"",INDEX(Deals!$I$2:$I$355,MATCH($C239,Deals!$A$2:$A$355,0))),""))</f>
        <v/>
      </c>
      <c r="M239" s="31">
        <f>IF($C239="","",IFERROR(IF(INDEX(Deals!$J$2:$J$355,MATCH($C239,Deals!$A$2:$A$355,0))=0,"",INDEX(Deals!$J$2:$J$355,MATCH($C239,Deals!$A$2:$A$355,0))),""))</f>
        <v/>
      </c>
      <c r="N239" s="24">
        <f>IF($L239="",DATE(1900,1,1),$L239)</f>
        <v/>
      </c>
      <c r="O239" s="24">
        <f>IF($M239="",DATE(2100,12,31),$M239)</f>
        <v/>
      </c>
      <c r="P239" s="16" t="inlineStr">
        <is>
          <t>Proposal</t>
        </is>
      </c>
      <c r="Q239" s="16" t="inlineStr"/>
      <c r="R239" s="29">
        <f>IF($C239="","",IFERROR(IF(INDEX(Deals!$U$2:$U$355,MATCH($C239,Deals!$A$2:$A$355,0))=0,"",INDEX(Deals!$U$2:$U$355,MATCH($C239,Deals!$A$2:$A$355,0))),""))</f>
        <v/>
      </c>
      <c r="S239" s="22">
        <f>IFERROR(IF($U239="",1,INDEX(Deals!$V$2:$V$355,MATCH($C239,Deals!$A$2:$A$355,0))),1)</f>
        <v/>
      </c>
      <c r="T239" s="22">
        <f>IFERROR(IF($U239="",1,INDEX(Deals!$W$2:$W$355,MATCH($C239,Deals!$A$2:$A$355,0))),1)</f>
        <v/>
      </c>
      <c r="U239" s="31">
        <f>IF($C239="","",IFERROR(IF(INDEX(Deals!$Y$2:$Y$355,MATCH($C239,Deals!$A$2:$A$355,0))=0,"",INDEX(Deals!$Y$2:$Y$355,MATCH($C239,Deals!$A$2:$A$355,0))),""))</f>
        <v/>
      </c>
      <c r="V239" s="24">
        <f>IF($U239="",DATE(1900,1,1),$N239)</f>
        <v/>
      </c>
      <c r="W239" s="24">
        <f>IF($U239="",DATE(2100,12,31),$U239)</f>
        <v/>
      </c>
      <c r="X239" s="20">
        <f>IF($U239="",$K239,$K239*$S239)</f>
        <v/>
      </c>
      <c r="Y239" s="24">
        <f>IF($U239="",DATE(2100,12,31),$U239+1)</f>
        <v/>
      </c>
      <c r="Z239" s="24">
        <f>IF($U239="",DATE(1900,1,1),$O239)</f>
        <v/>
      </c>
      <c r="AA239" s="20">
        <f>IF($U239="",0,$K239*$T239)</f>
        <v/>
      </c>
    </row>
    <row r="240">
      <c r="A240" s="15" t="inlineStr">
        <is>
          <t>Justine</t>
        </is>
      </c>
      <c r="B240" s="29">
        <f>IF($A240="","",IFERROR(INDEX(Roster!$B$2:$B$40,MATCH($A240,Roster!$A$2:$A$40,0)),"?"))</f>
        <v/>
      </c>
      <c r="C240" s="15" t="inlineStr">
        <is>
          <t>Liquidation Henner US_1</t>
        </is>
      </c>
      <c r="D240" s="29">
        <f>IF($C240="","",IFERROR(IF(INDEX(Deals!$C$2:$C$355,MATCH($C240,Deals!$A$2:$A$355,0))=0,"",INDEX(Deals!$C$2:$C$355,MATCH($C240,Deals!$A$2:$A$355,0))),"?"))</f>
        <v/>
      </c>
      <c r="E240" s="29">
        <f>IF($C240="","",IFERROR(INDEX(Deals!$F$2:$F$355,MATCH($C240,Deals!$A$2:$A$355,0)),"?"))</f>
        <v/>
      </c>
      <c r="F240" s="15" t="inlineStr">
        <is>
          <t>Director</t>
        </is>
      </c>
      <c r="G240" s="15" t="inlineStr">
        <is>
          <t>Active</t>
        </is>
      </c>
      <c r="H240" s="27" t="n"/>
      <c r="I240" s="20">
        <f>IF(OR($A240="",$G240&lt;&gt;"Active"),0,IF($H240&lt;&gt;"",$H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</f>
        <v/>
      </c>
      <c r="J240" s="23">
        <f>IF($C240="",0,IFERROR(INDEX(Deals!$H$2:$H$355,MATCH($C240,Deals!$A$2:$A$355,0)),0))</f>
        <v/>
      </c>
      <c r="K240" s="20">
        <f>IF(Settings!$B$4="Yes",$I240*$J240,$I240)</f>
        <v/>
      </c>
      <c r="L240" s="31">
        <f>IF($C240="","",IFERROR(IF(INDEX(Deals!$I$2:$I$355,MATCH($C240,Deals!$A$2:$A$355,0))=0,"",INDEX(Deals!$I$2:$I$355,MATCH($C240,Deals!$A$2:$A$355,0))),""))</f>
        <v/>
      </c>
      <c r="M240" s="31">
        <f>IF($C240="","",IFERROR(IF(INDEX(Deals!$J$2:$J$355,MATCH($C240,Deals!$A$2:$A$355,0))=0,"",INDEX(Deals!$J$2:$J$355,MATCH($C240,Deals!$A$2:$A$355,0))),""))</f>
        <v/>
      </c>
      <c r="N240" s="24">
        <f>IF($L240="",DATE(1900,1,1),$L240)</f>
        <v/>
      </c>
      <c r="O240" s="24">
        <f>IF($M240="",DATE(2100,12,31),$M240)</f>
        <v/>
      </c>
      <c r="P240" s="16" t="inlineStr">
        <is>
          <t>Proposal</t>
        </is>
      </c>
      <c r="Q240" s="16" t="inlineStr"/>
      <c r="R240" s="29">
        <f>IF($C240="","",IFERROR(IF(INDEX(Deals!$U$2:$U$355,MATCH($C240,Deals!$A$2:$A$355,0))=0,"",INDEX(Deals!$U$2:$U$355,MATCH($C240,Deals!$A$2:$A$355,0))),""))</f>
        <v/>
      </c>
      <c r="S240" s="22">
        <f>IFERROR(IF($U240="",1,INDEX(Deals!$V$2:$V$355,MATCH($C240,Deals!$A$2:$A$355,0))),1)</f>
        <v/>
      </c>
      <c r="T240" s="22">
        <f>IFERROR(IF($U240="",1,INDEX(Deals!$W$2:$W$355,MATCH($C240,Deals!$A$2:$A$355,0))),1)</f>
        <v/>
      </c>
      <c r="U240" s="31">
        <f>IF($C240="","",IFERROR(IF(INDEX(Deals!$Y$2:$Y$355,MATCH($C240,Deals!$A$2:$A$355,0))=0,"",INDEX(Deals!$Y$2:$Y$355,MATCH($C240,Deals!$A$2:$A$355,0))),""))</f>
        <v/>
      </c>
      <c r="V240" s="24">
        <f>IF($U240="",DATE(1900,1,1),$N240)</f>
        <v/>
      </c>
      <c r="W240" s="24">
        <f>IF($U240="",DATE(2100,12,31),$U240)</f>
        <v/>
      </c>
      <c r="X240" s="20">
        <f>IF($U240="",$K240,$K240*$S240)</f>
        <v/>
      </c>
      <c r="Y240" s="24">
        <f>IF($U240="",DATE(2100,12,31),$U240+1)</f>
        <v/>
      </c>
      <c r="Z240" s="24">
        <f>IF($U240="",DATE(1900,1,1),$O240)</f>
        <v/>
      </c>
      <c r="AA240" s="20">
        <f>IF($U240="",0,$K240*$T240)</f>
        <v/>
      </c>
    </row>
    <row r="241">
      <c r="A241" s="15" t="inlineStr">
        <is>
          <t>Justine</t>
        </is>
      </c>
      <c r="B241" s="29">
        <f>IF($A241="","",IFERROR(INDEX(Roster!$B$2:$B$40,MATCH($A241,Roster!$A$2:$A$40,0)),"?"))</f>
        <v/>
      </c>
      <c r="C241" s="15" t="inlineStr">
        <is>
          <t>LMNOP_1</t>
        </is>
      </c>
      <c r="D241" s="29">
        <f>IF($C241="","",IFERROR(IF(INDEX(Deals!$C$2:$C$355,MATCH($C241,Deals!$A$2:$A$355,0))=0,"",INDEX(Deals!$C$2:$C$355,MATCH($C241,Deals!$A$2:$A$355,0))),"?"))</f>
        <v/>
      </c>
      <c r="E241" s="29">
        <f>IF($C241="","",IFERROR(INDEX(Deals!$F$2:$F$355,MATCH($C241,Deals!$A$2:$A$355,0)),"?"))</f>
        <v/>
      </c>
      <c r="F241" s="15" t="inlineStr">
        <is>
          <t>Director</t>
        </is>
      </c>
      <c r="G241" s="15" t="inlineStr">
        <is>
          <t>Active</t>
        </is>
      </c>
      <c r="H241" s="27" t="n"/>
      <c r="I241" s="20">
        <f>IF(OR($A241="",$G241&lt;&gt;"Active"),0,IF($H241&lt;&gt;"",$H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</f>
        <v/>
      </c>
      <c r="J241" s="23">
        <f>IF($C241="",0,IFERROR(INDEX(Deals!$H$2:$H$355,MATCH($C241,Deals!$A$2:$A$355,0)),0))</f>
        <v/>
      </c>
      <c r="K241" s="20">
        <f>IF(Settings!$B$4="Yes",$I241*$J241,$I241)</f>
        <v/>
      </c>
      <c r="L241" s="31">
        <f>IF($C241="","",IFERROR(IF(INDEX(Deals!$I$2:$I$355,MATCH($C241,Deals!$A$2:$A$355,0))=0,"",INDEX(Deals!$I$2:$I$355,MATCH($C241,Deals!$A$2:$A$355,0))),""))</f>
        <v/>
      </c>
      <c r="M241" s="31">
        <f>IF($C241="","",IFERROR(IF(INDEX(Deals!$J$2:$J$355,MATCH($C241,Deals!$A$2:$A$355,0))=0,"",INDEX(Deals!$J$2:$J$355,MATCH($C241,Deals!$A$2:$A$355,0))),""))</f>
        <v/>
      </c>
      <c r="N241" s="24">
        <f>IF($L241="",DATE(1900,1,1),$L241)</f>
        <v/>
      </c>
      <c r="O241" s="24">
        <f>IF($M241="",DATE(2100,12,31),$M241)</f>
        <v/>
      </c>
      <c r="P241" s="16" t="inlineStr">
        <is>
          <t>Proposal</t>
        </is>
      </c>
      <c r="Q241" s="16" t="inlineStr"/>
      <c r="R241" s="29">
        <f>IF($C241="","",IFERROR(IF(INDEX(Deals!$U$2:$U$355,MATCH($C241,Deals!$A$2:$A$355,0))=0,"",INDEX(Deals!$U$2:$U$355,MATCH($C241,Deals!$A$2:$A$355,0))),""))</f>
        <v/>
      </c>
      <c r="S241" s="22">
        <f>IFERROR(IF($U241="",1,INDEX(Deals!$V$2:$V$355,MATCH($C241,Deals!$A$2:$A$355,0))),1)</f>
        <v/>
      </c>
      <c r="T241" s="22">
        <f>IFERROR(IF($U241="",1,INDEX(Deals!$W$2:$W$355,MATCH($C241,Deals!$A$2:$A$355,0))),1)</f>
        <v/>
      </c>
      <c r="U241" s="31">
        <f>IF($C241="","",IFERROR(IF(INDEX(Deals!$Y$2:$Y$355,MATCH($C241,Deals!$A$2:$A$355,0))=0,"",INDEX(Deals!$Y$2:$Y$355,MATCH($C241,Deals!$A$2:$A$355,0))),""))</f>
        <v/>
      </c>
      <c r="V241" s="24">
        <f>IF($U241="",DATE(1900,1,1),$N241)</f>
        <v/>
      </c>
      <c r="W241" s="24">
        <f>IF($U241="",DATE(2100,12,31),$U241)</f>
        <v/>
      </c>
      <c r="X241" s="20">
        <f>IF($U241="",$K241,$K241*$S241)</f>
        <v/>
      </c>
      <c r="Y241" s="24">
        <f>IF($U241="",DATE(2100,12,31),$U241+1)</f>
        <v/>
      </c>
      <c r="Z241" s="24">
        <f>IF($U241="",DATE(1900,1,1),$O241)</f>
        <v/>
      </c>
      <c r="AA241" s="20">
        <f>IF($U241="",0,$K241*$T241)</f>
        <v/>
      </c>
    </row>
    <row r="242">
      <c r="A242" s="15" t="inlineStr">
        <is>
          <t>Justine</t>
        </is>
      </c>
      <c r="B242" s="29">
        <f>IF($A242="","",IFERROR(INDEX(Roster!$B$2:$B$40,MATCH($A242,Roster!$A$2:$A$40,0)),"?"))</f>
        <v/>
      </c>
      <c r="C242" s="15" t="inlineStr">
        <is>
          <t>LOB Analysis_1</t>
        </is>
      </c>
      <c r="D242" s="29">
        <f>IF($C242="","",IFERROR(IF(INDEX(Deals!$C$2:$C$355,MATCH($C242,Deals!$A$2:$A$355,0))=0,"",INDEX(Deals!$C$2:$C$355,MATCH($C242,Deals!$A$2:$A$355,0))),"?"))</f>
        <v/>
      </c>
      <c r="E242" s="29">
        <f>IF($C242="","",IFERROR(INDEX(Deals!$F$2:$F$355,MATCH($C242,Deals!$A$2:$A$355,0)),"?"))</f>
        <v/>
      </c>
      <c r="F242" s="15" t="inlineStr">
        <is>
          <t>Director</t>
        </is>
      </c>
      <c r="G242" s="15" t="inlineStr">
        <is>
          <t>Inactive</t>
        </is>
      </c>
      <c r="H242" s="27" t="n"/>
      <c r="I242" s="20">
        <f>IF(OR($A242="",$G242&lt;&gt;"Active"),0,IF($H242&lt;&gt;"",$H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</f>
        <v/>
      </c>
      <c r="J242" s="23">
        <f>IF($C242="",0,IFERROR(INDEX(Deals!$H$2:$H$355,MATCH($C242,Deals!$A$2:$A$355,0)),0))</f>
        <v/>
      </c>
      <c r="K242" s="20">
        <f>IF(Settings!$B$4="Yes",$I242*$J242,$I242)</f>
        <v/>
      </c>
      <c r="L242" s="31">
        <f>IF($C242="","",IFERROR(IF(INDEX(Deals!$I$2:$I$355,MATCH($C242,Deals!$A$2:$A$355,0))=0,"",INDEX(Deals!$I$2:$I$355,MATCH($C242,Deals!$A$2:$A$355,0))),""))</f>
        <v/>
      </c>
      <c r="M242" s="31">
        <f>IF($C242="","",IFERROR(IF(INDEX(Deals!$J$2:$J$355,MATCH($C242,Deals!$A$2:$A$355,0))=0,"",INDEX(Deals!$J$2:$J$355,MATCH($C242,Deals!$A$2:$A$355,0))),""))</f>
        <v/>
      </c>
      <c r="N242" s="24">
        <f>IF($L242="",DATE(1900,1,1),$L242)</f>
        <v/>
      </c>
      <c r="O242" s="24">
        <f>IF($M242="",DATE(2100,12,31),$M242)</f>
        <v/>
      </c>
      <c r="P242" s="16" t="inlineStr">
        <is>
          <t>Dead</t>
        </is>
      </c>
      <c r="Q242" s="16" t="inlineStr"/>
      <c r="R242" s="29">
        <f>IF($C242="","",IFERROR(IF(INDEX(Deals!$U$2:$U$355,MATCH($C242,Deals!$A$2:$A$355,0))=0,"",INDEX(Deals!$U$2:$U$355,MATCH($C242,Deals!$A$2:$A$355,0))),""))</f>
        <v/>
      </c>
      <c r="S242" s="22">
        <f>IFERROR(IF($U242="",1,INDEX(Deals!$V$2:$V$355,MATCH($C242,Deals!$A$2:$A$355,0))),1)</f>
        <v/>
      </c>
      <c r="T242" s="22">
        <f>IFERROR(IF($U242="",1,INDEX(Deals!$W$2:$W$355,MATCH($C242,Deals!$A$2:$A$355,0))),1)</f>
        <v/>
      </c>
      <c r="U242" s="31">
        <f>IF($C242="","",IFERROR(IF(INDEX(Deals!$Y$2:$Y$355,MATCH($C242,Deals!$A$2:$A$355,0))=0,"",INDEX(Deals!$Y$2:$Y$355,MATCH($C242,Deals!$A$2:$A$355,0))),""))</f>
        <v/>
      </c>
      <c r="V242" s="24">
        <f>IF($U242="",DATE(1900,1,1),$N242)</f>
        <v/>
      </c>
      <c r="W242" s="24">
        <f>IF($U242="",DATE(2100,12,31),$U242)</f>
        <v/>
      </c>
      <c r="X242" s="20">
        <f>IF($U242="",$K242,$K242*$S242)</f>
        <v/>
      </c>
      <c r="Y242" s="24">
        <f>IF($U242="",DATE(2100,12,31),$U242+1)</f>
        <v/>
      </c>
      <c r="Z242" s="24">
        <f>IF($U242="",DATE(1900,1,1),$O242)</f>
        <v/>
      </c>
      <c r="AA242" s="20">
        <f>IF($U242="",0,$K242*$T242)</f>
        <v/>
      </c>
    </row>
    <row r="243">
      <c r="A243" s="15" t="inlineStr">
        <is>
          <t>Justine</t>
        </is>
      </c>
      <c r="B243" s="29">
        <f>IF($A243="","",IFERROR(INDEX(Roster!$B$2:$B$40,MATCH($A243,Roster!$A$2:$A$40,0)),"?"))</f>
        <v/>
      </c>
      <c r="C243" s="15" t="inlineStr">
        <is>
          <t>Malta_1</t>
        </is>
      </c>
      <c r="D243" s="29">
        <f>IF($C243="","",IFERROR(IF(INDEX(Deals!$C$2:$C$355,MATCH($C243,Deals!$A$2:$A$355,0))=0,"",INDEX(Deals!$C$2:$C$355,MATCH($C243,Deals!$A$2:$A$355,0))),"?"))</f>
        <v/>
      </c>
      <c r="E243" s="29">
        <f>IF($C243="","",IFERROR(INDEX(Deals!$F$2:$F$355,MATCH($C243,Deals!$A$2:$A$355,0)),"?"))</f>
        <v/>
      </c>
      <c r="F243" s="15" t="inlineStr">
        <is>
          <t>Director</t>
        </is>
      </c>
      <c r="G243" s="15" t="inlineStr">
        <is>
          <t>Inactive</t>
        </is>
      </c>
      <c r="H243" s="27" t="n"/>
      <c r="I243" s="20">
        <f>IF(OR($A243="",$G243&lt;&gt;"Active"),0,IF($H243&lt;&gt;"",$H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</f>
        <v/>
      </c>
      <c r="J243" s="23">
        <f>IF($C243="",0,IFERROR(INDEX(Deals!$H$2:$H$355,MATCH($C243,Deals!$A$2:$A$355,0)),0))</f>
        <v/>
      </c>
      <c r="K243" s="20">
        <f>IF(Settings!$B$4="Yes",$I243*$J243,$I243)</f>
        <v/>
      </c>
      <c r="L243" s="31">
        <f>IF($C243="","",IFERROR(IF(INDEX(Deals!$I$2:$I$355,MATCH($C243,Deals!$A$2:$A$355,0))=0,"",INDEX(Deals!$I$2:$I$355,MATCH($C243,Deals!$A$2:$A$355,0))),""))</f>
        <v/>
      </c>
      <c r="M243" s="31">
        <f>IF($C243="","",IFERROR(IF(INDEX(Deals!$J$2:$J$355,MATCH($C243,Deals!$A$2:$A$355,0))=0,"",INDEX(Deals!$J$2:$J$355,MATCH($C243,Deals!$A$2:$A$355,0))),""))</f>
        <v/>
      </c>
      <c r="N243" s="24">
        <f>IF($L243="",DATE(1900,1,1),$L243)</f>
        <v/>
      </c>
      <c r="O243" s="24">
        <f>IF($M243="",DATE(2100,12,31),$M243)</f>
        <v/>
      </c>
      <c r="P243" s="16" t="inlineStr">
        <is>
          <t>Dead</t>
        </is>
      </c>
      <c r="Q243" s="16" t="inlineStr"/>
      <c r="R243" s="29">
        <f>IF($C243="","",IFERROR(IF(INDEX(Deals!$U$2:$U$355,MATCH($C243,Deals!$A$2:$A$355,0))=0,"",INDEX(Deals!$U$2:$U$355,MATCH($C243,Deals!$A$2:$A$355,0))),""))</f>
        <v/>
      </c>
      <c r="S243" s="22">
        <f>IFERROR(IF($U243="",1,INDEX(Deals!$V$2:$V$355,MATCH($C243,Deals!$A$2:$A$355,0))),1)</f>
        <v/>
      </c>
      <c r="T243" s="22">
        <f>IFERROR(IF($U243="",1,INDEX(Deals!$W$2:$W$355,MATCH($C243,Deals!$A$2:$A$355,0))),1)</f>
        <v/>
      </c>
      <c r="U243" s="31">
        <f>IF($C243="","",IFERROR(IF(INDEX(Deals!$Y$2:$Y$355,MATCH($C243,Deals!$A$2:$A$355,0))=0,"",INDEX(Deals!$Y$2:$Y$355,MATCH($C243,Deals!$A$2:$A$355,0))),""))</f>
        <v/>
      </c>
      <c r="V243" s="24">
        <f>IF($U243="",DATE(1900,1,1),$N243)</f>
        <v/>
      </c>
      <c r="W243" s="24">
        <f>IF($U243="",DATE(2100,12,31),$U243)</f>
        <v/>
      </c>
      <c r="X243" s="20">
        <f>IF($U243="",$K243,$K243*$S243)</f>
        <v/>
      </c>
      <c r="Y243" s="24">
        <f>IF($U243="",DATE(2100,12,31),$U243+1)</f>
        <v/>
      </c>
      <c r="Z243" s="24">
        <f>IF($U243="",DATE(1900,1,1),$O243)</f>
        <v/>
      </c>
      <c r="AA243" s="20">
        <f>IF($U243="",0,$K243*$T243)</f>
        <v/>
      </c>
    </row>
    <row r="244">
      <c r="A244" s="15" t="inlineStr">
        <is>
          <t>Justine</t>
        </is>
      </c>
      <c r="B244" s="29">
        <f>IF($A244="","",IFERROR(INDEX(Roster!$B$2:$B$40,MATCH($A244,Roster!$A$2:$A$40,0)),"?"))</f>
        <v/>
      </c>
      <c r="C244" s="15" t="inlineStr">
        <is>
          <t>Marle_1</t>
        </is>
      </c>
      <c r="D244" s="29">
        <f>IF($C244="","",IFERROR(IF(INDEX(Deals!$C$2:$C$355,MATCH($C244,Deals!$A$2:$A$355,0))=0,"",INDEX(Deals!$C$2:$C$355,MATCH($C244,Deals!$A$2:$A$355,0))),"?"))</f>
        <v/>
      </c>
      <c r="E244" s="29">
        <f>IF($C244="","",IFERROR(INDEX(Deals!$F$2:$F$355,MATCH($C244,Deals!$A$2:$A$355,0)),"?"))</f>
        <v/>
      </c>
      <c r="F244" s="15" t="inlineStr">
        <is>
          <t>Director</t>
        </is>
      </c>
      <c r="G244" s="15" t="inlineStr">
        <is>
          <t>Inactive</t>
        </is>
      </c>
      <c r="H244" s="27" t="n"/>
      <c r="I244" s="20">
        <f>IF(OR($A244="",$G244&lt;&gt;"Active"),0,IF($H244&lt;&gt;"",$H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</f>
        <v/>
      </c>
      <c r="J244" s="23">
        <f>IF($C244="",0,IFERROR(INDEX(Deals!$H$2:$H$355,MATCH($C244,Deals!$A$2:$A$355,0)),0))</f>
        <v/>
      </c>
      <c r="K244" s="20">
        <f>IF(Settings!$B$4="Yes",$I244*$J244,$I244)</f>
        <v/>
      </c>
      <c r="L244" s="31">
        <f>IF($C244="","",IFERROR(IF(INDEX(Deals!$I$2:$I$355,MATCH($C244,Deals!$A$2:$A$355,0))=0,"",INDEX(Deals!$I$2:$I$355,MATCH($C244,Deals!$A$2:$A$355,0))),""))</f>
        <v/>
      </c>
      <c r="M244" s="31">
        <f>IF($C244="","",IFERROR(IF(INDEX(Deals!$J$2:$J$355,MATCH($C244,Deals!$A$2:$A$355,0))=0,"",INDEX(Deals!$J$2:$J$355,MATCH($C244,Deals!$A$2:$A$355,0))),""))</f>
        <v/>
      </c>
      <c r="N244" s="24">
        <f>IF($L244="",DATE(1900,1,1),$L244)</f>
        <v/>
      </c>
      <c r="O244" s="24">
        <f>IF($M244="",DATE(2100,12,31),$M244)</f>
        <v/>
      </c>
      <c r="P244" s="16" t="inlineStr">
        <is>
          <t>Closed</t>
        </is>
      </c>
      <c r="Q244" s="16" t="inlineStr"/>
      <c r="R244" s="29">
        <f>IF($C244="","",IFERROR(IF(INDEX(Deals!$U$2:$U$355,MATCH($C244,Deals!$A$2:$A$355,0))=0,"",INDEX(Deals!$U$2:$U$355,MATCH($C244,Deals!$A$2:$A$355,0))),""))</f>
        <v/>
      </c>
      <c r="S244" s="22">
        <f>IFERROR(IF($U244="",1,INDEX(Deals!$V$2:$V$355,MATCH($C244,Deals!$A$2:$A$355,0))),1)</f>
        <v/>
      </c>
      <c r="T244" s="22">
        <f>IFERROR(IF($U244="",1,INDEX(Deals!$W$2:$W$355,MATCH($C244,Deals!$A$2:$A$355,0))),1)</f>
        <v/>
      </c>
      <c r="U244" s="31">
        <f>IF($C244="","",IFERROR(IF(INDEX(Deals!$Y$2:$Y$355,MATCH($C244,Deals!$A$2:$A$355,0))=0,"",INDEX(Deals!$Y$2:$Y$355,MATCH($C244,Deals!$A$2:$A$355,0))),""))</f>
        <v/>
      </c>
      <c r="V244" s="24">
        <f>IF($U244="",DATE(1900,1,1),$N244)</f>
        <v/>
      </c>
      <c r="W244" s="24">
        <f>IF($U244="",DATE(2100,12,31),$U244)</f>
        <v/>
      </c>
      <c r="X244" s="20">
        <f>IF($U244="",$K244,$K244*$S244)</f>
        <v/>
      </c>
      <c r="Y244" s="24">
        <f>IF($U244="",DATE(2100,12,31),$U244+1)</f>
        <v/>
      </c>
      <c r="Z244" s="24">
        <f>IF($U244="",DATE(1900,1,1),$O244)</f>
        <v/>
      </c>
      <c r="AA244" s="20">
        <f>IF($U244="",0,$K244*$T244)</f>
        <v/>
      </c>
    </row>
    <row r="245">
      <c r="A245" s="15" t="inlineStr">
        <is>
          <t>Justine</t>
        </is>
      </c>
      <c r="B245" s="29">
        <f>IF($A245="","",IFERROR(INDEX(Roster!$B$2:$B$40,MATCH($A245,Roster!$A$2:$A$40,0)),"?"))</f>
        <v/>
      </c>
      <c r="C245" s="15" t="inlineStr">
        <is>
          <t>Medicis_1</t>
        </is>
      </c>
      <c r="D245" s="29">
        <f>IF($C245="","",IFERROR(IF(INDEX(Deals!$C$2:$C$355,MATCH($C245,Deals!$A$2:$A$355,0))=0,"",INDEX(Deals!$C$2:$C$355,MATCH($C245,Deals!$A$2:$A$355,0))),"?"))</f>
        <v/>
      </c>
      <c r="E245" s="29">
        <f>IF($C245="","",IFERROR(INDEX(Deals!$F$2:$F$355,MATCH($C245,Deals!$A$2:$A$355,0)),"?"))</f>
        <v/>
      </c>
      <c r="F245" s="15" t="inlineStr">
        <is>
          <t>Director</t>
        </is>
      </c>
      <c r="G245" s="15" t="inlineStr">
        <is>
          <t>Inactive</t>
        </is>
      </c>
      <c r="H245" s="27" t="n"/>
      <c r="I245" s="20">
        <f>IF(OR($A245="",$G245&lt;&gt;"Active"),0,IF($H245&lt;&gt;"",$H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</f>
        <v/>
      </c>
      <c r="J245" s="23">
        <f>IF($C245="",0,IFERROR(INDEX(Deals!$H$2:$H$355,MATCH($C245,Deals!$A$2:$A$355,0)),0))</f>
        <v/>
      </c>
      <c r="K245" s="20">
        <f>IF(Settings!$B$4="Yes",$I245*$J245,$I245)</f>
        <v/>
      </c>
      <c r="L245" s="31">
        <f>IF($C245="","",IFERROR(IF(INDEX(Deals!$I$2:$I$355,MATCH($C245,Deals!$A$2:$A$355,0))=0,"",INDEX(Deals!$I$2:$I$355,MATCH($C245,Deals!$A$2:$A$355,0))),""))</f>
        <v/>
      </c>
      <c r="M245" s="31">
        <f>IF($C245="","",IFERROR(IF(INDEX(Deals!$J$2:$J$355,MATCH($C245,Deals!$A$2:$A$355,0))=0,"",INDEX(Deals!$J$2:$J$355,MATCH($C245,Deals!$A$2:$A$355,0))),""))</f>
        <v/>
      </c>
      <c r="N245" s="24">
        <f>IF($L245="",DATE(1900,1,1),$L245)</f>
        <v/>
      </c>
      <c r="O245" s="24">
        <f>IF($M245="",DATE(2100,12,31),$M245)</f>
        <v/>
      </c>
      <c r="P245" s="16" t="inlineStr">
        <is>
          <t>Pens down</t>
        </is>
      </c>
      <c r="Q245" s="16" t="inlineStr"/>
      <c r="R245" s="29">
        <f>IF($C245="","",IFERROR(IF(INDEX(Deals!$U$2:$U$355,MATCH($C245,Deals!$A$2:$A$355,0))=0,"",INDEX(Deals!$U$2:$U$355,MATCH($C245,Deals!$A$2:$A$355,0))),""))</f>
        <v/>
      </c>
      <c r="S245" s="22">
        <f>IFERROR(IF($U245="",1,INDEX(Deals!$V$2:$V$355,MATCH($C245,Deals!$A$2:$A$355,0))),1)</f>
        <v/>
      </c>
      <c r="T245" s="22">
        <f>IFERROR(IF($U245="",1,INDEX(Deals!$W$2:$W$355,MATCH($C245,Deals!$A$2:$A$355,0))),1)</f>
        <v/>
      </c>
      <c r="U245" s="31">
        <f>IF($C245="","",IFERROR(IF(INDEX(Deals!$Y$2:$Y$355,MATCH($C245,Deals!$A$2:$A$355,0))=0,"",INDEX(Deals!$Y$2:$Y$355,MATCH($C245,Deals!$A$2:$A$355,0))),""))</f>
        <v/>
      </c>
      <c r="V245" s="24">
        <f>IF($U245="",DATE(1900,1,1),$N245)</f>
        <v/>
      </c>
      <c r="W245" s="24">
        <f>IF($U245="",DATE(2100,12,31),$U245)</f>
        <v/>
      </c>
      <c r="X245" s="20">
        <f>IF($U245="",$K245,$K245*$S245)</f>
        <v/>
      </c>
      <c r="Y245" s="24">
        <f>IF($U245="",DATE(2100,12,31),$U245+1)</f>
        <v/>
      </c>
      <c r="Z245" s="24">
        <f>IF($U245="",DATE(1900,1,1),$O245)</f>
        <v/>
      </c>
      <c r="AA245" s="20">
        <f>IF($U245="",0,$K245*$T245)</f>
        <v/>
      </c>
    </row>
    <row r="246">
      <c r="A246" s="15" t="inlineStr">
        <is>
          <t>Justine</t>
        </is>
      </c>
      <c r="B246" s="29">
        <f>IF($A246="","",IFERROR(INDEX(Roster!$B$2:$B$40,MATCH($A246,Roster!$A$2:$A$40,0)),"?"))</f>
        <v/>
      </c>
      <c r="C246" s="15" t="inlineStr">
        <is>
          <t>Metro_1</t>
        </is>
      </c>
      <c r="D246" s="29">
        <f>IF($C246="","",IFERROR(IF(INDEX(Deals!$C$2:$C$355,MATCH($C246,Deals!$A$2:$A$355,0))=0,"",INDEX(Deals!$C$2:$C$355,MATCH($C246,Deals!$A$2:$A$355,0))),"?"))</f>
        <v/>
      </c>
      <c r="E246" s="29">
        <f>IF($C246="","",IFERROR(INDEX(Deals!$F$2:$F$355,MATCH($C246,Deals!$A$2:$A$355,0)),"?"))</f>
        <v/>
      </c>
      <c r="F246" s="15" t="inlineStr">
        <is>
          <t>Director</t>
        </is>
      </c>
      <c r="G246" s="15" t="inlineStr">
        <is>
          <t>Inactive</t>
        </is>
      </c>
      <c r="H246" s="27" t="n"/>
      <c r="I246" s="20">
        <f>IF(OR($A246="",$G246&lt;&gt;"Active"),0,IF($H246&lt;&gt;"",$H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</f>
        <v/>
      </c>
      <c r="J246" s="23">
        <f>IF($C246="",0,IFERROR(INDEX(Deals!$H$2:$H$355,MATCH($C246,Deals!$A$2:$A$355,0)),0))</f>
        <v/>
      </c>
      <c r="K246" s="20">
        <f>IF(Settings!$B$4="Yes",$I246*$J246,$I246)</f>
        <v/>
      </c>
      <c r="L246" s="31">
        <f>IF($C246="","",IFERROR(IF(INDEX(Deals!$I$2:$I$355,MATCH($C246,Deals!$A$2:$A$355,0))=0,"",INDEX(Deals!$I$2:$I$355,MATCH($C246,Deals!$A$2:$A$355,0))),""))</f>
        <v/>
      </c>
      <c r="M246" s="31">
        <f>IF($C246="","",IFERROR(IF(INDEX(Deals!$J$2:$J$355,MATCH($C246,Deals!$A$2:$A$355,0))=0,"",INDEX(Deals!$J$2:$J$355,MATCH($C246,Deals!$A$2:$A$355,0))),""))</f>
        <v/>
      </c>
      <c r="N246" s="24">
        <f>IF($L246="",DATE(1900,1,1),$L246)</f>
        <v/>
      </c>
      <c r="O246" s="24">
        <f>IF($M246="",DATE(2100,12,31),$M246)</f>
        <v/>
      </c>
      <c r="P246" s="16" t="inlineStr">
        <is>
          <t>Closed</t>
        </is>
      </c>
      <c r="Q246" s="16" t="inlineStr"/>
      <c r="R246" s="29">
        <f>IF($C246="","",IFERROR(IF(INDEX(Deals!$U$2:$U$355,MATCH($C246,Deals!$A$2:$A$355,0))=0,"",INDEX(Deals!$U$2:$U$355,MATCH($C246,Deals!$A$2:$A$355,0))),""))</f>
        <v/>
      </c>
      <c r="S246" s="22">
        <f>IFERROR(IF($U246="",1,INDEX(Deals!$V$2:$V$355,MATCH($C246,Deals!$A$2:$A$355,0))),1)</f>
        <v/>
      </c>
      <c r="T246" s="22">
        <f>IFERROR(IF($U246="",1,INDEX(Deals!$W$2:$W$355,MATCH($C246,Deals!$A$2:$A$355,0))),1)</f>
        <v/>
      </c>
      <c r="U246" s="31">
        <f>IF($C246="","",IFERROR(IF(INDEX(Deals!$Y$2:$Y$355,MATCH($C246,Deals!$A$2:$A$355,0))=0,"",INDEX(Deals!$Y$2:$Y$355,MATCH($C246,Deals!$A$2:$A$355,0))),""))</f>
        <v/>
      </c>
      <c r="V246" s="24">
        <f>IF($U246="",DATE(1900,1,1),$N246)</f>
        <v/>
      </c>
      <c r="W246" s="24">
        <f>IF($U246="",DATE(2100,12,31),$U246)</f>
        <v/>
      </c>
      <c r="X246" s="20">
        <f>IF($U246="",$K246,$K246*$S246)</f>
        <v/>
      </c>
      <c r="Y246" s="24">
        <f>IF($U246="",DATE(2100,12,31),$U246+1)</f>
        <v/>
      </c>
      <c r="Z246" s="24">
        <f>IF($U246="",DATE(1900,1,1),$O246)</f>
        <v/>
      </c>
      <c r="AA246" s="20">
        <f>IF($U246="",0,$K246*$T246)</f>
        <v/>
      </c>
    </row>
    <row r="247">
      <c r="A247" s="15" t="inlineStr">
        <is>
          <t>Justine</t>
        </is>
      </c>
      <c r="B247" s="29">
        <f>IF($A247="","",IFERROR(INDEX(Roster!$B$2:$B$40,MATCH($A247,Roster!$A$2:$A$40,0)),"?"))</f>
        <v/>
      </c>
      <c r="C247" s="15" t="inlineStr">
        <is>
          <t>Mozart_2</t>
        </is>
      </c>
      <c r="D247" s="29">
        <f>IF($C247="","",IFERROR(IF(INDEX(Deals!$C$2:$C$355,MATCH($C247,Deals!$A$2:$A$355,0))=0,"",INDEX(Deals!$C$2:$C$355,MATCH($C247,Deals!$A$2:$A$355,0))),"?"))</f>
        <v/>
      </c>
      <c r="E247" s="29">
        <f>IF($C247="","",IFERROR(INDEX(Deals!$F$2:$F$355,MATCH($C247,Deals!$A$2:$A$355,0)),"?"))</f>
        <v/>
      </c>
      <c r="F247" s="15" t="inlineStr">
        <is>
          <t>Director</t>
        </is>
      </c>
      <c r="G247" s="15" t="inlineStr">
        <is>
          <t>Inactive</t>
        </is>
      </c>
      <c r="H247" s="27" t="n"/>
      <c r="I247" s="20">
        <f>IF(OR($A247="",$G247&lt;&gt;"Active"),0,IF($H247&lt;&gt;"",$H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</f>
        <v/>
      </c>
      <c r="J247" s="23">
        <f>IF($C247="",0,IFERROR(INDEX(Deals!$H$2:$H$355,MATCH($C247,Deals!$A$2:$A$355,0)),0))</f>
        <v/>
      </c>
      <c r="K247" s="20">
        <f>IF(Settings!$B$4="Yes",$I247*$J247,$I247)</f>
        <v/>
      </c>
      <c r="L247" s="31">
        <f>IF($C247="","",IFERROR(IF(INDEX(Deals!$I$2:$I$355,MATCH($C247,Deals!$A$2:$A$355,0))=0,"",INDEX(Deals!$I$2:$I$355,MATCH($C247,Deals!$A$2:$A$355,0))),""))</f>
        <v/>
      </c>
      <c r="M247" s="31">
        <f>IF($C247="","",IFERROR(IF(INDEX(Deals!$J$2:$J$355,MATCH($C247,Deals!$A$2:$A$355,0))=0,"",INDEX(Deals!$J$2:$J$355,MATCH($C247,Deals!$A$2:$A$355,0))),""))</f>
        <v/>
      </c>
      <c r="N247" s="24">
        <f>IF($L247="",DATE(1900,1,1),$L247)</f>
        <v/>
      </c>
      <c r="O247" s="24">
        <f>IF($M247="",DATE(2100,12,31),$M247)</f>
        <v/>
      </c>
      <c r="P247" s="16" t="inlineStr">
        <is>
          <t>Closed</t>
        </is>
      </c>
      <c r="Q247" s="16" t="inlineStr"/>
      <c r="R247" s="29">
        <f>IF($C247="","",IFERROR(IF(INDEX(Deals!$U$2:$U$355,MATCH($C247,Deals!$A$2:$A$355,0))=0,"",INDEX(Deals!$U$2:$U$355,MATCH($C247,Deals!$A$2:$A$355,0))),""))</f>
        <v/>
      </c>
      <c r="S247" s="22">
        <f>IFERROR(IF($U247="",1,INDEX(Deals!$V$2:$V$355,MATCH($C247,Deals!$A$2:$A$355,0))),1)</f>
        <v/>
      </c>
      <c r="T247" s="22">
        <f>IFERROR(IF($U247="",1,INDEX(Deals!$W$2:$W$355,MATCH($C247,Deals!$A$2:$A$355,0))),1)</f>
        <v/>
      </c>
      <c r="U247" s="31">
        <f>IF($C247="","",IFERROR(IF(INDEX(Deals!$Y$2:$Y$355,MATCH($C247,Deals!$A$2:$A$355,0))=0,"",INDEX(Deals!$Y$2:$Y$355,MATCH($C247,Deals!$A$2:$A$355,0))),""))</f>
        <v/>
      </c>
      <c r="V247" s="24">
        <f>IF($U247="",DATE(1900,1,1),$N247)</f>
        <v/>
      </c>
      <c r="W247" s="24">
        <f>IF($U247="",DATE(2100,12,31),$U247)</f>
        <v/>
      </c>
      <c r="X247" s="20">
        <f>IF($U247="",$K247,$K247*$S247)</f>
        <v/>
      </c>
      <c r="Y247" s="24">
        <f>IF($U247="",DATE(2100,12,31),$U247+1)</f>
        <v/>
      </c>
      <c r="Z247" s="24">
        <f>IF($U247="",DATE(1900,1,1),$O247)</f>
        <v/>
      </c>
      <c r="AA247" s="20">
        <f>IF($U247="",0,$K247*$T247)</f>
        <v/>
      </c>
    </row>
    <row r="248">
      <c r="A248" s="15" t="inlineStr">
        <is>
          <t>Justine</t>
        </is>
      </c>
      <c r="B248" s="29">
        <f>IF($A248="","",IFERROR(INDEX(Roster!$B$2:$B$40,MATCH($A248,Roster!$A$2:$A$40,0)),"?"))</f>
        <v/>
      </c>
      <c r="C248" s="15" t="inlineStr">
        <is>
          <t>Odysee/Atlas_2</t>
        </is>
      </c>
      <c r="D248" s="29">
        <f>IF($C248="","",IFERROR(IF(INDEX(Deals!$C$2:$C$355,MATCH($C248,Deals!$A$2:$A$355,0))=0,"",INDEX(Deals!$C$2:$C$355,MATCH($C248,Deals!$A$2:$A$355,0))),"?"))</f>
        <v/>
      </c>
      <c r="E248" s="29">
        <f>IF($C248="","",IFERROR(INDEX(Deals!$F$2:$F$355,MATCH($C248,Deals!$A$2:$A$355,0)),"?"))</f>
        <v/>
      </c>
      <c r="F248" s="15" t="inlineStr">
        <is>
          <t>Director</t>
        </is>
      </c>
      <c r="G248" s="15" t="inlineStr">
        <is>
          <t>Inactive</t>
        </is>
      </c>
      <c r="H248" s="27" t="n"/>
      <c r="I248" s="20">
        <f>IF(OR($A248="",$G248&lt;&gt;"Active"),0,IF($H248&lt;&gt;"",$H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</f>
        <v/>
      </c>
      <c r="J248" s="23">
        <f>IF($C248="",0,IFERROR(INDEX(Deals!$H$2:$H$355,MATCH($C248,Deals!$A$2:$A$355,0)),0))</f>
        <v/>
      </c>
      <c r="K248" s="20">
        <f>IF(Settings!$B$4="Yes",$I248*$J248,$I248)</f>
        <v/>
      </c>
      <c r="L248" s="31">
        <f>IF($C248="","",IFERROR(IF(INDEX(Deals!$I$2:$I$355,MATCH($C248,Deals!$A$2:$A$355,0))=0,"",INDEX(Deals!$I$2:$I$355,MATCH($C248,Deals!$A$2:$A$355,0))),""))</f>
        <v/>
      </c>
      <c r="M248" s="31">
        <f>IF($C248="","",IFERROR(IF(INDEX(Deals!$J$2:$J$355,MATCH($C248,Deals!$A$2:$A$355,0))=0,"",INDEX(Deals!$J$2:$J$355,MATCH($C248,Deals!$A$2:$A$355,0))),""))</f>
        <v/>
      </c>
      <c r="N248" s="24">
        <f>IF($L248="",DATE(1900,1,1),$L248)</f>
        <v/>
      </c>
      <c r="O248" s="24">
        <f>IF($M248="",DATE(2100,12,31),$M248)</f>
        <v/>
      </c>
      <c r="P248" s="16" t="inlineStr">
        <is>
          <t>Closed</t>
        </is>
      </c>
      <c r="Q248" s="16" t="inlineStr"/>
      <c r="R248" s="29">
        <f>IF($C248="","",IFERROR(IF(INDEX(Deals!$U$2:$U$355,MATCH($C248,Deals!$A$2:$A$355,0))=0,"",INDEX(Deals!$U$2:$U$355,MATCH($C248,Deals!$A$2:$A$355,0))),""))</f>
        <v/>
      </c>
      <c r="S248" s="22">
        <f>IFERROR(IF($U248="",1,INDEX(Deals!$V$2:$V$355,MATCH($C248,Deals!$A$2:$A$355,0))),1)</f>
        <v/>
      </c>
      <c r="T248" s="22">
        <f>IFERROR(IF($U248="",1,INDEX(Deals!$W$2:$W$355,MATCH($C248,Deals!$A$2:$A$355,0))),1)</f>
        <v/>
      </c>
      <c r="U248" s="31">
        <f>IF($C248="","",IFERROR(IF(INDEX(Deals!$Y$2:$Y$355,MATCH($C248,Deals!$A$2:$A$355,0))=0,"",INDEX(Deals!$Y$2:$Y$355,MATCH($C248,Deals!$A$2:$A$355,0))),""))</f>
        <v/>
      </c>
      <c r="V248" s="24">
        <f>IF($U248="",DATE(1900,1,1),$N248)</f>
        <v/>
      </c>
      <c r="W248" s="24">
        <f>IF($U248="",DATE(2100,12,31),$U248)</f>
        <v/>
      </c>
      <c r="X248" s="20">
        <f>IF($U248="",$K248,$K248*$S248)</f>
        <v/>
      </c>
      <c r="Y248" s="24">
        <f>IF($U248="",DATE(2100,12,31),$U248+1)</f>
        <v/>
      </c>
      <c r="Z248" s="24">
        <f>IF($U248="",DATE(1900,1,1),$O248)</f>
        <v/>
      </c>
      <c r="AA248" s="20">
        <f>IF($U248="",0,$K248*$T248)</f>
        <v/>
      </c>
    </row>
    <row r="249">
      <c r="A249" s="15" t="inlineStr">
        <is>
          <t>Justine</t>
        </is>
      </c>
      <c r="B249" s="29">
        <f>IF($A249="","",IFERROR(INDEX(Roster!$B$2:$B$40,MATCH($A249,Roster!$A$2:$A$40,0)),"?"))</f>
        <v/>
      </c>
      <c r="C249" s="15" t="inlineStr">
        <is>
          <t>Offtake_1</t>
        </is>
      </c>
      <c r="D249" s="29">
        <f>IF($C249="","",IFERROR(IF(INDEX(Deals!$C$2:$C$355,MATCH($C249,Deals!$A$2:$A$355,0))=0,"",INDEX(Deals!$C$2:$C$355,MATCH($C249,Deals!$A$2:$A$355,0))),"?"))</f>
        <v/>
      </c>
      <c r="E249" s="29">
        <f>IF($C249="","",IFERROR(INDEX(Deals!$F$2:$F$355,MATCH($C249,Deals!$A$2:$A$355,0)),"?"))</f>
        <v/>
      </c>
      <c r="F249" s="15" t="inlineStr">
        <is>
          <t>Director</t>
        </is>
      </c>
      <c r="G249" s="15" t="inlineStr">
        <is>
          <t>Active</t>
        </is>
      </c>
      <c r="H249" s="27" t="n"/>
      <c r="I249" s="20">
        <f>IF(OR($A249="",$G249&lt;&gt;"Active"),0,IF($H249&lt;&gt;"",$H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</f>
        <v/>
      </c>
      <c r="J249" s="23">
        <f>IF($C249="",0,IFERROR(INDEX(Deals!$H$2:$H$355,MATCH($C249,Deals!$A$2:$A$355,0)),0))</f>
        <v/>
      </c>
      <c r="K249" s="20">
        <f>IF(Settings!$B$4="Yes",$I249*$J249,$I249)</f>
        <v/>
      </c>
      <c r="L249" s="31">
        <f>IF($C249="","",IFERROR(IF(INDEX(Deals!$I$2:$I$355,MATCH($C249,Deals!$A$2:$A$355,0))=0,"",INDEX(Deals!$I$2:$I$355,MATCH($C249,Deals!$A$2:$A$355,0))),""))</f>
        <v/>
      </c>
      <c r="M249" s="31">
        <f>IF($C249="","",IFERROR(IF(INDEX(Deals!$J$2:$J$355,MATCH($C249,Deals!$A$2:$A$355,0))=0,"",INDEX(Deals!$J$2:$J$355,MATCH($C249,Deals!$A$2:$A$355,0))),""))</f>
        <v/>
      </c>
      <c r="N249" s="24">
        <f>IF($L249="",DATE(1900,1,1),$L249)</f>
        <v/>
      </c>
      <c r="O249" s="24">
        <f>IF($M249="",DATE(2100,12,31),$M249)</f>
        <v/>
      </c>
      <c r="P249" s="16" t="inlineStr">
        <is>
          <t>Proposal</t>
        </is>
      </c>
      <c r="Q249" s="16" t="inlineStr"/>
      <c r="R249" s="29">
        <f>IF($C249="","",IFERROR(IF(INDEX(Deals!$U$2:$U$355,MATCH($C249,Deals!$A$2:$A$355,0))=0,"",INDEX(Deals!$U$2:$U$355,MATCH($C249,Deals!$A$2:$A$355,0))),""))</f>
        <v/>
      </c>
      <c r="S249" s="22">
        <f>IFERROR(IF($U249="",1,INDEX(Deals!$V$2:$V$355,MATCH($C249,Deals!$A$2:$A$355,0))),1)</f>
        <v/>
      </c>
      <c r="T249" s="22">
        <f>IFERROR(IF($U249="",1,INDEX(Deals!$W$2:$W$355,MATCH($C249,Deals!$A$2:$A$355,0))),1)</f>
        <v/>
      </c>
      <c r="U249" s="31">
        <f>IF($C249="","",IFERROR(IF(INDEX(Deals!$Y$2:$Y$355,MATCH($C249,Deals!$A$2:$A$355,0))=0,"",INDEX(Deals!$Y$2:$Y$355,MATCH($C249,Deals!$A$2:$A$355,0))),""))</f>
        <v/>
      </c>
      <c r="V249" s="24">
        <f>IF($U249="",DATE(1900,1,1),$N249)</f>
        <v/>
      </c>
      <c r="W249" s="24">
        <f>IF($U249="",DATE(2100,12,31),$U249)</f>
        <v/>
      </c>
      <c r="X249" s="20">
        <f>IF($U249="",$K249,$K249*$S249)</f>
        <v/>
      </c>
      <c r="Y249" s="24">
        <f>IF($U249="",DATE(2100,12,31),$U249+1)</f>
        <v/>
      </c>
      <c r="Z249" s="24">
        <f>IF($U249="",DATE(1900,1,1),$O249)</f>
        <v/>
      </c>
      <c r="AA249" s="20">
        <f>IF($U249="",0,$K249*$T249)</f>
        <v/>
      </c>
    </row>
    <row r="250">
      <c r="A250" s="15" t="inlineStr">
        <is>
          <t>Justine</t>
        </is>
      </c>
      <c r="B250" s="29">
        <f>IF($A250="","",IFERROR(INDEX(Roster!$B$2:$B$40,MATCH($A250,Roster!$A$2:$A$40,0)),"?"))</f>
        <v/>
      </c>
      <c r="C250" s="15" t="inlineStr">
        <is>
          <t>Orange_4</t>
        </is>
      </c>
      <c r="D250" s="29">
        <f>IF($C250="","",IFERROR(IF(INDEX(Deals!$C$2:$C$355,MATCH($C250,Deals!$A$2:$A$355,0))=0,"",INDEX(Deals!$C$2:$C$355,MATCH($C250,Deals!$A$2:$A$355,0))),"?"))</f>
        <v/>
      </c>
      <c r="E250" s="29">
        <f>IF($C250="","",IFERROR(INDEX(Deals!$F$2:$F$355,MATCH($C250,Deals!$A$2:$A$355,0)),"?"))</f>
        <v/>
      </c>
      <c r="F250" s="15" t="inlineStr">
        <is>
          <t>Director</t>
        </is>
      </c>
      <c r="G250" s="15" t="inlineStr">
        <is>
          <t>Active</t>
        </is>
      </c>
      <c r="H250" s="27" t="n"/>
      <c r="I250" s="20">
        <f>IF(OR($A250="",$G250&lt;&gt;"Active"),0,IF($H250&lt;&gt;"",$H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</f>
        <v/>
      </c>
      <c r="J250" s="23">
        <f>IF($C250="",0,IFERROR(INDEX(Deals!$H$2:$H$355,MATCH($C250,Deals!$A$2:$A$355,0)),0))</f>
        <v/>
      </c>
      <c r="K250" s="20">
        <f>IF(Settings!$B$4="Yes",$I250*$J250,$I250)</f>
        <v/>
      </c>
      <c r="L250" s="31">
        <f>IF($C250="","",IFERROR(IF(INDEX(Deals!$I$2:$I$355,MATCH($C250,Deals!$A$2:$A$355,0))=0,"",INDEX(Deals!$I$2:$I$355,MATCH($C250,Deals!$A$2:$A$355,0))),""))</f>
        <v/>
      </c>
      <c r="M250" s="31">
        <f>IF($C250="","",IFERROR(IF(INDEX(Deals!$J$2:$J$355,MATCH($C250,Deals!$A$2:$A$355,0))=0,"",INDEX(Deals!$J$2:$J$355,MATCH($C250,Deals!$A$2:$A$355,0))),""))</f>
        <v/>
      </c>
      <c r="N250" s="24">
        <f>IF($L250="",DATE(1900,1,1),$L250)</f>
        <v/>
      </c>
      <c r="O250" s="24">
        <f>IF($M250="",DATE(2100,12,31),$M250)</f>
        <v/>
      </c>
      <c r="P250" s="16" t="inlineStr">
        <is>
          <t>Ongoing</t>
        </is>
      </c>
      <c r="Q250" s="16" t="inlineStr"/>
      <c r="R250" s="29">
        <f>IF($C250="","",IFERROR(IF(INDEX(Deals!$U$2:$U$355,MATCH($C250,Deals!$A$2:$A$355,0))=0,"",INDEX(Deals!$U$2:$U$355,MATCH($C250,Deals!$A$2:$A$355,0))),""))</f>
        <v/>
      </c>
      <c r="S250" s="22">
        <f>IFERROR(IF($U250="",1,INDEX(Deals!$V$2:$V$355,MATCH($C250,Deals!$A$2:$A$355,0))),1)</f>
        <v/>
      </c>
      <c r="T250" s="22">
        <f>IFERROR(IF($U250="",1,INDEX(Deals!$W$2:$W$355,MATCH($C250,Deals!$A$2:$A$355,0))),1)</f>
        <v/>
      </c>
      <c r="U250" s="31">
        <f>IF($C250="","",IFERROR(IF(INDEX(Deals!$Y$2:$Y$355,MATCH($C250,Deals!$A$2:$A$355,0))=0,"",INDEX(Deals!$Y$2:$Y$355,MATCH($C250,Deals!$A$2:$A$355,0))),""))</f>
        <v/>
      </c>
      <c r="V250" s="24">
        <f>IF($U250="",DATE(1900,1,1),$N250)</f>
        <v/>
      </c>
      <c r="W250" s="24">
        <f>IF($U250="",DATE(2100,12,31),$U250)</f>
        <v/>
      </c>
      <c r="X250" s="20">
        <f>IF($U250="",$K250,$K250*$S250)</f>
        <v/>
      </c>
      <c r="Y250" s="24">
        <f>IF($U250="",DATE(2100,12,31),$U250+1)</f>
        <v/>
      </c>
      <c r="Z250" s="24">
        <f>IF($U250="",DATE(1900,1,1),$O250)</f>
        <v/>
      </c>
      <c r="AA250" s="20">
        <f>IF($U250="",0,$K250*$T250)</f>
        <v/>
      </c>
    </row>
    <row r="251">
      <c r="A251" s="15" t="inlineStr">
        <is>
          <t>Justine</t>
        </is>
      </c>
      <c r="B251" s="29">
        <f>IF($A251="","",IFERROR(INDEX(Roster!$B$2:$B$40,MATCH($A251,Roster!$A$2:$A$40,0)),"?"))</f>
        <v/>
      </c>
      <c r="C251" s="15" t="inlineStr">
        <is>
          <t>Principal Asset Management BD_1</t>
        </is>
      </c>
      <c r="D251" s="29">
        <f>IF($C251="","",IFERROR(IF(INDEX(Deals!$C$2:$C$355,MATCH($C251,Deals!$A$2:$A$355,0))=0,"",INDEX(Deals!$C$2:$C$355,MATCH($C251,Deals!$A$2:$A$355,0))),"?"))</f>
        <v/>
      </c>
      <c r="E251" s="29">
        <f>IF($C251="","",IFERROR(INDEX(Deals!$F$2:$F$355,MATCH($C251,Deals!$A$2:$A$355,0)),"?"))</f>
        <v/>
      </c>
      <c r="F251" s="15" t="inlineStr">
        <is>
          <t>Director</t>
        </is>
      </c>
      <c r="G251" s="15" t="inlineStr">
        <is>
          <t>Active</t>
        </is>
      </c>
      <c r="H251" s="27" t="n"/>
      <c r="I251" s="20">
        <f>IF(OR($A251="",$G251&lt;&gt;"Active"),0,IF($H251&lt;&gt;"",$H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</f>
        <v/>
      </c>
      <c r="J251" s="23">
        <f>IF($C251="",0,IFERROR(INDEX(Deals!$H$2:$H$355,MATCH($C251,Deals!$A$2:$A$355,0)),0))</f>
        <v/>
      </c>
      <c r="K251" s="20">
        <f>IF(Settings!$B$4="Yes",$I251*$J251,$I251)</f>
        <v/>
      </c>
      <c r="L251" s="31">
        <f>IF($C251="","",IFERROR(IF(INDEX(Deals!$I$2:$I$355,MATCH($C251,Deals!$A$2:$A$355,0))=0,"",INDEX(Deals!$I$2:$I$355,MATCH($C251,Deals!$A$2:$A$355,0))),""))</f>
        <v/>
      </c>
      <c r="M251" s="31">
        <f>IF($C251="","",IFERROR(IF(INDEX(Deals!$J$2:$J$355,MATCH($C251,Deals!$A$2:$A$355,0))=0,"",INDEX(Deals!$J$2:$J$355,MATCH($C251,Deals!$A$2:$A$355,0))),""))</f>
        <v/>
      </c>
      <c r="N251" s="24">
        <f>IF($L251="",DATE(1900,1,1),$L251)</f>
        <v/>
      </c>
      <c r="O251" s="24">
        <f>IF($M251="",DATE(2100,12,31),$M251)</f>
        <v/>
      </c>
      <c r="P251" s="16" t="inlineStr">
        <is>
          <t>Proposal</t>
        </is>
      </c>
      <c r="Q251" s="16" t="inlineStr"/>
      <c r="R251" s="29">
        <f>IF($C251="","",IFERROR(IF(INDEX(Deals!$U$2:$U$355,MATCH($C251,Deals!$A$2:$A$355,0))=0,"",INDEX(Deals!$U$2:$U$355,MATCH($C251,Deals!$A$2:$A$355,0))),""))</f>
        <v/>
      </c>
      <c r="S251" s="22">
        <f>IFERROR(IF($U251="",1,INDEX(Deals!$V$2:$V$355,MATCH($C251,Deals!$A$2:$A$355,0))),1)</f>
        <v/>
      </c>
      <c r="T251" s="22">
        <f>IFERROR(IF($U251="",1,INDEX(Deals!$W$2:$W$355,MATCH($C251,Deals!$A$2:$A$355,0))),1)</f>
        <v/>
      </c>
      <c r="U251" s="31">
        <f>IF($C251="","",IFERROR(IF(INDEX(Deals!$Y$2:$Y$355,MATCH($C251,Deals!$A$2:$A$355,0))=0,"",INDEX(Deals!$Y$2:$Y$355,MATCH($C251,Deals!$A$2:$A$355,0))),""))</f>
        <v/>
      </c>
      <c r="V251" s="24">
        <f>IF($U251="",DATE(1900,1,1),$N251)</f>
        <v/>
      </c>
      <c r="W251" s="24">
        <f>IF($U251="",DATE(2100,12,31),$U251)</f>
        <v/>
      </c>
      <c r="X251" s="20">
        <f>IF($U251="",$K251,$K251*$S251)</f>
        <v/>
      </c>
      <c r="Y251" s="24">
        <f>IF($U251="",DATE(2100,12,31),$U251+1)</f>
        <v/>
      </c>
      <c r="Z251" s="24">
        <f>IF($U251="",DATE(1900,1,1),$O251)</f>
        <v/>
      </c>
      <c r="AA251" s="20">
        <f>IF($U251="",0,$K251*$T251)</f>
        <v/>
      </c>
    </row>
    <row r="252">
      <c r="A252" s="15" t="inlineStr">
        <is>
          <t>Justine</t>
        </is>
      </c>
      <c r="B252" s="29">
        <f>IF($A252="","",IFERROR(INDEX(Roster!$B$2:$B$40,MATCH($A252,Roster!$A$2:$A$40,0)),"?"))</f>
        <v/>
      </c>
      <c r="C252" s="15" t="inlineStr">
        <is>
          <t>Scale Add On</t>
        </is>
      </c>
      <c r="D252" s="29">
        <f>IF($C252="","",IFERROR(IF(INDEX(Deals!$C$2:$C$355,MATCH($C252,Deals!$A$2:$A$355,0))=0,"",INDEX(Deals!$C$2:$C$355,MATCH($C252,Deals!$A$2:$A$355,0))),"?"))</f>
        <v/>
      </c>
      <c r="E252" s="29">
        <f>IF($C252="","",IFERROR(INDEX(Deals!$F$2:$F$355,MATCH($C252,Deals!$A$2:$A$355,0)),"?"))</f>
        <v/>
      </c>
      <c r="F252" s="15" t="inlineStr">
        <is>
          <t>Director</t>
        </is>
      </c>
      <c r="G252" s="15" t="inlineStr">
        <is>
          <t>Active</t>
        </is>
      </c>
      <c r="H252" s="27" t="n"/>
      <c r="I252" s="20">
        <f>IF(OR($A252="",$G252&lt;&gt;"Active"),0,IF($H252&lt;&gt;"",$H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</f>
        <v/>
      </c>
      <c r="J252" s="23">
        <f>IF($C252="",0,IFERROR(INDEX(Deals!$H$2:$H$355,MATCH($C252,Deals!$A$2:$A$355,0)),0))</f>
        <v/>
      </c>
      <c r="K252" s="20">
        <f>IF(Settings!$B$4="Yes",$I252*$J252,$I252)</f>
        <v/>
      </c>
      <c r="L252" s="31">
        <f>IF($C252="","",IFERROR(IF(INDEX(Deals!$I$2:$I$355,MATCH($C252,Deals!$A$2:$A$355,0))=0,"",INDEX(Deals!$I$2:$I$355,MATCH($C252,Deals!$A$2:$A$355,0))),""))</f>
        <v/>
      </c>
      <c r="M252" s="31">
        <f>IF($C252="","",IFERROR(IF(INDEX(Deals!$J$2:$J$355,MATCH($C252,Deals!$A$2:$A$355,0))=0,"",INDEX(Deals!$J$2:$J$355,MATCH($C252,Deals!$A$2:$A$355,0))),""))</f>
        <v/>
      </c>
      <c r="N252" s="24">
        <f>IF($L252="",DATE(1900,1,1),$L252)</f>
        <v/>
      </c>
      <c r="O252" s="24">
        <f>IF($M252="",DATE(2100,12,31),$M252)</f>
        <v/>
      </c>
      <c r="P252" s="16" t="inlineStr">
        <is>
          <t>Proposal - to be coming soon</t>
        </is>
      </c>
      <c r="Q252" s="16" t="inlineStr">
        <is>
          <t>Added from Summary tab</t>
        </is>
      </c>
      <c r="R252" s="29">
        <f>IF($C252="","",IFERROR(IF(INDEX(Deals!$U$2:$U$355,MATCH($C252,Deals!$A$2:$A$355,0))=0,"",INDEX(Deals!$U$2:$U$355,MATCH($C252,Deals!$A$2:$A$355,0))),""))</f>
        <v/>
      </c>
      <c r="S252" s="22">
        <f>IFERROR(IF($U252="",1,INDEX(Deals!$V$2:$V$355,MATCH($C252,Deals!$A$2:$A$355,0))),1)</f>
        <v/>
      </c>
      <c r="T252" s="22">
        <f>IFERROR(IF($U252="",1,INDEX(Deals!$W$2:$W$355,MATCH($C252,Deals!$A$2:$A$355,0))),1)</f>
        <v/>
      </c>
      <c r="U252" s="31">
        <f>IF($C252="","",IFERROR(IF(INDEX(Deals!$Y$2:$Y$355,MATCH($C252,Deals!$A$2:$A$355,0))=0,"",INDEX(Deals!$Y$2:$Y$355,MATCH($C252,Deals!$A$2:$A$355,0))),""))</f>
        <v/>
      </c>
      <c r="V252" s="24">
        <f>IF($U252="",DATE(1900,1,1),$N252)</f>
        <v/>
      </c>
      <c r="W252" s="24">
        <f>IF($U252="",DATE(2100,12,31),$U252)</f>
        <v/>
      </c>
      <c r="X252" s="20">
        <f>IF($U252="",$K252,$K252*$S252)</f>
        <v/>
      </c>
      <c r="Y252" s="24">
        <f>IF($U252="",DATE(2100,12,31),$U252+1)</f>
        <v/>
      </c>
      <c r="Z252" s="24">
        <f>IF($U252="",DATE(1900,1,1),$O252)</f>
        <v/>
      </c>
      <c r="AA252" s="20">
        <f>IF($U252="",0,$K252*$T252)</f>
        <v/>
      </c>
    </row>
    <row r="253">
      <c r="A253" s="15" t="inlineStr">
        <is>
          <t>Justine</t>
        </is>
      </c>
      <c r="B253" s="29">
        <f>IF($A253="","",IFERROR(INDEX(Roster!$B$2:$B$40,MATCH($A253,Roster!$A$2:$A$40,0)),"?"))</f>
        <v/>
      </c>
      <c r="C253" s="15" t="inlineStr">
        <is>
          <t>Scion_1</t>
        </is>
      </c>
      <c r="D253" s="29">
        <f>IF($C253="","",IFERROR(IF(INDEX(Deals!$C$2:$C$355,MATCH($C253,Deals!$A$2:$A$355,0))=0,"",INDEX(Deals!$C$2:$C$355,MATCH($C253,Deals!$A$2:$A$355,0))),"?"))</f>
        <v/>
      </c>
      <c r="E253" s="29">
        <f>IF($C253="","",IFERROR(INDEX(Deals!$F$2:$F$355,MATCH($C253,Deals!$A$2:$A$355,0)),"?"))</f>
        <v/>
      </c>
      <c r="F253" s="15" t="inlineStr">
        <is>
          <t>Director</t>
        </is>
      </c>
      <c r="G253" s="15" t="inlineStr">
        <is>
          <t>Inactive</t>
        </is>
      </c>
      <c r="H253" s="27" t="n"/>
      <c r="I253" s="20">
        <f>IF(OR($A253="",$G253&lt;&gt;"Active"),0,IF($H253&lt;&gt;"",$H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</f>
        <v/>
      </c>
      <c r="J253" s="23">
        <f>IF($C253="",0,IFERROR(INDEX(Deals!$H$2:$H$355,MATCH($C253,Deals!$A$2:$A$355,0)),0))</f>
        <v/>
      </c>
      <c r="K253" s="20">
        <f>IF(Settings!$B$4="Yes",$I253*$J253,$I253)</f>
        <v/>
      </c>
      <c r="L253" s="31">
        <f>IF($C253="","",IFERROR(IF(INDEX(Deals!$I$2:$I$355,MATCH($C253,Deals!$A$2:$A$355,0))=0,"",INDEX(Deals!$I$2:$I$355,MATCH($C253,Deals!$A$2:$A$355,0))),""))</f>
        <v/>
      </c>
      <c r="M253" s="31">
        <f>IF($C253="","",IFERROR(IF(INDEX(Deals!$J$2:$J$355,MATCH($C253,Deals!$A$2:$A$355,0))=0,"",INDEX(Deals!$J$2:$J$355,MATCH($C253,Deals!$A$2:$A$355,0))),""))</f>
        <v/>
      </c>
      <c r="N253" s="24">
        <f>IF($L253="",DATE(1900,1,1),$L253)</f>
        <v/>
      </c>
      <c r="O253" s="24">
        <f>IF($M253="",DATE(2100,12,31),$M253)</f>
        <v/>
      </c>
      <c r="P253" s="16" t="inlineStr">
        <is>
          <t>Closed to be invoiced</t>
        </is>
      </c>
      <c r="Q253" s="16" t="inlineStr"/>
      <c r="R253" s="29">
        <f>IF($C253="","",IFERROR(IF(INDEX(Deals!$U$2:$U$355,MATCH($C253,Deals!$A$2:$A$355,0))=0,"",INDEX(Deals!$U$2:$U$355,MATCH($C253,Deals!$A$2:$A$355,0))),""))</f>
        <v/>
      </c>
      <c r="S253" s="22">
        <f>IFERROR(IF($U253="",1,INDEX(Deals!$V$2:$V$355,MATCH($C253,Deals!$A$2:$A$355,0))),1)</f>
        <v/>
      </c>
      <c r="T253" s="22">
        <f>IFERROR(IF($U253="",1,INDEX(Deals!$W$2:$W$355,MATCH($C253,Deals!$A$2:$A$355,0))),1)</f>
        <v/>
      </c>
      <c r="U253" s="31">
        <f>IF($C253="","",IFERROR(IF(INDEX(Deals!$Y$2:$Y$355,MATCH($C253,Deals!$A$2:$A$355,0))=0,"",INDEX(Deals!$Y$2:$Y$355,MATCH($C253,Deals!$A$2:$A$355,0))),""))</f>
        <v/>
      </c>
      <c r="V253" s="24">
        <f>IF($U253="",DATE(1900,1,1),$N253)</f>
        <v/>
      </c>
      <c r="W253" s="24">
        <f>IF($U253="",DATE(2100,12,31),$U253)</f>
        <v/>
      </c>
      <c r="X253" s="20">
        <f>IF($U253="",$K253,$K253*$S253)</f>
        <v/>
      </c>
      <c r="Y253" s="24">
        <f>IF($U253="",DATE(2100,12,31),$U253+1)</f>
        <v/>
      </c>
      <c r="Z253" s="24">
        <f>IF($U253="",DATE(1900,1,1),$O253)</f>
        <v/>
      </c>
      <c r="AA253" s="20">
        <f>IF($U253="",0,$K253*$T253)</f>
        <v/>
      </c>
    </row>
    <row r="254">
      <c r="A254" s="15" t="inlineStr">
        <is>
          <t>Justine</t>
        </is>
      </c>
      <c r="B254" s="29">
        <f>IF($A254="","",IFERROR(INDEX(Roster!$B$2:$B$40,MATCH($A254,Roster!$A$2:$A$40,0)),"?"))</f>
        <v/>
      </c>
      <c r="C254" s="15" t="inlineStr">
        <is>
          <t>Seven2 PFIC_1</t>
        </is>
      </c>
      <c r="D254" s="29">
        <f>IF($C254="","",IFERROR(IF(INDEX(Deals!$C$2:$C$355,MATCH($C254,Deals!$A$2:$A$355,0))=0,"",INDEX(Deals!$C$2:$C$355,MATCH($C254,Deals!$A$2:$A$355,0))),"?"))</f>
        <v/>
      </c>
      <c r="E254" s="29">
        <f>IF($C254="","",IFERROR(INDEX(Deals!$F$2:$F$355,MATCH($C254,Deals!$A$2:$A$355,0)),"?"))</f>
        <v/>
      </c>
      <c r="F254" s="15" t="inlineStr">
        <is>
          <t>Director</t>
        </is>
      </c>
      <c r="G254" s="15" t="inlineStr">
        <is>
          <t>Inactive</t>
        </is>
      </c>
      <c r="H254" s="27" t="n"/>
      <c r="I254" s="20">
        <f>IF(OR($A254="",$G254&lt;&gt;"Active"),0,IF($H254&lt;&gt;"",$H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</f>
        <v/>
      </c>
      <c r="J254" s="23">
        <f>IF($C254="",0,IFERROR(INDEX(Deals!$H$2:$H$355,MATCH($C254,Deals!$A$2:$A$355,0)),0))</f>
        <v/>
      </c>
      <c r="K254" s="20">
        <f>IF(Settings!$B$4="Yes",$I254*$J254,$I254)</f>
        <v/>
      </c>
      <c r="L254" s="31">
        <f>IF($C254="","",IFERROR(IF(INDEX(Deals!$I$2:$I$355,MATCH($C254,Deals!$A$2:$A$355,0))=0,"",INDEX(Deals!$I$2:$I$355,MATCH($C254,Deals!$A$2:$A$355,0))),""))</f>
        <v/>
      </c>
      <c r="M254" s="31">
        <f>IF($C254="","",IFERROR(IF(INDEX(Deals!$J$2:$J$355,MATCH($C254,Deals!$A$2:$A$355,0))=0,"",INDEX(Deals!$J$2:$J$355,MATCH($C254,Deals!$A$2:$A$355,0))),""))</f>
        <v/>
      </c>
      <c r="N254" s="24">
        <f>IF($L254="",DATE(1900,1,1),$L254)</f>
        <v/>
      </c>
      <c r="O254" s="24">
        <f>IF($M254="",DATE(2100,12,31),$M254)</f>
        <v/>
      </c>
      <c r="P254" s="16" t="inlineStr">
        <is>
          <t>Closed</t>
        </is>
      </c>
      <c r="Q254" s="16" t="inlineStr"/>
      <c r="R254" s="29">
        <f>IF($C254="","",IFERROR(IF(INDEX(Deals!$U$2:$U$355,MATCH($C254,Deals!$A$2:$A$355,0))=0,"",INDEX(Deals!$U$2:$U$355,MATCH($C254,Deals!$A$2:$A$355,0))),""))</f>
        <v/>
      </c>
      <c r="S254" s="22">
        <f>IFERROR(IF($U254="",1,INDEX(Deals!$V$2:$V$355,MATCH($C254,Deals!$A$2:$A$355,0))),1)</f>
        <v/>
      </c>
      <c r="T254" s="22">
        <f>IFERROR(IF($U254="",1,INDEX(Deals!$W$2:$W$355,MATCH($C254,Deals!$A$2:$A$355,0))),1)</f>
        <v/>
      </c>
      <c r="U254" s="31">
        <f>IF($C254="","",IFERROR(IF(INDEX(Deals!$Y$2:$Y$355,MATCH($C254,Deals!$A$2:$A$355,0))=0,"",INDEX(Deals!$Y$2:$Y$355,MATCH($C254,Deals!$A$2:$A$355,0))),""))</f>
        <v/>
      </c>
      <c r="V254" s="24">
        <f>IF($U254="",DATE(1900,1,1),$N254)</f>
        <v/>
      </c>
      <c r="W254" s="24">
        <f>IF($U254="",DATE(2100,12,31),$U254)</f>
        <v/>
      </c>
      <c r="X254" s="20">
        <f>IF($U254="",$K254,$K254*$S254)</f>
        <v/>
      </c>
      <c r="Y254" s="24">
        <f>IF($U254="",DATE(2100,12,31),$U254+1)</f>
        <v/>
      </c>
      <c r="Z254" s="24">
        <f>IF($U254="",DATE(1900,1,1),$O254)</f>
        <v/>
      </c>
      <c r="AA254" s="20">
        <f>IF($U254="",0,$K254*$T254)</f>
        <v/>
      </c>
    </row>
    <row r="255">
      <c r="A255" s="15" t="inlineStr">
        <is>
          <t>Justine</t>
        </is>
      </c>
      <c r="B255" s="29">
        <f>IF($A255="","",IFERROR(INDEX(Roster!$B$2:$B$40,MATCH($A255,Roster!$A$2:$A$40,0)),"?"))</f>
        <v/>
      </c>
      <c r="C255" s="15" t="inlineStr">
        <is>
          <t>Staffing_1</t>
        </is>
      </c>
      <c r="D255" s="29">
        <f>IF($C255="","",IFERROR(IF(INDEX(Deals!$C$2:$C$355,MATCH($C255,Deals!$A$2:$A$355,0))=0,"",INDEX(Deals!$C$2:$C$355,MATCH($C255,Deals!$A$2:$A$355,0))),"?"))</f>
        <v/>
      </c>
      <c r="E255" s="29">
        <f>IF($C255="","",IFERROR(INDEX(Deals!$F$2:$F$355,MATCH($C255,Deals!$A$2:$A$355,0)),"?"))</f>
        <v/>
      </c>
      <c r="F255" s="15" t="inlineStr">
        <is>
          <t>Director</t>
        </is>
      </c>
      <c r="G255" s="15" t="inlineStr">
        <is>
          <t>Inactive</t>
        </is>
      </c>
      <c r="H255" s="27" t="n"/>
      <c r="I255" s="20">
        <f>IF(OR($A255="",$G255&lt;&gt;"Active"),0,IF($H255&lt;&gt;"",$H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</f>
        <v/>
      </c>
      <c r="J255" s="23">
        <f>IF($C255="",0,IFERROR(INDEX(Deals!$H$2:$H$355,MATCH($C255,Deals!$A$2:$A$355,0)),0))</f>
        <v/>
      </c>
      <c r="K255" s="20">
        <f>IF(Settings!$B$4="Yes",$I255*$J255,$I255)</f>
        <v/>
      </c>
      <c r="L255" s="31">
        <f>IF($C255="","",IFERROR(IF(INDEX(Deals!$I$2:$I$355,MATCH($C255,Deals!$A$2:$A$355,0))=0,"",INDEX(Deals!$I$2:$I$355,MATCH($C255,Deals!$A$2:$A$355,0))),""))</f>
        <v/>
      </c>
      <c r="M255" s="31">
        <f>IF($C255="","",IFERROR(IF(INDEX(Deals!$J$2:$J$355,MATCH($C255,Deals!$A$2:$A$355,0))=0,"",INDEX(Deals!$J$2:$J$355,MATCH($C255,Deals!$A$2:$A$355,0))),""))</f>
        <v/>
      </c>
      <c r="N255" s="24">
        <f>IF($L255="",DATE(1900,1,1),$L255)</f>
        <v/>
      </c>
      <c r="O255" s="24">
        <f>IF($M255="",DATE(2100,12,31),$M255)</f>
        <v/>
      </c>
      <c r="P255" s="16" t="inlineStr">
        <is>
          <t>Dead</t>
        </is>
      </c>
      <c r="Q255" s="16" t="inlineStr"/>
      <c r="R255" s="29">
        <f>IF($C255="","",IFERROR(IF(INDEX(Deals!$U$2:$U$355,MATCH($C255,Deals!$A$2:$A$355,0))=0,"",INDEX(Deals!$U$2:$U$355,MATCH($C255,Deals!$A$2:$A$355,0))),""))</f>
        <v/>
      </c>
      <c r="S255" s="22">
        <f>IFERROR(IF($U255="",1,INDEX(Deals!$V$2:$V$355,MATCH($C255,Deals!$A$2:$A$355,0))),1)</f>
        <v/>
      </c>
      <c r="T255" s="22">
        <f>IFERROR(IF($U255="",1,INDEX(Deals!$W$2:$W$355,MATCH($C255,Deals!$A$2:$A$355,0))),1)</f>
        <v/>
      </c>
      <c r="U255" s="31">
        <f>IF($C255="","",IFERROR(IF(INDEX(Deals!$Y$2:$Y$355,MATCH($C255,Deals!$A$2:$A$355,0))=0,"",INDEX(Deals!$Y$2:$Y$355,MATCH($C255,Deals!$A$2:$A$355,0))),""))</f>
        <v/>
      </c>
      <c r="V255" s="24">
        <f>IF($U255="",DATE(1900,1,1),$N255)</f>
        <v/>
      </c>
      <c r="W255" s="24">
        <f>IF($U255="",DATE(2100,12,31),$U255)</f>
        <v/>
      </c>
      <c r="X255" s="20">
        <f>IF($U255="",$K255,$K255*$S255)</f>
        <v/>
      </c>
      <c r="Y255" s="24">
        <f>IF($U255="",DATE(2100,12,31),$U255+1)</f>
        <v/>
      </c>
      <c r="Z255" s="24">
        <f>IF($U255="",DATE(1900,1,1),$O255)</f>
        <v/>
      </c>
      <c r="AA255" s="20">
        <f>IF($U255="",0,$K255*$T255)</f>
        <v/>
      </c>
    </row>
    <row r="256">
      <c r="A256" s="15" t="inlineStr">
        <is>
          <t>Justine</t>
        </is>
      </c>
      <c r="B256" s="29">
        <f>IF($A256="","",IFERROR(INDEX(Roster!$B$2:$B$40,MATCH($A256,Roster!$A$2:$A$40,0)),"?"))</f>
        <v/>
      </c>
      <c r="C256" s="15" t="inlineStr">
        <is>
          <t>Sunrise_5</t>
        </is>
      </c>
      <c r="D256" s="29">
        <f>IF($C256="","",IFERROR(IF(INDEX(Deals!$C$2:$C$355,MATCH($C256,Deals!$A$2:$A$355,0))=0,"",INDEX(Deals!$C$2:$C$355,MATCH($C256,Deals!$A$2:$A$355,0))),"?"))</f>
        <v/>
      </c>
      <c r="E256" s="29">
        <f>IF($C256="","",IFERROR(INDEX(Deals!$F$2:$F$355,MATCH($C256,Deals!$A$2:$A$355,0)),"?"))</f>
        <v/>
      </c>
      <c r="F256" s="15" t="inlineStr">
        <is>
          <t>Director</t>
        </is>
      </c>
      <c r="G256" s="15" t="inlineStr">
        <is>
          <t>Inactive</t>
        </is>
      </c>
      <c r="H256" s="27" t="n"/>
      <c r="I256" s="20">
        <f>IF(OR($A256="",$G256&lt;&gt;"Active"),0,IF($H256&lt;&gt;"",$H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</f>
        <v/>
      </c>
      <c r="J256" s="23">
        <f>IF($C256="",0,IFERROR(INDEX(Deals!$H$2:$H$355,MATCH($C256,Deals!$A$2:$A$355,0)),0))</f>
        <v/>
      </c>
      <c r="K256" s="20">
        <f>IF(Settings!$B$4="Yes",$I256*$J256,$I256)</f>
        <v/>
      </c>
      <c r="L256" s="31">
        <f>IF($C256="","",IFERROR(IF(INDEX(Deals!$I$2:$I$355,MATCH($C256,Deals!$A$2:$A$355,0))=0,"",INDEX(Deals!$I$2:$I$355,MATCH($C256,Deals!$A$2:$A$355,0))),""))</f>
        <v/>
      </c>
      <c r="M256" s="31">
        <f>IF($C256="","",IFERROR(IF(INDEX(Deals!$J$2:$J$355,MATCH($C256,Deals!$A$2:$A$355,0))=0,"",INDEX(Deals!$J$2:$J$355,MATCH($C256,Deals!$A$2:$A$355,0))),""))</f>
        <v/>
      </c>
      <c r="N256" s="24">
        <f>IF($L256="",DATE(1900,1,1),$L256)</f>
        <v/>
      </c>
      <c r="O256" s="24">
        <f>IF($M256="",DATE(2100,12,31),$M256)</f>
        <v/>
      </c>
      <c r="P256" s="16" t="inlineStr">
        <is>
          <t>Dead</t>
        </is>
      </c>
      <c r="Q256" s="16" t="inlineStr"/>
      <c r="R256" s="29">
        <f>IF($C256="","",IFERROR(IF(INDEX(Deals!$U$2:$U$355,MATCH($C256,Deals!$A$2:$A$355,0))=0,"",INDEX(Deals!$U$2:$U$355,MATCH($C256,Deals!$A$2:$A$355,0))),""))</f>
        <v/>
      </c>
      <c r="S256" s="22">
        <f>IFERROR(IF($U256="",1,INDEX(Deals!$V$2:$V$355,MATCH($C256,Deals!$A$2:$A$355,0))),1)</f>
        <v/>
      </c>
      <c r="T256" s="22">
        <f>IFERROR(IF($U256="",1,INDEX(Deals!$W$2:$W$355,MATCH($C256,Deals!$A$2:$A$355,0))),1)</f>
        <v/>
      </c>
      <c r="U256" s="31">
        <f>IF($C256="","",IFERROR(IF(INDEX(Deals!$Y$2:$Y$355,MATCH($C256,Deals!$A$2:$A$355,0))=0,"",INDEX(Deals!$Y$2:$Y$355,MATCH($C256,Deals!$A$2:$A$355,0))),""))</f>
        <v/>
      </c>
      <c r="V256" s="24">
        <f>IF($U256="",DATE(1900,1,1),$N256)</f>
        <v/>
      </c>
      <c r="W256" s="24">
        <f>IF($U256="",DATE(2100,12,31),$U256)</f>
        <v/>
      </c>
      <c r="X256" s="20">
        <f>IF($U256="",$K256,$K256*$S256)</f>
        <v/>
      </c>
      <c r="Y256" s="24">
        <f>IF($U256="",DATE(2100,12,31),$U256+1)</f>
        <v/>
      </c>
      <c r="Z256" s="24">
        <f>IF($U256="",DATE(1900,1,1),$O256)</f>
        <v/>
      </c>
      <c r="AA256" s="20">
        <f>IF($U256="",0,$K256*$T256)</f>
        <v/>
      </c>
    </row>
    <row r="257">
      <c r="A257" s="15" t="inlineStr">
        <is>
          <t>Justine</t>
        </is>
      </c>
      <c r="B257" s="29">
        <f>IF($A257="","",IFERROR(INDEX(Roster!$B$2:$B$40,MATCH($A257,Roster!$A$2:$A$40,0)),"?"))</f>
        <v/>
      </c>
      <c r="C257" s="15" t="inlineStr">
        <is>
          <t>TEP Structuring_3</t>
        </is>
      </c>
      <c r="D257" s="29">
        <f>IF($C257="","",IFERROR(IF(INDEX(Deals!$C$2:$C$355,MATCH($C257,Deals!$A$2:$A$355,0))=0,"",INDEX(Deals!$C$2:$C$355,MATCH($C257,Deals!$A$2:$A$355,0))),"?"))</f>
        <v/>
      </c>
      <c r="E257" s="29">
        <f>IF($C257="","",IFERROR(INDEX(Deals!$F$2:$F$355,MATCH($C257,Deals!$A$2:$A$355,0)),"?"))</f>
        <v/>
      </c>
      <c r="F257" s="15" t="inlineStr">
        <is>
          <t>Director</t>
        </is>
      </c>
      <c r="G257" s="15" t="inlineStr">
        <is>
          <t>Active</t>
        </is>
      </c>
      <c r="H257" s="27" t="n"/>
      <c r="I257" s="20">
        <f>IF(OR($A257="",$G257&lt;&gt;"Active"),0,IF($H257&lt;&gt;"",$H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</f>
        <v/>
      </c>
      <c r="J257" s="23">
        <f>IF($C257="",0,IFERROR(INDEX(Deals!$H$2:$H$355,MATCH($C257,Deals!$A$2:$A$355,0)),0))</f>
        <v/>
      </c>
      <c r="K257" s="20">
        <f>IF(Settings!$B$4="Yes",$I257*$J257,$I257)</f>
        <v/>
      </c>
      <c r="L257" s="31">
        <f>IF($C257="","",IFERROR(IF(INDEX(Deals!$I$2:$I$355,MATCH($C257,Deals!$A$2:$A$355,0))=0,"",INDEX(Deals!$I$2:$I$355,MATCH($C257,Deals!$A$2:$A$355,0))),""))</f>
        <v/>
      </c>
      <c r="M257" s="31">
        <f>IF($C257="","",IFERROR(IF(INDEX(Deals!$J$2:$J$355,MATCH($C257,Deals!$A$2:$A$355,0))=0,"",INDEX(Deals!$J$2:$J$355,MATCH($C257,Deals!$A$2:$A$355,0))),""))</f>
        <v/>
      </c>
      <c r="N257" s="24">
        <f>IF($L257="",DATE(1900,1,1),$L257)</f>
        <v/>
      </c>
      <c r="O257" s="24">
        <f>IF($M257="",DATE(2100,12,31),$M257)</f>
        <v/>
      </c>
      <c r="P257" s="16" t="inlineStr">
        <is>
          <t>Ongoing ad-hod</t>
        </is>
      </c>
      <c r="Q257" s="16" t="inlineStr"/>
      <c r="R257" s="29">
        <f>IF($C257="","",IFERROR(IF(INDEX(Deals!$U$2:$U$355,MATCH($C257,Deals!$A$2:$A$355,0))=0,"",INDEX(Deals!$U$2:$U$355,MATCH($C257,Deals!$A$2:$A$355,0))),""))</f>
        <v/>
      </c>
      <c r="S257" s="22">
        <f>IFERROR(IF($U257="",1,INDEX(Deals!$V$2:$V$355,MATCH($C257,Deals!$A$2:$A$355,0))),1)</f>
        <v/>
      </c>
      <c r="T257" s="22">
        <f>IFERROR(IF($U257="",1,INDEX(Deals!$W$2:$W$355,MATCH($C257,Deals!$A$2:$A$355,0))),1)</f>
        <v/>
      </c>
      <c r="U257" s="31">
        <f>IF($C257="","",IFERROR(IF(INDEX(Deals!$Y$2:$Y$355,MATCH($C257,Deals!$A$2:$A$355,0))=0,"",INDEX(Deals!$Y$2:$Y$355,MATCH($C257,Deals!$A$2:$A$355,0))),""))</f>
        <v/>
      </c>
      <c r="V257" s="24">
        <f>IF($U257="",DATE(1900,1,1),$N257)</f>
        <v/>
      </c>
      <c r="W257" s="24">
        <f>IF($U257="",DATE(2100,12,31),$U257)</f>
        <v/>
      </c>
      <c r="X257" s="20">
        <f>IF($U257="",$K257,$K257*$S257)</f>
        <v/>
      </c>
      <c r="Y257" s="24">
        <f>IF($U257="",DATE(2100,12,31),$U257+1)</f>
        <v/>
      </c>
      <c r="Z257" s="24">
        <f>IF($U257="",DATE(1900,1,1),$O257)</f>
        <v/>
      </c>
      <c r="AA257" s="20">
        <f>IF($U257="",0,$K257*$T257)</f>
        <v/>
      </c>
    </row>
    <row r="258">
      <c r="A258" s="15" t="inlineStr">
        <is>
          <t>Justine</t>
        </is>
      </c>
      <c r="B258" s="29">
        <f>IF($A258="","",IFERROR(INDEX(Roster!$B$2:$B$40,MATCH($A258,Roster!$A$2:$A$40,0)),"?"))</f>
        <v/>
      </c>
      <c r="C258" s="15" t="inlineStr">
        <is>
          <t>Theta_1</t>
        </is>
      </c>
      <c r="D258" s="29">
        <f>IF($C258="","",IFERROR(IF(INDEX(Deals!$C$2:$C$355,MATCH($C258,Deals!$A$2:$A$355,0))=0,"",INDEX(Deals!$C$2:$C$355,MATCH($C258,Deals!$A$2:$A$355,0))),"?"))</f>
        <v/>
      </c>
      <c r="E258" s="29">
        <f>IF($C258="","",IFERROR(INDEX(Deals!$F$2:$F$355,MATCH($C258,Deals!$A$2:$A$355,0)),"?"))</f>
        <v/>
      </c>
      <c r="F258" s="15" t="inlineStr">
        <is>
          <t>Director</t>
        </is>
      </c>
      <c r="G258" s="15" t="inlineStr">
        <is>
          <t>Active</t>
        </is>
      </c>
      <c r="H258" s="27" t="n"/>
      <c r="I258" s="20">
        <f>IF(OR($A258="",$G258&lt;&gt;"Active"),0,IF($H258&lt;&gt;"",$H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</f>
        <v/>
      </c>
      <c r="J258" s="23">
        <f>IF($C258="",0,IFERROR(INDEX(Deals!$H$2:$H$355,MATCH($C258,Deals!$A$2:$A$355,0)),0))</f>
        <v/>
      </c>
      <c r="K258" s="20">
        <f>IF(Settings!$B$4="Yes",$I258*$J258,$I258)</f>
        <v/>
      </c>
      <c r="L258" s="31">
        <f>IF($C258="","",IFERROR(IF(INDEX(Deals!$I$2:$I$355,MATCH($C258,Deals!$A$2:$A$355,0))=0,"",INDEX(Deals!$I$2:$I$355,MATCH($C258,Deals!$A$2:$A$355,0))),""))</f>
        <v/>
      </c>
      <c r="M258" s="31">
        <f>IF($C258="","",IFERROR(IF(INDEX(Deals!$J$2:$J$355,MATCH($C258,Deals!$A$2:$A$355,0))=0,"",INDEX(Deals!$J$2:$J$355,MATCH($C258,Deals!$A$2:$A$355,0))),""))</f>
        <v/>
      </c>
      <c r="N258" s="24">
        <f>IF($L258="",DATE(1900,1,1),$L258)</f>
        <v/>
      </c>
      <c r="O258" s="24">
        <f>IF($M258="",DATE(2100,12,31),$M258)</f>
        <v/>
      </c>
      <c r="P258" s="16" t="inlineStr">
        <is>
          <t>Proposal</t>
        </is>
      </c>
      <c r="Q258" s="16" t="inlineStr">
        <is>
          <t>Added from Summary tab</t>
        </is>
      </c>
      <c r="R258" s="29">
        <f>IF($C258="","",IFERROR(IF(INDEX(Deals!$U$2:$U$355,MATCH($C258,Deals!$A$2:$A$355,0))=0,"",INDEX(Deals!$U$2:$U$355,MATCH($C258,Deals!$A$2:$A$355,0))),""))</f>
        <v/>
      </c>
      <c r="S258" s="22">
        <f>IFERROR(IF($U258="",1,INDEX(Deals!$V$2:$V$355,MATCH($C258,Deals!$A$2:$A$355,0))),1)</f>
        <v/>
      </c>
      <c r="T258" s="22">
        <f>IFERROR(IF($U258="",1,INDEX(Deals!$W$2:$W$355,MATCH($C258,Deals!$A$2:$A$355,0))),1)</f>
        <v/>
      </c>
      <c r="U258" s="31">
        <f>IF($C258="","",IFERROR(IF(INDEX(Deals!$Y$2:$Y$355,MATCH($C258,Deals!$A$2:$A$355,0))=0,"",INDEX(Deals!$Y$2:$Y$355,MATCH($C258,Deals!$A$2:$A$355,0))),""))</f>
        <v/>
      </c>
      <c r="V258" s="24">
        <f>IF($U258="",DATE(1900,1,1),$N258)</f>
        <v/>
      </c>
      <c r="W258" s="24">
        <f>IF($U258="",DATE(2100,12,31),$U258)</f>
        <v/>
      </c>
      <c r="X258" s="20">
        <f>IF($U258="",$K258,$K258*$S258)</f>
        <v/>
      </c>
      <c r="Y258" s="24">
        <f>IF($U258="",DATE(2100,12,31),$U258+1)</f>
        <v/>
      </c>
      <c r="Z258" s="24">
        <f>IF($U258="",DATE(1900,1,1),$O258)</f>
        <v/>
      </c>
      <c r="AA258" s="20">
        <f>IF($U258="",0,$K258*$T258)</f>
        <v/>
      </c>
    </row>
    <row r="259">
      <c r="A259" s="15" t="inlineStr">
        <is>
          <t>Justine</t>
        </is>
      </c>
      <c r="B259" s="29">
        <f>IF($A259="","",IFERROR(INDEX(Roster!$B$2:$B$40,MATCH($A259,Roster!$A$2:$A$40,0)),"?"))</f>
        <v/>
      </c>
      <c r="C259" s="15" t="inlineStr">
        <is>
          <t>TP Assistance_1</t>
        </is>
      </c>
      <c r="D259" s="29">
        <f>IF($C259="","",IFERROR(IF(INDEX(Deals!$C$2:$C$355,MATCH($C259,Deals!$A$2:$A$355,0))=0,"",INDEX(Deals!$C$2:$C$355,MATCH($C259,Deals!$A$2:$A$355,0))),"?"))</f>
        <v/>
      </c>
      <c r="E259" s="29">
        <f>IF($C259="","",IFERROR(INDEX(Deals!$F$2:$F$355,MATCH($C259,Deals!$A$2:$A$355,0)),"?"))</f>
        <v/>
      </c>
      <c r="F259" s="15" t="inlineStr">
        <is>
          <t>Director</t>
        </is>
      </c>
      <c r="G259" s="15" t="inlineStr">
        <is>
          <t>Active</t>
        </is>
      </c>
      <c r="H259" s="27" t="n"/>
      <c r="I259" s="20">
        <f>IF(OR($A259="",$G259&lt;&gt;"Active"),0,IF($H259&lt;&gt;"",$H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</f>
        <v/>
      </c>
      <c r="J259" s="23">
        <f>IF($C259="",0,IFERROR(INDEX(Deals!$H$2:$H$355,MATCH($C259,Deals!$A$2:$A$355,0)),0))</f>
        <v/>
      </c>
      <c r="K259" s="20">
        <f>IF(Settings!$B$4="Yes",$I259*$J259,$I259)</f>
        <v/>
      </c>
      <c r="L259" s="31">
        <f>IF($C259="","",IFERROR(IF(INDEX(Deals!$I$2:$I$355,MATCH($C259,Deals!$A$2:$A$355,0))=0,"",INDEX(Deals!$I$2:$I$355,MATCH($C259,Deals!$A$2:$A$355,0))),""))</f>
        <v/>
      </c>
      <c r="M259" s="31">
        <f>IF($C259="","",IFERROR(IF(INDEX(Deals!$J$2:$J$355,MATCH($C259,Deals!$A$2:$A$355,0))=0,"",INDEX(Deals!$J$2:$J$355,MATCH($C259,Deals!$A$2:$A$355,0))),""))</f>
        <v/>
      </c>
      <c r="N259" s="24">
        <f>IF($L259="",DATE(1900,1,1),$L259)</f>
        <v/>
      </c>
      <c r="O259" s="24">
        <f>IF($M259="",DATE(2100,12,31),$M259)</f>
        <v/>
      </c>
      <c r="P259" s="16" t="inlineStr">
        <is>
          <t>Proposal</t>
        </is>
      </c>
      <c r="Q259" s="16" t="inlineStr"/>
      <c r="R259" s="29">
        <f>IF($C259="","",IFERROR(IF(INDEX(Deals!$U$2:$U$355,MATCH($C259,Deals!$A$2:$A$355,0))=0,"",INDEX(Deals!$U$2:$U$355,MATCH($C259,Deals!$A$2:$A$355,0))),""))</f>
        <v/>
      </c>
      <c r="S259" s="22">
        <f>IFERROR(IF($U259="",1,INDEX(Deals!$V$2:$V$355,MATCH($C259,Deals!$A$2:$A$355,0))),1)</f>
        <v/>
      </c>
      <c r="T259" s="22">
        <f>IFERROR(IF($U259="",1,INDEX(Deals!$W$2:$W$355,MATCH($C259,Deals!$A$2:$A$355,0))),1)</f>
        <v/>
      </c>
      <c r="U259" s="31">
        <f>IF($C259="","",IFERROR(IF(INDEX(Deals!$Y$2:$Y$355,MATCH($C259,Deals!$A$2:$A$355,0))=0,"",INDEX(Deals!$Y$2:$Y$355,MATCH($C259,Deals!$A$2:$A$355,0))),""))</f>
        <v/>
      </c>
      <c r="V259" s="24">
        <f>IF($U259="",DATE(1900,1,1),$N259)</f>
        <v/>
      </c>
      <c r="W259" s="24">
        <f>IF($U259="",DATE(2100,12,31),$U259)</f>
        <v/>
      </c>
      <c r="X259" s="20">
        <f>IF($U259="",$K259,$K259*$S259)</f>
        <v/>
      </c>
      <c r="Y259" s="24">
        <f>IF($U259="",DATE(2100,12,31),$U259+1)</f>
        <v/>
      </c>
      <c r="Z259" s="24">
        <f>IF($U259="",DATE(1900,1,1),$O259)</f>
        <v/>
      </c>
      <c r="AA259" s="20">
        <f>IF($U259="",0,$K259*$T259)</f>
        <v/>
      </c>
    </row>
    <row r="260">
      <c r="A260" s="15" t="inlineStr">
        <is>
          <t>Justine</t>
        </is>
      </c>
      <c r="B260" s="29">
        <f>IF($A260="","",IFERROR(INDEX(Roster!$B$2:$B$40,MATCH($A260,Roster!$A$2:$A$40,0)),"?"))</f>
        <v/>
      </c>
      <c r="C260" s="15" t="inlineStr">
        <is>
          <t>US Investment_1</t>
        </is>
      </c>
      <c r="D260" s="29">
        <f>IF($C260="","",IFERROR(IF(INDEX(Deals!$C$2:$C$355,MATCH($C260,Deals!$A$2:$A$355,0))=0,"",INDEX(Deals!$C$2:$C$355,MATCH($C260,Deals!$A$2:$A$355,0))),"?"))</f>
        <v/>
      </c>
      <c r="E260" s="29">
        <f>IF($C260="","",IFERROR(INDEX(Deals!$F$2:$F$355,MATCH($C260,Deals!$A$2:$A$355,0)),"?"))</f>
        <v/>
      </c>
      <c r="F260" s="15" t="inlineStr">
        <is>
          <t>Director</t>
        </is>
      </c>
      <c r="G260" s="15" t="inlineStr">
        <is>
          <t>Active</t>
        </is>
      </c>
      <c r="H260" s="27" t="n"/>
      <c r="I260" s="20">
        <f>IF(OR($A260="",$G260&lt;&gt;"Active"),0,IF($H260&lt;&gt;"",$H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</f>
        <v/>
      </c>
      <c r="J260" s="23">
        <f>IF($C260="",0,IFERROR(INDEX(Deals!$H$2:$H$355,MATCH($C260,Deals!$A$2:$A$355,0)),0))</f>
        <v/>
      </c>
      <c r="K260" s="20">
        <f>IF(Settings!$B$4="Yes",$I260*$J260,$I260)</f>
        <v/>
      </c>
      <c r="L260" s="31">
        <f>IF($C260="","",IFERROR(IF(INDEX(Deals!$I$2:$I$355,MATCH($C260,Deals!$A$2:$A$355,0))=0,"",INDEX(Deals!$I$2:$I$355,MATCH($C260,Deals!$A$2:$A$355,0))),""))</f>
        <v/>
      </c>
      <c r="M260" s="31">
        <f>IF($C260="","",IFERROR(IF(INDEX(Deals!$J$2:$J$355,MATCH($C260,Deals!$A$2:$A$355,0))=0,"",INDEX(Deals!$J$2:$J$355,MATCH($C260,Deals!$A$2:$A$355,0))),""))</f>
        <v/>
      </c>
      <c r="N260" s="24">
        <f>IF($L260="",DATE(1900,1,1),$L260)</f>
        <v/>
      </c>
      <c r="O260" s="24">
        <f>IF($M260="",DATE(2100,12,31),$M260)</f>
        <v/>
      </c>
      <c r="P260" s="16" t="inlineStr">
        <is>
          <t>Proposal</t>
        </is>
      </c>
      <c r="Q260" s="16" t="inlineStr"/>
      <c r="R260" s="29">
        <f>IF($C260="","",IFERROR(IF(INDEX(Deals!$U$2:$U$355,MATCH($C260,Deals!$A$2:$A$355,0))=0,"",INDEX(Deals!$U$2:$U$355,MATCH($C260,Deals!$A$2:$A$355,0))),""))</f>
        <v/>
      </c>
      <c r="S260" s="22">
        <f>IFERROR(IF($U260="",1,INDEX(Deals!$V$2:$V$355,MATCH($C260,Deals!$A$2:$A$355,0))),1)</f>
        <v/>
      </c>
      <c r="T260" s="22">
        <f>IFERROR(IF($U260="",1,INDEX(Deals!$W$2:$W$355,MATCH($C260,Deals!$A$2:$A$355,0))),1)</f>
        <v/>
      </c>
      <c r="U260" s="31">
        <f>IF($C260="","",IFERROR(IF(INDEX(Deals!$Y$2:$Y$355,MATCH($C260,Deals!$A$2:$A$355,0))=0,"",INDEX(Deals!$Y$2:$Y$355,MATCH($C260,Deals!$A$2:$A$355,0))),""))</f>
        <v/>
      </c>
      <c r="V260" s="24">
        <f>IF($U260="",DATE(1900,1,1),$N260)</f>
        <v/>
      </c>
      <c r="W260" s="24">
        <f>IF($U260="",DATE(2100,12,31),$U260)</f>
        <v/>
      </c>
      <c r="X260" s="20">
        <f>IF($U260="",$K260,$K260*$S260)</f>
        <v/>
      </c>
      <c r="Y260" s="24">
        <f>IF($U260="",DATE(2100,12,31),$U260+1)</f>
        <v/>
      </c>
      <c r="Z260" s="24">
        <f>IF($U260="",DATE(1900,1,1),$O260)</f>
        <v/>
      </c>
      <c r="AA260" s="20">
        <f>IF($U260="",0,$K260*$T260)</f>
        <v/>
      </c>
    </row>
    <row r="261">
      <c r="A261" s="15" t="inlineStr">
        <is>
          <t>Justine</t>
        </is>
      </c>
      <c r="B261" s="29">
        <f>IF($A261="","",IFERROR(INDEX(Roster!$B$2:$B$40,MATCH($A261,Roster!$A$2:$A$40,0)),"?"))</f>
        <v/>
      </c>
      <c r="C261" s="15" t="inlineStr">
        <is>
          <t>US Restructuring_1</t>
        </is>
      </c>
      <c r="D261" s="29">
        <f>IF($C261="","",IFERROR(IF(INDEX(Deals!$C$2:$C$355,MATCH($C261,Deals!$A$2:$A$355,0))=0,"",INDEX(Deals!$C$2:$C$355,MATCH($C261,Deals!$A$2:$A$355,0))),"?"))</f>
        <v/>
      </c>
      <c r="E261" s="29">
        <f>IF($C261="","",IFERROR(INDEX(Deals!$F$2:$F$355,MATCH($C261,Deals!$A$2:$A$355,0)),"?"))</f>
        <v/>
      </c>
      <c r="F261" s="15" t="inlineStr">
        <is>
          <t>Director</t>
        </is>
      </c>
      <c r="G261" s="15" t="inlineStr">
        <is>
          <t>Inactive</t>
        </is>
      </c>
      <c r="H261" s="27" t="n"/>
      <c r="I261" s="20">
        <f>IF(OR($A261="",$G261&lt;&gt;"Active"),0,IF($H261&lt;&gt;"",$H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</f>
        <v/>
      </c>
      <c r="J261" s="23">
        <f>IF($C261="",0,IFERROR(INDEX(Deals!$H$2:$H$355,MATCH($C261,Deals!$A$2:$A$355,0)),0))</f>
        <v/>
      </c>
      <c r="K261" s="20">
        <f>IF(Settings!$B$4="Yes",$I261*$J261,$I261)</f>
        <v/>
      </c>
      <c r="L261" s="31">
        <f>IF($C261="","",IFERROR(IF(INDEX(Deals!$I$2:$I$355,MATCH($C261,Deals!$A$2:$A$355,0))=0,"",INDEX(Deals!$I$2:$I$355,MATCH($C261,Deals!$A$2:$A$355,0))),""))</f>
        <v/>
      </c>
      <c r="M261" s="31">
        <f>IF($C261="","",IFERROR(IF(INDEX(Deals!$J$2:$J$355,MATCH($C261,Deals!$A$2:$A$355,0))=0,"",INDEX(Deals!$J$2:$J$355,MATCH($C261,Deals!$A$2:$A$355,0))),""))</f>
        <v/>
      </c>
      <c r="N261" s="24">
        <f>IF($L261="",DATE(1900,1,1),$L261)</f>
        <v/>
      </c>
      <c r="O261" s="24">
        <f>IF($M261="",DATE(2100,12,31),$M261)</f>
        <v/>
      </c>
      <c r="P261" s="16" t="inlineStr">
        <is>
          <t>Closed</t>
        </is>
      </c>
      <c r="Q261" s="16" t="inlineStr"/>
      <c r="R261" s="29">
        <f>IF($C261="","",IFERROR(IF(INDEX(Deals!$U$2:$U$355,MATCH($C261,Deals!$A$2:$A$355,0))=0,"",INDEX(Deals!$U$2:$U$355,MATCH($C261,Deals!$A$2:$A$355,0))),""))</f>
        <v/>
      </c>
      <c r="S261" s="22">
        <f>IFERROR(IF($U261="",1,INDEX(Deals!$V$2:$V$355,MATCH($C261,Deals!$A$2:$A$355,0))),1)</f>
        <v/>
      </c>
      <c r="T261" s="22">
        <f>IFERROR(IF($U261="",1,INDEX(Deals!$W$2:$W$355,MATCH($C261,Deals!$A$2:$A$355,0))),1)</f>
        <v/>
      </c>
      <c r="U261" s="31">
        <f>IF($C261="","",IFERROR(IF(INDEX(Deals!$Y$2:$Y$355,MATCH($C261,Deals!$A$2:$A$355,0))=0,"",INDEX(Deals!$Y$2:$Y$355,MATCH($C261,Deals!$A$2:$A$355,0))),""))</f>
        <v/>
      </c>
      <c r="V261" s="24">
        <f>IF($U261="",DATE(1900,1,1),$N261)</f>
        <v/>
      </c>
      <c r="W261" s="24">
        <f>IF($U261="",DATE(2100,12,31),$U261)</f>
        <v/>
      </c>
      <c r="X261" s="20">
        <f>IF($U261="",$K261,$K261*$S261)</f>
        <v/>
      </c>
      <c r="Y261" s="24">
        <f>IF($U261="",DATE(2100,12,31),$U261+1)</f>
        <v/>
      </c>
      <c r="Z261" s="24">
        <f>IF($U261="",DATE(1900,1,1),$O261)</f>
        <v/>
      </c>
      <c r="AA261" s="20">
        <f>IF($U261="",0,$K261*$T261)</f>
        <v/>
      </c>
    </row>
    <row r="262">
      <c r="A262" s="15" t="inlineStr">
        <is>
          <t>Justine</t>
        </is>
      </c>
      <c r="B262" s="29">
        <f>IF($A262="","",IFERROR(INDEX(Roster!$B$2:$B$40,MATCH($A262,Roster!$A$2:$A$40,0)),"?"))</f>
        <v/>
      </c>
      <c r="C262" s="15" t="inlineStr">
        <is>
          <t>WASP_2</t>
        </is>
      </c>
      <c r="D262" s="29">
        <f>IF($C262="","",IFERROR(IF(INDEX(Deals!$C$2:$C$355,MATCH($C262,Deals!$A$2:$A$355,0))=0,"",INDEX(Deals!$C$2:$C$355,MATCH($C262,Deals!$A$2:$A$355,0))),"?"))</f>
        <v/>
      </c>
      <c r="E262" s="29">
        <f>IF($C262="","",IFERROR(INDEX(Deals!$F$2:$F$355,MATCH($C262,Deals!$A$2:$A$355,0)),"?"))</f>
        <v/>
      </c>
      <c r="F262" s="15" t="inlineStr">
        <is>
          <t>Director</t>
        </is>
      </c>
      <c r="G262" s="15" t="inlineStr">
        <is>
          <t>Active</t>
        </is>
      </c>
      <c r="H262" s="27" t="n"/>
      <c r="I262" s="20">
        <f>IF(OR($A262="",$G262&lt;&gt;"Active"),0,IF($H262&lt;&gt;"",$H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</f>
        <v/>
      </c>
      <c r="J262" s="23">
        <f>IF($C262="",0,IFERROR(INDEX(Deals!$H$2:$H$355,MATCH($C262,Deals!$A$2:$A$355,0)),0))</f>
        <v/>
      </c>
      <c r="K262" s="20">
        <f>IF(Settings!$B$4="Yes",$I262*$J262,$I262)</f>
        <v/>
      </c>
      <c r="L262" s="31">
        <f>IF($C262="","",IFERROR(IF(INDEX(Deals!$I$2:$I$355,MATCH($C262,Deals!$A$2:$A$355,0))=0,"",INDEX(Deals!$I$2:$I$355,MATCH($C262,Deals!$A$2:$A$355,0))),""))</f>
        <v/>
      </c>
      <c r="M262" s="31">
        <f>IF($C262="","",IFERROR(IF(INDEX(Deals!$J$2:$J$355,MATCH($C262,Deals!$A$2:$A$355,0))=0,"",INDEX(Deals!$J$2:$J$355,MATCH($C262,Deals!$A$2:$A$355,0))),""))</f>
        <v/>
      </c>
      <c r="N262" s="24">
        <f>IF($L262="",DATE(1900,1,1),$L262)</f>
        <v/>
      </c>
      <c r="O262" s="24">
        <f>IF($M262="",DATE(2100,12,31),$M262)</f>
        <v/>
      </c>
      <c r="P262" s="16" t="inlineStr">
        <is>
          <t>Ongoing</t>
        </is>
      </c>
      <c r="Q262" s="16" t="inlineStr"/>
      <c r="R262" s="29">
        <f>IF($C262="","",IFERROR(IF(INDEX(Deals!$U$2:$U$355,MATCH($C262,Deals!$A$2:$A$355,0))=0,"",INDEX(Deals!$U$2:$U$355,MATCH($C262,Deals!$A$2:$A$355,0))),""))</f>
        <v/>
      </c>
      <c r="S262" s="22">
        <f>IFERROR(IF($U262="",1,INDEX(Deals!$V$2:$V$355,MATCH($C262,Deals!$A$2:$A$355,0))),1)</f>
        <v/>
      </c>
      <c r="T262" s="22">
        <f>IFERROR(IF($U262="",1,INDEX(Deals!$W$2:$W$355,MATCH($C262,Deals!$A$2:$A$355,0))),1)</f>
        <v/>
      </c>
      <c r="U262" s="31">
        <f>IF($C262="","",IFERROR(IF(INDEX(Deals!$Y$2:$Y$355,MATCH($C262,Deals!$A$2:$A$355,0))=0,"",INDEX(Deals!$Y$2:$Y$355,MATCH($C262,Deals!$A$2:$A$355,0))),""))</f>
        <v/>
      </c>
      <c r="V262" s="24">
        <f>IF($U262="",DATE(1900,1,1),$N262)</f>
        <v/>
      </c>
      <c r="W262" s="24">
        <f>IF($U262="",DATE(2100,12,31),$U262)</f>
        <v/>
      </c>
      <c r="X262" s="20">
        <f>IF($U262="",$K262,$K262*$S262)</f>
        <v/>
      </c>
      <c r="Y262" s="24">
        <f>IF($U262="",DATE(2100,12,31),$U262+1)</f>
        <v/>
      </c>
      <c r="Z262" s="24">
        <f>IF($U262="",DATE(1900,1,1),$O262)</f>
        <v/>
      </c>
      <c r="AA262" s="20">
        <f>IF($U262="",0,$K262*$T262)</f>
        <v/>
      </c>
    </row>
    <row r="263">
      <c r="A263" s="15" t="inlineStr">
        <is>
          <t>Justine</t>
        </is>
      </c>
      <c r="B263" s="29">
        <f>IF($A263="","",IFERROR(INDEX(Roster!$B$2:$B$40,MATCH($A263,Roster!$A$2:$A$40,0)),"?"))</f>
        <v/>
      </c>
      <c r="C263" s="15" t="inlineStr">
        <is>
          <t>Westfold</t>
        </is>
      </c>
      <c r="D263" s="29">
        <f>IF($C263="","",IFERROR(IF(INDEX(Deals!$C$2:$C$355,MATCH($C263,Deals!$A$2:$A$355,0))=0,"",INDEX(Deals!$C$2:$C$355,MATCH($C263,Deals!$A$2:$A$355,0))),"?"))</f>
        <v/>
      </c>
      <c r="E263" s="29">
        <f>IF($C263="","",IFERROR(INDEX(Deals!$F$2:$F$355,MATCH($C263,Deals!$A$2:$A$355,0)),"?"))</f>
        <v/>
      </c>
      <c r="F263" s="15" t="inlineStr">
        <is>
          <t>Director</t>
        </is>
      </c>
      <c r="G263" s="15" t="inlineStr">
        <is>
          <t>Active</t>
        </is>
      </c>
      <c r="H263" s="27" t="n"/>
      <c r="I263" s="20">
        <f>IF(OR($A263="",$G263&lt;&gt;"Active"),0,IF($H263&lt;&gt;"",$H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</f>
        <v/>
      </c>
      <c r="J263" s="23">
        <f>IF($C263="",0,IFERROR(INDEX(Deals!$H$2:$H$355,MATCH($C263,Deals!$A$2:$A$355,0)),0))</f>
        <v/>
      </c>
      <c r="K263" s="20">
        <f>IF(Settings!$B$4="Yes",$I263*$J263,$I263)</f>
        <v/>
      </c>
      <c r="L263" s="31">
        <f>IF($C263="","",IFERROR(IF(INDEX(Deals!$I$2:$I$355,MATCH($C263,Deals!$A$2:$A$355,0))=0,"",INDEX(Deals!$I$2:$I$355,MATCH($C263,Deals!$A$2:$A$355,0))),""))</f>
        <v/>
      </c>
      <c r="M263" s="31">
        <f>IF($C263="","",IFERROR(IF(INDEX(Deals!$J$2:$J$355,MATCH($C263,Deals!$A$2:$A$355,0))=0,"",INDEX(Deals!$J$2:$J$355,MATCH($C263,Deals!$A$2:$A$355,0))),""))</f>
        <v/>
      </c>
      <c r="N263" s="24">
        <f>IF($L263="",DATE(1900,1,1),$L263)</f>
        <v/>
      </c>
      <c r="O263" s="24">
        <f>IF($M263="",DATE(2100,12,31),$M263)</f>
        <v/>
      </c>
      <c r="P263" s="16" t="inlineStr">
        <is>
          <t>Ongoing</t>
        </is>
      </c>
      <c r="Q263" s="16" t="inlineStr">
        <is>
          <t>Added from Summary tab</t>
        </is>
      </c>
      <c r="R263" s="29">
        <f>IF($C263="","",IFERROR(IF(INDEX(Deals!$U$2:$U$355,MATCH($C263,Deals!$A$2:$A$355,0))=0,"",INDEX(Deals!$U$2:$U$355,MATCH($C263,Deals!$A$2:$A$355,0))),""))</f>
        <v/>
      </c>
      <c r="S263" s="22">
        <f>IFERROR(IF($U263="",1,INDEX(Deals!$V$2:$V$355,MATCH($C263,Deals!$A$2:$A$355,0))),1)</f>
        <v/>
      </c>
      <c r="T263" s="22">
        <f>IFERROR(IF($U263="",1,INDEX(Deals!$W$2:$W$355,MATCH($C263,Deals!$A$2:$A$355,0))),1)</f>
        <v/>
      </c>
      <c r="U263" s="31">
        <f>IF($C263="","",IFERROR(IF(INDEX(Deals!$Y$2:$Y$355,MATCH($C263,Deals!$A$2:$A$355,0))=0,"",INDEX(Deals!$Y$2:$Y$355,MATCH($C263,Deals!$A$2:$A$355,0))),""))</f>
        <v/>
      </c>
      <c r="V263" s="24">
        <f>IF($U263="",DATE(1900,1,1),$N263)</f>
        <v/>
      </c>
      <c r="W263" s="24">
        <f>IF($U263="",DATE(2100,12,31),$U263)</f>
        <v/>
      </c>
      <c r="X263" s="20">
        <f>IF($U263="",$K263,$K263*$S263)</f>
        <v/>
      </c>
      <c r="Y263" s="24">
        <f>IF($U263="",DATE(2100,12,31),$U263+1)</f>
        <v/>
      </c>
      <c r="Z263" s="24">
        <f>IF($U263="",DATE(1900,1,1),$O263)</f>
        <v/>
      </c>
      <c r="AA263" s="20">
        <f>IF($U263="",0,$K263*$T263)</f>
        <v/>
      </c>
    </row>
    <row r="264">
      <c r="A264" s="15" t="inlineStr">
        <is>
          <t>Justine</t>
        </is>
      </c>
      <c r="B264" s="29">
        <f>IF($A264="","",IFERROR(INDEX(Roster!$B$2:$B$40,MATCH($A264,Roster!$A$2:$A$40,0)),"?"))</f>
        <v/>
      </c>
      <c r="C264" s="15" t="inlineStr">
        <is>
          <t>Wolverine_4</t>
        </is>
      </c>
      <c r="D264" s="29">
        <f>IF($C264="","",IFERROR(IF(INDEX(Deals!$C$2:$C$355,MATCH($C264,Deals!$A$2:$A$355,0))=0,"",INDEX(Deals!$C$2:$C$355,MATCH($C264,Deals!$A$2:$A$355,0))),"?"))</f>
        <v/>
      </c>
      <c r="E264" s="29">
        <f>IF($C264="","",IFERROR(INDEX(Deals!$F$2:$F$355,MATCH($C264,Deals!$A$2:$A$355,0)),"?"))</f>
        <v/>
      </c>
      <c r="F264" s="15" t="inlineStr">
        <is>
          <t>Director</t>
        </is>
      </c>
      <c r="G264" s="15" t="inlineStr">
        <is>
          <t>Active</t>
        </is>
      </c>
      <c r="H264" s="27" t="n"/>
      <c r="I264" s="20">
        <f>IF(OR($A264="",$G264&lt;&gt;"Active"),0,IF($H264&lt;&gt;"",$H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</f>
        <v/>
      </c>
      <c r="J264" s="23">
        <f>IF($C264="",0,IFERROR(INDEX(Deals!$H$2:$H$355,MATCH($C264,Deals!$A$2:$A$355,0)),0))</f>
        <v/>
      </c>
      <c r="K264" s="20">
        <f>IF(Settings!$B$4="Yes",$I264*$J264,$I264)</f>
        <v/>
      </c>
      <c r="L264" s="31">
        <f>IF($C264="","",IFERROR(IF(INDEX(Deals!$I$2:$I$355,MATCH($C264,Deals!$A$2:$A$355,0))=0,"",INDEX(Deals!$I$2:$I$355,MATCH($C264,Deals!$A$2:$A$355,0))),""))</f>
        <v/>
      </c>
      <c r="M264" s="31">
        <f>IF($C264="","",IFERROR(IF(INDEX(Deals!$J$2:$J$355,MATCH($C264,Deals!$A$2:$A$355,0))=0,"",INDEX(Deals!$J$2:$J$355,MATCH($C264,Deals!$A$2:$A$355,0))),""))</f>
        <v/>
      </c>
      <c r="N264" s="24">
        <f>IF($L264="",DATE(1900,1,1),$L264)</f>
        <v/>
      </c>
      <c r="O264" s="24">
        <f>IF($M264="",DATE(2100,12,31),$M264)</f>
        <v/>
      </c>
      <c r="P264" s="16" t="inlineStr">
        <is>
          <t>Proposal</t>
        </is>
      </c>
      <c r="Q264" s="16" t="inlineStr"/>
      <c r="R264" s="29">
        <f>IF($C264="","",IFERROR(IF(INDEX(Deals!$U$2:$U$355,MATCH($C264,Deals!$A$2:$A$355,0))=0,"",INDEX(Deals!$U$2:$U$355,MATCH($C264,Deals!$A$2:$A$355,0))),""))</f>
        <v/>
      </c>
      <c r="S264" s="22">
        <f>IFERROR(IF($U264="",1,INDEX(Deals!$V$2:$V$355,MATCH($C264,Deals!$A$2:$A$355,0))),1)</f>
        <v/>
      </c>
      <c r="T264" s="22">
        <f>IFERROR(IF($U264="",1,INDEX(Deals!$W$2:$W$355,MATCH($C264,Deals!$A$2:$A$355,0))),1)</f>
        <v/>
      </c>
      <c r="U264" s="31">
        <f>IF($C264="","",IFERROR(IF(INDEX(Deals!$Y$2:$Y$355,MATCH($C264,Deals!$A$2:$A$355,0))=0,"",INDEX(Deals!$Y$2:$Y$355,MATCH($C264,Deals!$A$2:$A$355,0))),""))</f>
        <v/>
      </c>
      <c r="V264" s="24">
        <f>IF($U264="",DATE(1900,1,1),$N264)</f>
        <v/>
      </c>
      <c r="W264" s="24">
        <f>IF($U264="",DATE(2100,12,31),$U264)</f>
        <v/>
      </c>
      <c r="X264" s="20">
        <f>IF($U264="",$K264,$K264*$S264)</f>
        <v/>
      </c>
      <c r="Y264" s="24">
        <f>IF($U264="",DATE(2100,12,31),$U264+1)</f>
        <v/>
      </c>
      <c r="Z264" s="24">
        <f>IF($U264="",DATE(1900,1,1),$O264)</f>
        <v/>
      </c>
      <c r="AA264" s="20">
        <f>IF($U264="",0,$K264*$T264)</f>
        <v/>
      </c>
    </row>
    <row r="265">
      <c r="A265" s="15" t="inlineStr">
        <is>
          <t>Justine</t>
        </is>
      </c>
      <c r="B265" s="29">
        <f>IF($A265="","",IFERROR(INDEX(Roster!$B$2:$B$40,MATCH($A265,Roster!$A$2:$A$40,0)),"?"))</f>
        <v/>
      </c>
      <c r="C265" s="15" t="inlineStr">
        <is>
          <t>Zeus_2</t>
        </is>
      </c>
      <c r="D265" s="29">
        <f>IF($C265="","",IFERROR(IF(INDEX(Deals!$C$2:$C$355,MATCH($C265,Deals!$A$2:$A$355,0))=0,"",INDEX(Deals!$C$2:$C$355,MATCH($C265,Deals!$A$2:$A$355,0))),"?"))</f>
        <v/>
      </c>
      <c r="E265" s="29">
        <f>IF($C265="","",IFERROR(INDEX(Deals!$F$2:$F$355,MATCH($C265,Deals!$A$2:$A$355,0)),"?"))</f>
        <v/>
      </c>
      <c r="F265" s="15" t="inlineStr">
        <is>
          <t>Director</t>
        </is>
      </c>
      <c r="G265" s="15" t="inlineStr">
        <is>
          <t>Inactive</t>
        </is>
      </c>
      <c r="H265" s="27" t="n"/>
      <c r="I265" s="20">
        <f>IF(OR($A265="",$G265&lt;&gt;"Active"),0,IF($H265&lt;&gt;"",$H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</f>
        <v/>
      </c>
      <c r="J265" s="23">
        <f>IF($C265="",0,IFERROR(INDEX(Deals!$H$2:$H$355,MATCH($C265,Deals!$A$2:$A$355,0)),0))</f>
        <v/>
      </c>
      <c r="K265" s="20">
        <f>IF(Settings!$B$4="Yes",$I265*$J265,$I265)</f>
        <v/>
      </c>
      <c r="L265" s="31">
        <f>IF($C265="","",IFERROR(IF(INDEX(Deals!$I$2:$I$355,MATCH($C265,Deals!$A$2:$A$355,0))=0,"",INDEX(Deals!$I$2:$I$355,MATCH($C265,Deals!$A$2:$A$355,0))),""))</f>
        <v/>
      </c>
      <c r="M265" s="31">
        <f>IF($C265="","",IFERROR(IF(INDEX(Deals!$J$2:$J$355,MATCH($C265,Deals!$A$2:$A$355,0))=0,"",INDEX(Deals!$J$2:$J$355,MATCH($C265,Deals!$A$2:$A$355,0))),""))</f>
        <v/>
      </c>
      <c r="N265" s="24">
        <f>IF($L265="",DATE(1900,1,1),$L265)</f>
        <v/>
      </c>
      <c r="O265" s="24">
        <f>IF($M265="",DATE(2100,12,31),$M265)</f>
        <v/>
      </c>
      <c r="P265" s="16" t="inlineStr">
        <is>
          <t>Pens dowm</t>
        </is>
      </c>
      <c r="Q265" s="16" t="inlineStr"/>
      <c r="R265" s="29">
        <f>IF($C265="","",IFERROR(IF(INDEX(Deals!$U$2:$U$355,MATCH($C265,Deals!$A$2:$A$355,0))=0,"",INDEX(Deals!$U$2:$U$355,MATCH($C265,Deals!$A$2:$A$355,0))),""))</f>
        <v/>
      </c>
      <c r="S265" s="22">
        <f>IFERROR(IF($U265="",1,INDEX(Deals!$V$2:$V$355,MATCH($C265,Deals!$A$2:$A$355,0))),1)</f>
        <v/>
      </c>
      <c r="T265" s="22">
        <f>IFERROR(IF($U265="",1,INDEX(Deals!$W$2:$W$355,MATCH($C265,Deals!$A$2:$A$355,0))),1)</f>
        <v/>
      </c>
      <c r="U265" s="31">
        <f>IF($C265="","",IFERROR(IF(INDEX(Deals!$Y$2:$Y$355,MATCH($C265,Deals!$A$2:$A$355,0))=0,"",INDEX(Deals!$Y$2:$Y$355,MATCH($C265,Deals!$A$2:$A$355,0))),""))</f>
        <v/>
      </c>
      <c r="V265" s="24">
        <f>IF($U265="",DATE(1900,1,1),$N265)</f>
        <v/>
      </c>
      <c r="W265" s="24">
        <f>IF($U265="",DATE(2100,12,31),$U265)</f>
        <v/>
      </c>
      <c r="X265" s="20">
        <f>IF($U265="",$K265,$K265*$S265)</f>
        <v/>
      </c>
      <c r="Y265" s="24">
        <f>IF($U265="",DATE(2100,12,31),$U265+1)</f>
        <v/>
      </c>
      <c r="Z265" s="24">
        <f>IF($U265="",DATE(1900,1,1),$O265)</f>
        <v/>
      </c>
      <c r="AA265" s="20">
        <f>IF($U265="",0,$K265*$T265)</f>
        <v/>
      </c>
    </row>
    <row r="266">
      <c r="A266" s="15" t="inlineStr">
        <is>
          <t>Justine</t>
        </is>
      </c>
      <c r="B266" s="29">
        <f>IF($A266="","",IFERROR(INDEX(Roster!$B$2:$B$40,MATCH($A266,Roster!$A$2:$A$40,0)),"?"))</f>
        <v/>
      </c>
      <c r="C266" s="15" t="inlineStr">
        <is>
          <t>Zora_1</t>
        </is>
      </c>
      <c r="D266" s="29">
        <f>IF($C266="","",IFERROR(IF(INDEX(Deals!$C$2:$C$355,MATCH($C266,Deals!$A$2:$A$355,0))=0,"",INDEX(Deals!$C$2:$C$355,MATCH($C266,Deals!$A$2:$A$355,0))),"?"))</f>
        <v/>
      </c>
      <c r="E266" s="29">
        <f>IF($C266="","",IFERROR(INDEX(Deals!$F$2:$F$355,MATCH($C266,Deals!$A$2:$A$355,0)),"?"))</f>
        <v/>
      </c>
      <c r="F266" s="15" t="inlineStr">
        <is>
          <t>Director</t>
        </is>
      </c>
      <c r="G266" s="15" t="inlineStr">
        <is>
          <t>Inactive</t>
        </is>
      </c>
      <c r="H266" s="27" t="n"/>
      <c r="I266" s="20">
        <f>IF(OR($A266="",$G266&lt;&gt;"Active"),0,IF($H266&lt;&gt;"",$H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</f>
        <v/>
      </c>
      <c r="J266" s="23">
        <f>IF($C266="",0,IFERROR(INDEX(Deals!$H$2:$H$355,MATCH($C266,Deals!$A$2:$A$355,0)),0))</f>
        <v/>
      </c>
      <c r="K266" s="20">
        <f>IF(Settings!$B$4="Yes",$I266*$J266,$I266)</f>
        <v/>
      </c>
      <c r="L266" s="31">
        <f>IF($C266="","",IFERROR(IF(INDEX(Deals!$I$2:$I$355,MATCH($C266,Deals!$A$2:$A$355,0))=0,"",INDEX(Deals!$I$2:$I$355,MATCH($C266,Deals!$A$2:$A$355,0))),""))</f>
        <v/>
      </c>
      <c r="M266" s="31">
        <f>IF($C266="","",IFERROR(IF(INDEX(Deals!$J$2:$J$355,MATCH($C266,Deals!$A$2:$A$355,0))=0,"",INDEX(Deals!$J$2:$J$355,MATCH($C266,Deals!$A$2:$A$355,0))),""))</f>
        <v/>
      </c>
      <c r="N266" s="24">
        <f>IF($L266="",DATE(1900,1,1),$L266)</f>
        <v/>
      </c>
      <c r="O266" s="24">
        <f>IF($M266="",DATE(2100,12,31),$M266)</f>
        <v/>
      </c>
      <c r="P266" s="16" t="inlineStr">
        <is>
          <t>Dead</t>
        </is>
      </c>
      <c r="Q266" s="16" t="inlineStr"/>
      <c r="R266" s="29">
        <f>IF($C266="","",IFERROR(IF(INDEX(Deals!$U$2:$U$355,MATCH($C266,Deals!$A$2:$A$355,0))=0,"",INDEX(Deals!$U$2:$U$355,MATCH($C266,Deals!$A$2:$A$355,0))),""))</f>
        <v/>
      </c>
      <c r="S266" s="22">
        <f>IFERROR(IF($U266="",1,INDEX(Deals!$V$2:$V$355,MATCH($C266,Deals!$A$2:$A$355,0))),1)</f>
        <v/>
      </c>
      <c r="T266" s="22">
        <f>IFERROR(IF($U266="",1,INDEX(Deals!$W$2:$W$355,MATCH($C266,Deals!$A$2:$A$355,0))),1)</f>
        <v/>
      </c>
      <c r="U266" s="31">
        <f>IF($C266="","",IFERROR(IF(INDEX(Deals!$Y$2:$Y$355,MATCH($C266,Deals!$A$2:$A$355,0))=0,"",INDEX(Deals!$Y$2:$Y$355,MATCH($C266,Deals!$A$2:$A$355,0))),""))</f>
        <v/>
      </c>
      <c r="V266" s="24">
        <f>IF($U266="",DATE(1900,1,1),$N266)</f>
        <v/>
      </c>
      <c r="W266" s="24">
        <f>IF($U266="",DATE(2100,12,31),$U266)</f>
        <v/>
      </c>
      <c r="X266" s="20">
        <f>IF($U266="",$K266,$K266*$S266)</f>
        <v/>
      </c>
      <c r="Y266" s="24">
        <f>IF($U266="",DATE(2100,12,31),$U266+1)</f>
        <v/>
      </c>
      <c r="Z266" s="24">
        <f>IF($U266="",DATE(1900,1,1),$O266)</f>
        <v/>
      </c>
      <c r="AA266" s="20">
        <f>IF($U266="",0,$K266*$T266)</f>
        <v/>
      </c>
    </row>
    <row r="267">
      <c r="A267" s="15" t="inlineStr">
        <is>
          <t>Kyle Risser</t>
        </is>
      </c>
      <c r="B267" s="29">
        <f>IF($A267="","",IFERROR(INDEX(Roster!$B$2:$B$40,MATCH($A267,Roster!$A$2:$A$40,0)),"?"))</f>
        <v/>
      </c>
      <c r="C267" s="15" t="inlineStr">
        <is>
          <t>Ace_2</t>
        </is>
      </c>
      <c r="D267" s="29">
        <f>IF($C267="","",IFERROR(IF(INDEX(Deals!$C$2:$C$355,MATCH($C267,Deals!$A$2:$A$355,0))=0,"",INDEX(Deals!$C$2:$C$355,MATCH($C267,Deals!$A$2:$A$355,0))),"?"))</f>
        <v/>
      </c>
      <c r="E267" s="29">
        <f>IF($C267="","",IFERROR(INDEX(Deals!$F$2:$F$355,MATCH($C267,Deals!$A$2:$A$355,0)),"?"))</f>
        <v/>
      </c>
      <c r="F267" s="15" t="inlineStr">
        <is>
          <t>Director</t>
        </is>
      </c>
      <c r="G267" s="15" t="inlineStr">
        <is>
          <t>Active</t>
        </is>
      </c>
      <c r="H267" s="27" t="n"/>
      <c r="I267" s="20">
        <f>IF(OR($A267="",$G267&lt;&gt;"Active"),0,IF($H267&lt;&gt;"",$H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</f>
        <v/>
      </c>
      <c r="J267" s="23">
        <f>IF($C267="",0,IFERROR(INDEX(Deals!$H$2:$H$355,MATCH($C267,Deals!$A$2:$A$355,0)),0))</f>
        <v/>
      </c>
      <c r="K267" s="20">
        <f>IF(Settings!$B$4="Yes",$I267*$J267,$I267)</f>
        <v/>
      </c>
      <c r="L267" s="31">
        <f>IF($C267="","",IFERROR(IF(INDEX(Deals!$I$2:$I$355,MATCH($C267,Deals!$A$2:$A$355,0))=0,"",INDEX(Deals!$I$2:$I$355,MATCH($C267,Deals!$A$2:$A$355,0))),""))</f>
        <v/>
      </c>
      <c r="M267" s="31">
        <f>IF($C267="","",IFERROR(IF(INDEX(Deals!$J$2:$J$355,MATCH($C267,Deals!$A$2:$A$355,0))=0,"",INDEX(Deals!$J$2:$J$355,MATCH($C267,Deals!$A$2:$A$355,0))),""))</f>
        <v/>
      </c>
      <c r="N267" s="24">
        <f>IF($L267="",DATE(1900,1,1),$L267)</f>
        <v/>
      </c>
      <c r="O267" s="24">
        <f>IF($M267="",DATE(2100,12,31),$M267)</f>
        <v/>
      </c>
      <c r="P267" s="16" t="inlineStr"/>
      <c r="Q267" s="16" t="inlineStr"/>
      <c r="R267" s="29">
        <f>IF($C267="","",IFERROR(IF(INDEX(Deals!$U$2:$U$355,MATCH($C267,Deals!$A$2:$A$355,0))=0,"",INDEX(Deals!$U$2:$U$355,MATCH($C267,Deals!$A$2:$A$355,0))),""))</f>
        <v/>
      </c>
      <c r="S267" s="22">
        <f>IFERROR(IF($U267="",1,INDEX(Deals!$V$2:$V$355,MATCH($C267,Deals!$A$2:$A$355,0))),1)</f>
        <v/>
      </c>
      <c r="T267" s="22">
        <f>IFERROR(IF($U267="",1,INDEX(Deals!$W$2:$W$355,MATCH($C267,Deals!$A$2:$A$355,0))),1)</f>
        <v/>
      </c>
      <c r="U267" s="31">
        <f>IF($C267="","",IFERROR(IF(INDEX(Deals!$Y$2:$Y$355,MATCH($C267,Deals!$A$2:$A$355,0))=0,"",INDEX(Deals!$Y$2:$Y$355,MATCH($C267,Deals!$A$2:$A$355,0))),""))</f>
        <v/>
      </c>
      <c r="V267" s="24">
        <f>IF($U267="",DATE(1900,1,1),$N267)</f>
        <v/>
      </c>
      <c r="W267" s="24">
        <f>IF($U267="",DATE(2100,12,31),$U267)</f>
        <v/>
      </c>
      <c r="X267" s="20">
        <f>IF($U267="",$K267,$K267*$S267)</f>
        <v/>
      </c>
      <c r="Y267" s="24">
        <f>IF($U267="",DATE(2100,12,31),$U267+1)</f>
        <v/>
      </c>
      <c r="Z267" s="24">
        <f>IF($U267="",DATE(1900,1,1),$O267)</f>
        <v/>
      </c>
      <c r="AA267" s="20">
        <f>IF($U267="",0,$K267*$T267)</f>
        <v/>
      </c>
    </row>
    <row r="268">
      <c r="A268" s="15" t="inlineStr">
        <is>
          <t>Kyle Risser</t>
        </is>
      </c>
      <c r="B268" s="29">
        <f>IF($A268="","",IFERROR(INDEX(Roster!$B$2:$B$40,MATCH($A268,Roster!$A$2:$A$40,0)),"?"))</f>
        <v/>
      </c>
      <c r="C268" s="15" t="inlineStr">
        <is>
          <t>Copia_3</t>
        </is>
      </c>
      <c r="D268" s="29">
        <f>IF($C268="","",IFERROR(IF(INDEX(Deals!$C$2:$C$355,MATCH($C268,Deals!$A$2:$A$355,0))=0,"",INDEX(Deals!$C$2:$C$355,MATCH($C268,Deals!$A$2:$A$355,0))),"?"))</f>
        <v/>
      </c>
      <c r="E268" s="29">
        <f>IF($C268="","",IFERROR(INDEX(Deals!$F$2:$F$355,MATCH($C268,Deals!$A$2:$A$355,0)),"?"))</f>
        <v/>
      </c>
      <c r="F268" s="15" t="inlineStr">
        <is>
          <t>Director</t>
        </is>
      </c>
      <c r="G268" s="15" t="inlineStr">
        <is>
          <t>Active</t>
        </is>
      </c>
      <c r="H268" s="27" t="n"/>
      <c r="I268" s="20">
        <f>IF(OR($A268="",$G268&lt;&gt;"Active"),0,IF($H268&lt;&gt;"",$H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</f>
        <v/>
      </c>
      <c r="J268" s="23">
        <f>IF($C268="",0,IFERROR(INDEX(Deals!$H$2:$H$355,MATCH($C268,Deals!$A$2:$A$355,0)),0))</f>
        <v/>
      </c>
      <c r="K268" s="20">
        <f>IF(Settings!$B$4="Yes",$I268*$J268,$I268)</f>
        <v/>
      </c>
      <c r="L268" s="31">
        <f>IF($C268="","",IFERROR(IF(INDEX(Deals!$I$2:$I$355,MATCH($C268,Deals!$A$2:$A$355,0))=0,"",INDEX(Deals!$I$2:$I$355,MATCH($C268,Deals!$A$2:$A$355,0))),""))</f>
        <v/>
      </c>
      <c r="M268" s="31">
        <f>IF($C268="","",IFERROR(IF(INDEX(Deals!$J$2:$J$355,MATCH($C268,Deals!$A$2:$A$355,0))=0,"",INDEX(Deals!$J$2:$J$355,MATCH($C268,Deals!$A$2:$A$355,0))),""))</f>
        <v/>
      </c>
      <c r="N268" s="24">
        <f>IF($L268="",DATE(1900,1,1),$L268)</f>
        <v/>
      </c>
      <c r="O268" s="24">
        <f>IF($M268="",DATE(2100,12,31),$M268)</f>
        <v/>
      </c>
      <c r="P268" s="16" t="inlineStr"/>
      <c r="Q268" s="16" t="inlineStr"/>
      <c r="R268" s="29">
        <f>IF($C268="","",IFERROR(IF(INDEX(Deals!$U$2:$U$355,MATCH($C268,Deals!$A$2:$A$355,0))=0,"",INDEX(Deals!$U$2:$U$355,MATCH($C268,Deals!$A$2:$A$355,0))),""))</f>
        <v/>
      </c>
      <c r="S268" s="22">
        <f>IFERROR(IF($U268="",1,INDEX(Deals!$V$2:$V$355,MATCH($C268,Deals!$A$2:$A$355,0))),1)</f>
        <v/>
      </c>
      <c r="T268" s="22">
        <f>IFERROR(IF($U268="",1,INDEX(Deals!$W$2:$W$355,MATCH($C268,Deals!$A$2:$A$355,0))),1)</f>
        <v/>
      </c>
      <c r="U268" s="31">
        <f>IF($C268="","",IFERROR(IF(INDEX(Deals!$Y$2:$Y$355,MATCH($C268,Deals!$A$2:$A$355,0))=0,"",INDEX(Deals!$Y$2:$Y$355,MATCH($C268,Deals!$A$2:$A$355,0))),""))</f>
        <v/>
      </c>
      <c r="V268" s="24">
        <f>IF($U268="",DATE(1900,1,1),$N268)</f>
        <v/>
      </c>
      <c r="W268" s="24">
        <f>IF($U268="",DATE(2100,12,31),$U268)</f>
        <v/>
      </c>
      <c r="X268" s="20">
        <f>IF($U268="",$K268,$K268*$S268)</f>
        <v/>
      </c>
      <c r="Y268" s="24">
        <f>IF($U268="",DATE(2100,12,31),$U268+1)</f>
        <v/>
      </c>
      <c r="Z268" s="24">
        <f>IF($U268="",DATE(1900,1,1),$O268)</f>
        <v/>
      </c>
      <c r="AA268" s="20">
        <f>IF($U268="",0,$K268*$T268)</f>
        <v/>
      </c>
    </row>
    <row r="269">
      <c r="A269" s="15" t="inlineStr">
        <is>
          <t>Kyle Risser</t>
        </is>
      </c>
      <c r="B269" s="29">
        <f>IF($A269="","",IFERROR(INDEX(Roster!$B$2:$B$40,MATCH($A269,Roster!$A$2:$A$40,0)),"?"))</f>
        <v/>
      </c>
      <c r="C269" s="15" t="inlineStr">
        <is>
          <t>CopiaAdHoc_1</t>
        </is>
      </c>
      <c r="D269" s="29">
        <f>IF($C269="","",IFERROR(IF(INDEX(Deals!$C$2:$C$355,MATCH($C269,Deals!$A$2:$A$355,0))=0,"",INDEX(Deals!$C$2:$C$355,MATCH($C269,Deals!$A$2:$A$355,0))),"?"))</f>
        <v/>
      </c>
      <c r="E269" s="29">
        <f>IF($C269="","",IFERROR(INDEX(Deals!$F$2:$F$355,MATCH($C269,Deals!$A$2:$A$355,0)),"?"))</f>
        <v/>
      </c>
      <c r="F269" s="15" t="inlineStr">
        <is>
          <t>Director</t>
        </is>
      </c>
      <c r="G269" s="15" t="inlineStr">
        <is>
          <t>Active</t>
        </is>
      </c>
      <c r="H269" s="27" t="n"/>
      <c r="I269" s="20">
        <f>IF(OR($A269="",$G269&lt;&gt;"Active"),0,IF($H269&lt;&gt;"",$H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</f>
        <v/>
      </c>
      <c r="J269" s="23">
        <f>IF($C269="",0,IFERROR(INDEX(Deals!$H$2:$H$355,MATCH($C269,Deals!$A$2:$A$355,0)),0))</f>
        <v/>
      </c>
      <c r="K269" s="20">
        <f>IF(Settings!$B$4="Yes",$I269*$J269,$I269)</f>
        <v/>
      </c>
      <c r="L269" s="31">
        <f>IF($C269="","",IFERROR(IF(INDEX(Deals!$I$2:$I$355,MATCH($C269,Deals!$A$2:$A$355,0))=0,"",INDEX(Deals!$I$2:$I$355,MATCH($C269,Deals!$A$2:$A$355,0))),""))</f>
        <v/>
      </c>
      <c r="M269" s="31">
        <f>IF($C269="","",IFERROR(IF(INDEX(Deals!$J$2:$J$355,MATCH($C269,Deals!$A$2:$A$355,0))=0,"",INDEX(Deals!$J$2:$J$355,MATCH($C269,Deals!$A$2:$A$355,0))),""))</f>
        <v/>
      </c>
      <c r="N269" s="24">
        <f>IF($L269="",DATE(1900,1,1),$L269)</f>
        <v/>
      </c>
      <c r="O269" s="24">
        <f>IF($M269="",DATE(2100,12,31),$M269)</f>
        <v/>
      </c>
      <c r="P269" s="16" t="inlineStr"/>
      <c r="Q269" s="16" t="inlineStr"/>
      <c r="R269" s="29">
        <f>IF($C269="","",IFERROR(IF(INDEX(Deals!$U$2:$U$355,MATCH($C269,Deals!$A$2:$A$355,0))=0,"",INDEX(Deals!$U$2:$U$355,MATCH($C269,Deals!$A$2:$A$355,0))),""))</f>
        <v/>
      </c>
      <c r="S269" s="22">
        <f>IFERROR(IF($U269="",1,INDEX(Deals!$V$2:$V$355,MATCH($C269,Deals!$A$2:$A$355,0))),1)</f>
        <v/>
      </c>
      <c r="T269" s="22">
        <f>IFERROR(IF($U269="",1,INDEX(Deals!$W$2:$W$355,MATCH($C269,Deals!$A$2:$A$355,0))),1)</f>
        <v/>
      </c>
      <c r="U269" s="31">
        <f>IF($C269="","",IFERROR(IF(INDEX(Deals!$Y$2:$Y$355,MATCH($C269,Deals!$A$2:$A$355,0))=0,"",INDEX(Deals!$Y$2:$Y$355,MATCH($C269,Deals!$A$2:$A$355,0))),""))</f>
        <v/>
      </c>
      <c r="V269" s="24">
        <f>IF($U269="",DATE(1900,1,1),$N269)</f>
        <v/>
      </c>
      <c r="W269" s="24">
        <f>IF($U269="",DATE(2100,12,31),$U269)</f>
        <v/>
      </c>
      <c r="X269" s="20">
        <f>IF($U269="",$K269,$K269*$S269)</f>
        <v/>
      </c>
      <c r="Y269" s="24">
        <f>IF($U269="",DATE(2100,12,31),$U269+1)</f>
        <v/>
      </c>
      <c r="Z269" s="24">
        <f>IF($U269="",DATE(1900,1,1),$O269)</f>
        <v/>
      </c>
      <c r="AA269" s="20">
        <f>IF($U269="",0,$K269*$T269)</f>
        <v/>
      </c>
    </row>
    <row r="270">
      <c r="A270" s="15" t="inlineStr">
        <is>
          <t>Kyle Risser</t>
        </is>
      </c>
      <c r="B270" s="29">
        <f>IF($A270="","",IFERROR(INDEX(Roster!$B$2:$B$40,MATCH($A270,Roster!$A$2:$A$40,0)),"?"))</f>
        <v/>
      </c>
      <c r="C270" s="15" t="inlineStr">
        <is>
          <t>Denali_3</t>
        </is>
      </c>
      <c r="D270" s="29">
        <f>IF($C270="","",IFERROR(IF(INDEX(Deals!$C$2:$C$355,MATCH($C270,Deals!$A$2:$A$355,0))=0,"",INDEX(Deals!$C$2:$C$355,MATCH($C270,Deals!$A$2:$A$355,0))),"?"))</f>
        <v/>
      </c>
      <c r="E270" s="29">
        <f>IF($C270="","",IFERROR(INDEX(Deals!$F$2:$F$355,MATCH($C270,Deals!$A$2:$A$355,0)),"?"))</f>
        <v/>
      </c>
      <c r="F270" s="15" t="inlineStr">
        <is>
          <t>Director</t>
        </is>
      </c>
      <c r="G270" s="15" t="inlineStr">
        <is>
          <t>Active</t>
        </is>
      </c>
      <c r="H270" s="27" t="n"/>
      <c r="I270" s="20">
        <f>IF(OR($A270="",$G270&lt;&gt;"Active"),0,IF($H270&lt;&gt;"",$H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</f>
        <v/>
      </c>
      <c r="J270" s="23">
        <f>IF($C270="",0,IFERROR(INDEX(Deals!$H$2:$H$355,MATCH($C270,Deals!$A$2:$A$355,0)),0))</f>
        <v/>
      </c>
      <c r="K270" s="20">
        <f>IF(Settings!$B$4="Yes",$I270*$J270,$I270)</f>
        <v/>
      </c>
      <c r="L270" s="31">
        <f>IF($C270="","",IFERROR(IF(INDEX(Deals!$I$2:$I$355,MATCH($C270,Deals!$A$2:$A$355,0))=0,"",INDEX(Deals!$I$2:$I$355,MATCH($C270,Deals!$A$2:$A$355,0))),""))</f>
        <v/>
      </c>
      <c r="M270" s="31">
        <f>IF($C270="","",IFERROR(IF(INDEX(Deals!$J$2:$J$355,MATCH($C270,Deals!$A$2:$A$355,0))=0,"",INDEX(Deals!$J$2:$J$355,MATCH($C270,Deals!$A$2:$A$355,0))),""))</f>
        <v/>
      </c>
      <c r="N270" s="24">
        <f>IF($L270="",DATE(1900,1,1),$L270)</f>
        <v/>
      </c>
      <c r="O270" s="24">
        <f>IF($M270="",DATE(2100,12,31),$M270)</f>
        <v/>
      </c>
      <c r="P270" s="16" t="inlineStr"/>
      <c r="Q270" s="16" t="inlineStr"/>
      <c r="R270" s="29">
        <f>IF($C270="","",IFERROR(IF(INDEX(Deals!$U$2:$U$355,MATCH($C270,Deals!$A$2:$A$355,0))=0,"",INDEX(Deals!$U$2:$U$355,MATCH($C270,Deals!$A$2:$A$355,0))),""))</f>
        <v/>
      </c>
      <c r="S270" s="22">
        <f>IFERROR(IF($U270="",1,INDEX(Deals!$V$2:$V$355,MATCH($C270,Deals!$A$2:$A$355,0))),1)</f>
        <v/>
      </c>
      <c r="T270" s="22">
        <f>IFERROR(IF($U270="",1,INDEX(Deals!$W$2:$W$355,MATCH($C270,Deals!$A$2:$A$355,0))),1)</f>
        <v/>
      </c>
      <c r="U270" s="31">
        <f>IF($C270="","",IFERROR(IF(INDEX(Deals!$Y$2:$Y$355,MATCH($C270,Deals!$A$2:$A$355,0))=0,"",INDEX(Deals!$Y$2:$Y$355,MATCH($C270,Deals!$A$2:$A$355,0))),""))</f>
        <v/>
      </c>
      <c r="V270" s="24">
        <f>IF($U270="",DATE(1900,1,1),$N270)</f>
        <v/>
      </c>
      <c r="W270" s="24">
        <f>IF($U270="",DATE(2100,12,31),$U270)</f>
        <v/>
      </c>
      <c r="X270" s="20">
        <f>IF($U270="",$K270,$K270*$S270)</f>
        <v/>
      </c>
      <c r="Y270" s="24">
        <f>IF($U270="",DATE(2100,12,31),$U270+1)</f>
        <v/>
      </c>
      <c r="Z270" s="24">
        <f>IF($U270="",DATE(1900,1,1),$O270)</f>
        <v/>
      </c>
      <c r="AA270" s="20">
        <f>IF($U270="",0,$K270*$T270)</f>
        <v/>
      </c>
    </row>
    <row r="271">
      <c r="A271" s="15" t="inlineStr">
        <is>
          <t>Kyle Risser</t>
        </is>
      </c>
      <c r="B271" s="29">
        <f>IF($A271="","",IFERROR(INDEX(Roster!$B$2:$B$40,MATCH($A271,Roster!$A$2:$A$40,0)),"?"))</f>
        <v/>
      </c>
      <c r="C271" s="15" t="inlineStr">
        <is>
          <t>Dorsia_1</t>
        </is>
      </c>
      <c r="D271" s="29">
        <f>IF($C271="","",IFERROR(IF(INDEX(Deals!$C$2:$C$355,MATCH($C271,Deals!$A$2:$A$355,0))=0,"",INDEX(Deals!$C$2:$C$355,MATCH($C271,Deals!$A$2:$A$355,0))),"?"))</f>
        <v/>
      </c>
      <c r="E271" s="29">
        <f>IF($C271="","",IFERROR(INDEX(Deals!$F$2:$F$355,MATCH($C271,Deals!$A$2:$A$355,0)),"?"))</f>
        <v/>
      </c>
      <c r="F271" s="15" t="inlineStr">
        <is>
          <t>Director</t>
        </is>
      </c>
      <c r="G271" s="15" t="inlineStr">
        <is>
          <t>Active</t>
        </is>
      </c>
      <c r="H271" s="27" t="n"/>
      <c r="I271" s="20">
        <f>IF(OR($A271="",$G271&lt;&gt;"Active"),0,IF($H271&lt;&gt;"",$H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</f>
        <v/>
      </c>
      <c r="J271" s="23">
        <f>IF($C271="",0,IFERROR(INDEX(Deals!$H$2:$H$355,MATCH($C271,Deals!$A$2:$A$355,0)),0))</f>
        <v/>
      </c>
      <c r="K271" s="20">
        <f>IF(Settings!$B$4="Yes",$I271*$J271,$I271)</f>
        <v/>
      </c>
      <c r="L271" s="31">
        <f>IF($C271="","",IFERROR(IF(INDEX(Deals!$I$2:$I$355,MATCH($C271,Deals!$A$2:$A$355,0))=0,"",INDEX(Deals!$I$2:$I$355,MATCH($C271,Deals!$A$2:$A$355,0))),""))</f>
        <v/>
      </c>
      <c r="M271" s="31">
        <f>IF($C271="","",IFERROR(IF(INDEX(Deals!$J$2:$J$355,MATCH($C271,Deals!$A$2:$A$355,0))=0,"",INDEX(Deals!$J$2:$J$355,MATCH($C271,Deals!$A$2:$A$355,0))),""))</f>
        <v/>
      </c>
      <c r="N271" s="24">
        <f>IF($L271="",DATE(1900,1,1),$L271)</f>
        <v/>
      </c>
      <c r="O271" s="24">
        <f>IF($M271="",DATE(2100,12,31),$M271)</f>
        <v/>
      </c>
      <c r="P271" s="16" t="inlineStr"/>
      <c r="Q271" s="16" t="inlineStr"/>
      <c r="R271" s="29">
        <f>IF($C271="","",IFERROR(IF(INDEX(Deals!$U$2:$U$355,MATCH($C271,Deals!$A$2:$A$355,0))=0,"",INDEX(Deals!$U$2:$U$355,MATCH($C271,Deals!$A$2:$A$355,0))),""))</f>
        <v/>
      </c>
      <c r="S271" s="22">
        <f>IFERROR(IF($U271="",1,INDEX(Deals!$V$2:$V$355,MATCH($C271,Deals!$A$2:$A$355,0))),1)</f>
        <v/>
      </c>
      <c r="T271" s="22">
        <f>IFERROR(IF($U271="",1,INDEX(Deals!$W$2:$W$355,MATCH($C271,Deals!$A$2:$A$355,0))),1)</f>
        <v/>
      </c>
      <c r="U271" s="31">
        <f>IF($C271="","",IFERROR(IF(INDEX(Deals!$Y$2:$Y$355,MATCH($C271,Deals!$A$2:$A$355,0))=0,"",INDEX(Deals!$Y$2:$Y$355,MATCH($C271,Deals!$A$2:$A$355,0))),""))</f>
        <v/>
      </c>
      <c r="V271" s="24">
        <f>IF($U271="",DATE(1900,1,1),$N271)</f>
        <v/>
      </c>
      <c r="W271" s="24">
        <f>IF($U271="",DATE(2100,12,31),$U271)</f>
        <v/>
      </c>
      <c r="X271" s="20">
        <f>IF($U271="",$K271,$K271*$S271)</f>
        <v/>
      </c>
      <c r="Y271" s="24">
        <f>IF($U271="",DATE(2100,12,31),$U271+1)</f>
        <v/>
      </c>
      <c r="Z271" s="24">
        <f>IF($U271="",DATE(1900,1,1),$O271)</f>
        <v/>
      </c>
      <c r="AA271" s="20">
        <f>IF($U271="",0,$K271*$T271)</f>
        <v/>
      </c>
    </row>
    <row r="272">
      <c r="A272" s="15" t="inlineStr">
        <is>
          <t>Kyle Risser</t>
        </is>
      </c>
      <c r="B272" s="29">
        <f>IF($A272="","",IFERROR(INDEX(Roster!$B$2:$B$40,MATCH($A272,Roster!$A$2:$A$40,0)),"?"))</f>
        <v/>
      </c>
      <c r="C272" s="15" t="inlineStr">
        <is>
          <t>EV Passport_2</t>
        </is>
      </c>
      <c r="D272" s="29">
        <f>IF($C272="","",IFERROR(IF(INDEX(Deals!$C$2:$C$355,MATCH($C272,Deals!$A$2:$A$355,0))=0,"",INDEX(Deals!$C$2:$C$355,MATCH($C272,Deals!$A$2:$A$355,0))),"?"))</f>
        <v/>
      </c>
      <c r="E272" s="29">
        <f>IF($C272="","",IFERROR(INDEX(Deals!$F$2:$F$355,MATCH($C272,Deals!$A$2:$A$355,0)),"?"))</f>
        <v/>
      </c>
      <c r="F272" s="15" t="inlineStr">
        <is>
          <t>Director</t>
        </is>
      </c>
      <c r="G272" s="15" t="inlineStr">
        <is>
          <t>Active</t>
        </is>
      </c>
      <c r="H272" s="27" t="n"/>
      <c r="I272" s="20">
        <f>IF(OR($A272="",$G272&lt;&gt;"Active"),0,IF($H272&lt;&gt;"",$H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</f>
        <v/>
      </c>
      <c r="J272" s="23">
        <f>IF($C272="",0,IFERROR(INDEX(Deals!$H$2:$H$355,MATCH($C272,Deals!$A$2:$A$355,0)),0))</f>
        <v/>
      </c>
      <c r="K272" s="20">
        <f>IF(Settings!$B$4="Yes",$I272*$J272,$I272)</f>
        <v/>
      </c>
      <c r="L272" s="31">
        <f>IF($C272="","",IFERROR(IF(INDEX(Deals!$I$2:$I$355,MATCH($C272,Deals!$A$2:$A$355,0))=0,"",INDEX(Deals!$I$2:$I$355,MATCH($C272,Deals!$A$2:$A$355,0))),""))</f>
        <v/>
      </c>
      <c r="M272" s="31">
        <f>IF($C272="","",IFERROR(IF(INDEX(Deals!$J$2:$J$355,MATCH($C272,Deals!$A$2:$A$355,0))=0,"",INDEX(Deals!$J$2:$J$355,MATCH($C272,Deals!$A$2:$A$355,0))),""))</f>
        <v/>
      </c>
      <c r="N272" s="24">
        <f>IF($L272="",DATE(1900,1,1),$L272)</f>
        <v/>
      </c>
      <c r="O272" s="24">
        <f>IF($M272="",DATE(2100,12,31),$M272)</f>
        <v/>
      </c>
      <c r="P272" s="16" t="inlineStr"/>
      <c r="Q272" s="16" t="inlineStr"/>
      <c r="R272" s="29">
        <f>IF($C272="","",IFERROR(IF(INDEX(Deals!$U$2:$U$355,MATCH($C272,Deals!$A$2:$A$355,0))=0,"",INDEX(Deals!$U$2:$U$355,MATCH($C272,Deals!$A$2:$A$355,0))),""))</f>
        <v/>
      </c>
      <c r="S272" s="22">
        <f>IFERROR(IF($U272="",1,INDEX(Deals!$V$2:$V$355,MATCH($C272,Deals!$A$2:$A$355,0))),1)</f>
        <v/>
      </c>
      <c r="T272" s="22">
        <f>IFERROR(IF($U272="",1,INDEX(Deals!$W$2:$W$355,MATCH($C272,Deals!$A$2:$A$355,0))),1)</f>
        <v/>
      </c>
      <c r="U272" s="31">
        <f>IF($C272="","",IFERROR(IF(INDEX(Deals!$Y$2:$Y$355,MATCH($C272,Deals!$A$2:$A$355,0))=0,"",INDEX(Deals!$Y$2:$Y$355,MATCH($C272,Deals!$A$2:$A$355,0))),""))</f>
        <v/>
      </c>
      <c r="V272" s="24">
        <f>IF($U272="",DATE(1900,1,1),$N272)</f>
        <v/>
      </c>
      <c r="W272" s="24">
        <f>IF($U272="",DATE(2100,12,31),$U272)</f>
        <v/>
      </c>
      <c r="X272" s="20">
        <f>IF($U272="",$K272,$K272*$S272)</f>
        <v/>
      </c>
      <c r="Y272" s="24">
        <f>IF($U272="",DATE(2100,12,31),$U272+1)</f>
        <v/>
      </c>
      <c r="Z272" s="24">
        <f>IF($U272="",DATE(1900,1,1),$O272)</f>
        <v/>
      </c>
      <c r="AA272" s="20">
        <f>IF($U272="",0,$K272*$T272)</f>
        <v/>
      </c>
    </row>
    <row r="273">
      <c r="A273" s="15" t="inlineStr">
        <is>
          <t>Kyle Risser</t>
        </is>
      </c>
      <c r="B273" s="29">
        <f>IF($A273="","",IFERROR(INDEX(Roster!$B$2:$B$40,MATCH($A273,Roster!$A$2:$A$40,0)),"?"))</f>
        <v/>
      </c>
      <c r="C273" s="15" t="inlineStr">
        <is>
          <t>Gateway_3</t>
        </is>
      </c>
      <c r="D273" s="29">
        <f>IF($C273="","",IFERROR(IF(INDEX(Deals!$C$2:$C$355,MATCH($C273,Deals!$A$2:$A$355,0))=0,"",INDEX(Deals!$C$2:$C$355,MATCH($C273,Deals!$A$2:$A$355,0))),"?"))</f>
        <v/>
      </c>
      <c r="E273" s="29">
        <f>IF($C273="","",IFERROR(INDEX(Deals!$F$2:$F$355,MATCH($C273,Deals!$A$2:$A$355,0)),"?"))</f>
        <v/>
      </c>
      <c r="F273" s="15" t="inlineStr">
        <is>
          <t>Director</t>
        </is>
      </c>
      <c r="G273" s="15" t="inlineStr">
        <is>
          <t>Active</t>
        </is>
      </c>
      <c r="H273" s="27" t="n"/>
      <c r="I273" s="20">
        <f>IF(OR($A273="",$G273&lt;&gt;"Active"),0,IF($H273&lt;&gt;"",$H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</f>
        <v/>
      </c>
      <c r="J273" s="23">
        <f>IF($C273="",0,IFERROR(INDEX(Deals!$H$2:$H$355,MATCH($C273,Deals!$A$2:$A$355,0)),0))</f>
        <v/>
      </c>
      <c r="K273" s="20">
        <f>IF(Settings!$B$4="Yes",$I273*$J273,$I273)</f>
        <v/>
      </c>
      <c r="L273" s="31">
        <f>IF($C273="","",IFERROR(IF(INDEX(Deals!$I$2:$I$355,MATCH($C273,Deals!$A$2:$A$355,0))=0,"",INDEX(Deals!$I$2:$I$355,MATCH($C273,Deals!$A$2:$A$355,0))),""))</f>
        <v/>
      </c>
      <c r="M273" s="31">
        <f>IF($C273="","",IFERROR(IF(INDEX(Deals!$J$2:$J$355,MATCH($C273,Deals!$A$2:$A$355,0))=0,"",INDEX(Deals!$J$2:$J$355,MATCH($C273,Deals!$A$2:$A$355,0))),""))</f>
        <v/>
      </c>
      <c r="N273" s="24">
        <f>IF($L273="",DATE(1900,1,1),$L273)</f>
        <v/>
      </c>
      <c r="O273" s="24">
        <f>IF($M273="",DATE(2100,12,31),$M273)</f>
        <v/>
      </c>
      <c r="P273" s="16" t="inlineStr"/>
      <c r="Q273" s="16" t="inlineStr"/>
      <c r="R273" s="29">
        <f>IF($C273="","",IFERROR(IF(INDEX(Deals!$U$2:$U$355,MATCH($C273,Deals!$A$2:$A$355,0))=0,"",INDEX(Deals!$U$2:$U$355,MATCH($C273,Deals!$A$2:$A$355,0))),""))</f>
        <v/>
      </c>
      <c r="S273" s="22">
        <f>IFERROR(IF($U273="",1,INDEX(Deals!$V$2:$V$355,MATCH($C273,Deals!$A$2:$A$355,0))),1)</f>
        <v/>
      </c>
      <c r="T273" s="22">
        <f>IFERROR(IF($U273="",1,INDEX(Deals!$W$2:$W$355,MATCH($C273,Deals!$A$2:$A$355,0))),1)</f>
        <v/>
      </c>
      <c r="U273" s="31">
        <f>IF($C273="","",IFERROR(IF(INDEX(Deals!$Y$2:$Y$355,MATCH($C273,Deals!$A$2:$A$355,0))=0,"",INDEX(Deals!$Y$2:$Y$355,MATCH($C273,Deals!$A$2:$A$355,0))),""))</f>
        <v/>
      </c>
      <c r="V273" s="24">
        <f>IF($U273="",DATE(1900,1,1),$N273)</f>
        <v/>
      </c>
      <c r="W273" s="24">
        <f>IF($U273="",DATE(2100,12,31),$U273)</f>
        <v/>
      </c>
      <c r="X273" s="20">
        <f>IF($U273="",$K273,$K273*$S273)</f>
        <v/>
      </c>
      <c r="Y273" s="24">
        <f>IF($U273="",DATE(2100,12,31),$U273+1)</f>
        <v/>
      </c>
      <c r="Z273" s="24">
        <f>IF($U273="",DATE(1900,1,1),$O273)</f>
        <v/>
      </c>
      <c r="AA273" s="20">
        <f>IF($U273="",0,$K273*$T273)</f>
        <v/>
      </c>
    </row>
    <row r="274">
      <c r="A274" s="15" t="inlineStr">
        <is>
          <t>Kyle Risser</t>
        </is>
      </c>
      <c r="B274" s="29">
        <f>IF($A274="","",IFERROR(INDEX(Roster!$B$2:$B$40,MATCH($A274,Roster!$A$2:$A$40,0)),"?"))</f>
        <v/>
      </c>
      <c r="C274" s="15" t="inlineStr">
        <is>
          <t>Guardian_3</t>
        </is>
      </c>
      <c r="D274" s="29">
        <f>IF($C274="","",IFERROR(IF(INDEX(Deals!$C$2:$C$355,MATCH($C274,Deals!$A$2:$A$355,0))=0,"",INDEX(Deals!$C$2:$C$355,MATCH($C274,Deals!$A$2:$A$355,0))),"?"))</f>
        <v/>
      </c>
      <c r="E274" s="29">
        <f>IF($C274="","",IFERROR(INDEX(Deals!$F$2:$F$355,MATCH($C274,Deals!$A$2:$A$355,0)),"?"))</f>
        <v/>
      </c>
      <c r="F274" s="15" t="inlineStr">
        <is>
          <t>Director</t>
        </is>
      </c>
      <c r="G274" s="15" t="inlineStr">
        <is>
          <t>Active</t>
        </is>
      </c>
      <c r="H274" s="27" t="n"/>
      <c r="I274" s="20">
        <f>IF(OR($A274="",$G274&lt;&gt;"Active"),0,IF($H274&lt;&gt;"",$H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</f>
        <v/>
      </c>
      <c r="J274" s="23">
        <f>IF($C274="",0,IFERROR(INDEX(Deals!$H$2:$H$355,MATCH($C274,Deals!$A$2:$A$355,0)),0))</f>
        <v/>
      </c>
      <c r="K274" s="20">
        <f>IF(Settings!$B$4="Yes",$I274*$J274,$I274)</f>
        <v/>
      </c>
      <c r="L274" s="31">
        <f>IF($C274="","",IFERROR(IF(INDEX(Deals!$I$2:$I$355,MATCH($C274,Deals!$A$2:$A$355,0))=0,"",INDEX(Deals!$I$2:$I$355,MATCH($C274,Deals!$A$2:$A$355,0))),""))</f>
        <v/>
      </c>
      <c r="M274" s="31">
        <f>IF($C274="","",IFERROR(IF(INDEX(Deals!$J$2:$J$355,MATCH($C274,Deals!$A$2:$A$355,0))=0,"",INDEX(Deals!$J$2:$J$355,MATCH($C274,Deals!$A$2:$A$355,0))),""))</f>
        <v/>
      </c>
      <c r="N274" s="24">
        <f>IF($L274="",DATE(1900,1,1),$L274)</f>
        <v/>
      </c>
      <c r="O274" s="24">
        <f>IF($M274="",DATE(2100,12,31),$M274)</f>
        <v/>
      </c>
      <c r="P274" s="16" t="inlineStr"/>
      <c r="Q274" s="16" t="inlineStr"/>
      <c r="R274" s="29">
        <f>IF($C274="","",IFERROR(IF(INDEX(Deals!$U$2:$U$355,MATCH($C274,Deals!$A$2:$A$355,0))=0,"",INDEX(Deals!$U$2:$U$355,MATCH($C274,Deals!$A$2:$A$355,0))),""))</f>
        <v/>
      </c>
      <c r="S274" s="22">
        <f>IFERROR(IF($U274="",1,INDEX(Deals!$V$2:$V$355,MATCH($C274,Deals!$A$2:$A$355,0))),1)</f>
        <v/>
      </c>
      <c r="T274" s="22">
        <f>IFERROR(IF($U274="",1,INDEX(Deals!$W$2:$W$355,MATCH($C274,Deals!$A$2:$A$355,0))),1)</f>
        <v/>
      </c>
      <c r="U274" s="31">
        <f>IF($C274="","",IFERROR(IF(INDEX(Deals!$Y$2:$Y$355,MATCH($C274,Deals!$A$2:$A$355,0))=0,"",INDEX(Deals!$Y$2:$Y$355,MATCH($C274,Deals!$A$2:$A$355,0))),""))</f>
        <v/>
      </c>
      <c r="V274" s="24">
        <f>IF($U274="",DATE(1900,1,1),$N274)</f>
        <v/>
      </c>
      <c r="W274" s="24">
        <f>IF($U274="",DATE(2100,12,31),$U274)</f>
        <v/>
      </c>
      <c r="X274" s="20">
        <f>IF($U274="",$K274,$K274*$S274)</f>
        <v/>
      </c>
      <c r="Y274" s="24">
        <f>IF($U274="",DATE(2100,12,31),$U274+1)</f>
        <v/>
      </c>
      <c r="Z274" s="24">
        <f>IF($U274="",DATE(1900,1,1),$O274)</f>
        <v/>
      </c>
      <c r="AA274" s="20">
        <f>IF($U274="",0,$K274*$T274)</f>
        <v/>
      </c>
    </row>
    <row r="275">
      <c r="A275" s="15" t="inlineStr">
        <is>
          <t>Kyle Risser</t>
        </is>
      </c>
      <c r="B275" s="29">
        <f>IF($A275="","",IFERROR(INDEX(Roster!$B$2:$B$40,MATCH($A275,Roster!$A$2:$A$40,0)),"?"))</f>
        <v/>
      </c>
      <c r="C275" s="15" t="inlineStr">
        <is>
          <t>Heartland_2</t>
        </is>
      </c>
      <c r="D275" s="29">
        <f>IF($C275="","",IFERROR(IF(INDEX(Deals!$C$2:$C$355,MATCH($C275,Deals!$A$2:$A$355,0))=0,"",INDEX(Deals!$C$2:$C$355,MATCH($C275,Deals!$A$2:$A$355,0))),"?"))</f>
        <v/>
      </c>
      <c r="E275" s="29">
        <f>IF($C275="","",IFERROR(INDEX(Deals!$F$2:$F$355,MATCH($C275,Deals!$A$2:$A$355,0)),"?"))</f>
        <v/>
      </c>
      <c r="F275" s="15" t="inlineStr">
        <is>
          <t>Director</t>
        </is>
      </c>
      <c r="G275" s="15" t="inlineStr">
        <is>
          <t>Active</t>
        </is>
      </c>
      <c r="H275" s="27" t="n"/>
      <c r="I275" s="20">
        <f>IF(OR($A275="",$G275&lt;&gt;"Active"),0,IF($H275&lt;&gt;"",$H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</f>
        <v/>
      </c>
      <c r="J275" s="23">
        <f>IF($C275="",0,IFERROR(INDEX(Deals!$H$2:$H$355,MATCH($C275,Deals!$A$2:$A$355,0)),0))</f>
        <v/>
      </c>
      <c r="K275" s="20">
        <f>IF(Settings!$B$4="Yes",$I275*$J275,$I275)</f>
        <v/>
      </c>
      <c r="L275" s="31">
        <f>IF($C275="","",IFERROR(IF(INDEX(Deals!$I$2:$I$355,MATCH($C275,Deals!$A$2:$A$355,0))=0,"",INDEX(Deals!$I$2:$I$355,MATCH($C275,Deals!$A$2:$A$355,0))),""))</f>
        <v/>
      </c>
      <c r="M275" s="31">
        <f>IF($C275="","",IFERROR(IF(INDEX(Deals!$J$2:$J$355,MATCH($C275,Deals!$A$2:$A$355,0))=0,"",INDEX(Deals!$J$2:$J$355,MATCH($C275,Deals!$A$2:$A$355,0))),""))</f>
        <v/>
      </c>
      <c r="N275" s="24">
        <f>IF($L275="",DATE(1900,1,1),$L275)</f>
        <v/>
      </c>
      <c r="O275" s="24">
        <f>IF($M275="",DATE(2100,12,31),$M275)</f>
        <v/>
      </c>
      <c r="P275" s="16" t="inlineStr"/>
      <c r="Q275" s="16" t="inlineStr"/>
      <c r="R275" s="29">
        <f>IF($C275="","",IFERROR(IF(INDEX(Deals!$U$2:$U$355,MATCH($C275,Deals!$A$2:$A$355,0))=0,"",INDEX(Deals!$U$2:$U$355,MATCH($C275,Deals!$A$2:$A$355,0))),""))</f>
        <v/>
      </c>
      <c r="S275" s="22">
        <f>IFERROR(IF($U275="",1,INDEX(Deals!$V$2:$V$355,MATCH($C275,Deals!$A$2:$A$355,0))),1)</f>
        <v/>
      </c>
      <c r="T275" s="22">
        <f>IFERROR(IF($U275="",1,INDEX(Deals!$W$2:$W$355,MATCH($C275,Deals!$A$2:$A$355,0))),1)</f>
        <v/>
      </c>
      <c r="U275" s="31">
        <f>IF($C275="","",IFERROR(IF(INDEX(Deals!$Y$2:$Y$355,MATCH($C275,Deals!$A$2:$A$355,0))=0,"",INDEX(Deals!$Y$2:$Y$355,MATCH($C275,Deals!$A$2:$A$355,0))),""))</f>
        <v/>
      </c>
      <c r="V275" s="24">
        <f>IF($U275="",DATE(1900,1,1),$N275)</f>
        <v/>
      </c>
      <c r="W275" s="24">
        <f>IF($U275="",DATE(2100,12,31),$U275)</f>
        <v/>
      </c>
      <c r="X275" s="20">
        <f>IF($U275="",$K275,$K275*$S275)</f>
        <v/>
      </c>
      <c r="Y275" s="24">
        <f>IF($U275="",DATE(2100,12,31),$U275+1)</f>
        <v/>
      </c>
      <c r="Z275" s="24">
        <f>IF($U275="",DATE(1900,1,1),$O275)</f>
        <v/>
      </c>
      <c r="AA275" s="20">
        <f>IF($U275="",0,$K275*$T275)</f>
        <v/>
      </c>
    </row>
    <row r="276">
      <c r="A276" s="15" t="inlineStr">
        <is>
          <t>Kyle Risser</t>
        </is>
      </c>
      <c r="B276" s="29">
        <f>IF($A276="","",IFERROR(INDEX(Roster!$B$2:$B$40,MATCH($A276,Roster!$A$2:$A$40,0)),"?"))</f>
        <v/>
      </c>
      <c r="C276" s="15" t="inlineStr">
        <is>
          <t>IPX Power_1</t>
        </is>
      </c>
      <c r="D276" s="29">
        <f>IF($C276="","",IFERROR(IF(INDEX(Deals!$C$2:$C$355,MATCH($C276,Deals!$A$2:$A$355,0))=0,"",INDEX(Deals!$C$2:$C$355,MATCH($C276,Deals!$A$2:$A$355,0))),"?"))</f>
        <v/>
      </c>
      <c r="E276" s="29">
        <f>IF($C276="","",IFERROR(INDEX(Deals!$F$2:$F$355,MATCH($C276,Deals!$A$2:$A$355,0)),"?"))</f>
        <v/>
      </c>
      <c r="F276" s="15" t="inlineStr">
        <is>
          <t>Director</t>
        </is>
      </c>
      <c r="G276" s="15" t="inlineStr">
        <is>
          <t>Active</t>
        </is>
      </c>
      <c r="H276" s="27" t="n"/>
      <c r="I276" s="20">
        <f>IF(OR($A276="",$G276&lt;&gt;"Active"),0,IF($H276&lt;&gt;"",$H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</f>
        <v/>
      </c>
      <c r="J276" s="23">
        <f>IF($C276="",0,IFERROR(INDEX(Deals!$H$2:$H$355,MATCH($C276,Deals!$A$2:$A$355,0)),0))</f>
        <v/>
      </c>
      <c r="K276" s="20">
        <f>IF(Settings!$B$4="Yes",$I276*$J276,$I276)</f>
        <v/>
      </c>
      <c r="L276" s="31">
        <f>IF($C276="","",IFERROR(IF(INDEX(Deals!$I$2:$I$355,MATCH($C276,Deals!$A$2:$A$355,0))=0,"",INDEX(Deals!$I$2:$I$355,MATCH($C276,Deals!$A$2:$A$355,0))),""))</f>
        <v/>
      </c>
      <c r="M276" s="31">
        <f>IF($C276="","",IFERROR(IF(INDEX(Deals!$J$2:$J$355,MATCH($C276,Deals!$A$2:$A$355,0))=0,"",INDEX(Deals!$J$2:$J$355,MATCH($C276,Deals!$A$2:$A$355,0))),""))</f>
        <v/>
      </c>
      <c r="N276" s="24">
        <f>IF($L276="",DATE(1900,1,1),$L276)</f>
        <v/>
      </c>
      <c r="O276" s="24">
        <f>IF($M276="",DATE(2100,12,31),$M276)</f>
        <v/>
      </c>
      <c r="P276" s="16" t="inlineStr"/>
      <c r="Q276" s="16" t="inlineStr"/>
      <c r="R276" s="29">
        <f>IF($C276="","",IFERROR(IF(INDEX(Deals!$U$2:$U$355,MATCH($C276,Deals!$A$2:$A$355,0))=0,"",INDEX(Deals!$U$2:$U$355,MATCH($C276,Deals!$A$2:$A$355,0))),""))</f>
        <v/>
      </c>
      <c r="S276" s="22">
        <f>IFERROR(IF($U276="",1,INDEX(Deals!$V$2:$V$355,MATCH($C276,Deals!$A$2:$A$355,0))),1)</f>
        <v/>
      </c>
      <c r="T276" s="22">
        <f>IFERROR(IF($U276="",1,INDEX(Deals!$W$2:$W$355,MATCH($C276,Deals!$A$2:$A$355,0))),1)</f>
        <v/>
      </c>
      <c r="U276" s="31">
        <f>IF($C276="","",IFERROR(IF(INDEX(Deals!$Y$2:$Y$355,MATCH($C276,Deals!$A$2:$A$355,0))=0,"",INDEX(Deals!$Y$2:$Y$355,MATCH($C276,Deals!$A$2:$A$355,0))),""))</f>
        <v/>
      </c>
      <c r="V276" s="24">
        <f>IF($U276="",DATE(1900,1,1),$N276)</f>
        <v/>
      </c>
      <c r="W276" s="24">
        <f>IF($U276="",DATE(2100,12,31),$U276)</f>
        <v/>
      </c>
      <c r="X276" s="20">
        <f>IF($U276="",$K276,$K276*$S276)</f>
        <v/>
      </c>
      <c r="Y276" s="24">
        <f>IF($U276="",DATE(2100,12,31),$U276+1)</f>
        <v/>
      </c>
      <c r="Z276" s="24">
        <f>IF($U276="",DATE(1900,1,1),$O276)</f>
        <v/>
      </c>
      <c r="AA276" s="20">
        <f>IF($U276="",0,$K276*$T276)</f>
        <v/>
      </c>
    </row>
    <row r="277">
      <c r="A277" s="15" t="inlineStr">
        <is>
          <t>Kyle Risser</t>
        </is>
      </c>
      <c r="B277" s="29">
        <f>IF($A277="","",IFERROR(INDEX(Roster!$B$2:$B$40,MATCH($A277,Roster!$A$2:$A$40,0)),"?"))</f>
        <v/>
      </c>
      <c r="C277" s="15" t="inlineStr">
        <is>
          <t>Prince_3</t>
        </is>
      </c>
      <c r="D277" s="29">
        <f>IF($C277="","",IFERROR(IF(INDEX(Deals!$C$2:$C$355,MATCH($C277,Deals!$A$2:$A$355,0))=0,"",INDEX(Deals!$C$2:$C$355,MATCH($C277,Deals!$A$2:$A$355,0))),"?"))</f>
        <v/>
      </c>
      <c r="E277" s="29">
        <f>IF($C277="","",IFERROR(INDEX(Deals!$F$2:$F$355,MATCH($C277,Deals!$A$2:$A$355,0)),"?"))</f>
        <v/>
      </c>
      <c r="F277" s="15" t="inlineStr">
        <is>
          <t>Director</t>
        </is>
      </c>
      <c r="G277" s="15" t="inlineStr">
        <is>
          <t>Active</t>
        </is>
      </c>
      <c r="H277" s="27" t="n"/>
      <c r="I277" s="20">
        <f>IF(OR($A277="",$G277&lt;&gt;"Active"),0,IF($H277&lt;&gt;"",$H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</f>
        <v/>
      </c>
      <c r="J277" s="23">
        <f>IF($C277="",0,IFERROR(INDEX(Deals!$H$2:$H$355,MATCH($C277,Deals!$A$2:$A$355,0)),0))</f>
        <v/>
      </c>
      <c r="K277" s="20">
        <f>IF(Settings!$B$4="Yes",$I277*$J277,$I277)</f>
        <v/>
      </c>
      <c r="L277" s="31">
        <f>IF($C277="","",IFERROR(IF(INDEX(Deals!$I$2:$I$355,MATCH($C277,Deals!$A$2:$A$355,0))=0,"",INDEX(Deals!$I$2:$I$355,MATCH($C277,Deals!$A$2:$A$355,0))),""))</f>
        <v/>
      </c>
      <c r="M277" s="31">
        <f>IF($C277="","",IFERROR(IF(INDEX(Deals!$J$2:$J$355,MATCH($C277,Deals!$A$2:$A$355,0))=0,"",INDEX(Deals!$J$2:$J$355,MATCH($C277,Deals!$A$2:$A$355,0))),""))</f>
        <v/>
      </c>
      <c r="N277" s="24">
        <f>IF($L277="",DATE(1900,1,1),$L277)</f>
        <v/>
      </c>
      <c r="O277" s="24">
        <f>IF($M277="",DATE(2100,12,31),$M277)</f>
        <v/>
      </c>
      <c r="P277" s="16" t="inlineStr"/>
      <c r="Q277" s="16" t="inlineStr"/>
      <c r="R277" s="29">
        <f>IF($C277="","",IFERROR(IF(INDEX(Deals!$U$2:$U$355,MATCH($C277,Deals!$A$2:$A$355,0))=0,"",INDEX(Deals!$U$2:$U$355,MATCH($C277,Deals!$A$2:$A$355,0))),""))</f>
        <v/>
      </c>
      <c r="S277" s="22">
        <f>IFERROR(IF($U277="",1,INDEX(Deals!$V$2:$V$355,MATCH($C277,Deals!$A$2:$A$355,0))),1)</f>
        <v/>
      </c>
      <c r="T277" s="22">
        <f>IFERROR(IF($U277="",1,INDEX(Deals!$W$2:$W$355,MATCH($C277,Deals!$A$2:$A$355,0))),1)</f>
        <v/>
      </c>
      <c r="U277" s="31">
        <f>IF($C277="","",IFERROR(IF(INDEX(Deals!$Y$2:$Y$355,MATCH($C277,Deals!$A$2:$A$355,0))=0,"",INDEX(Deals!$Y$2:$Y$355,MATCH($C277,Deals!$A$2:$A$355,0))),""))</f>
        <v/>
      </c>
      <c r="V277" s="24">
        <f>IF($U277="",DATE(1900,1,1),$N277)</f>
        <v/>
      </c>
      <c r="W277" s="24">
        <f>IF($U277="",DATE(2100,12,31),$U277)</f>
        <v/>
      </c>
      <c r="X277" s="20">
        <f>IF($U277="",$K277,$K277*$S277)</f>
        <v/>
      </c>
      <c r="Y277" s="24">
        <f>IF($U277="",DATE(2100,12,31),$U277+1)</f>
        <v/>
      </c>
      <c r="Z277" s="24">
        <f>IF($U277="",DATE(1900,1,1),$O277)</f>
        <v/>
      </c>
      <c r="AA277" s="20">
        <f>IF($U277="",0,$K277*$T277)</f>
        <v/>
      </c>
    </row>
    <row r="278">
      <c r="A278" s="15" t="inlineStr">
        <is>
          <t>Kyle Risser</t>
        </is>
      </c>
      <c r="B278" s="29">
        <f>IF($A278="","",IFERROR(INDEX(Roster!$B$2:$B$40,MATCH($A278,Roster!$A$2:$A$40,0)),"?"))</f>
        <v/>
      </c>
      <c r="C278" s="15" t="inlineStr">
        <is>
          <t>Shika_1</t>
        </is>
      </c>
      <c r="D278" s="29">
        <f>IF($C278="","",IFERROR(IF(INDEX(Deals!$C$2:$C$355,MATCH($C278,Deals!$A$2:$A$355,0))=0,"",INDEX(Deals!$C$2:$C$355,MATCH($C278,Deals!$A$2:$A$355,0))),"?"))</f>
        <v/>
      </c>
      <c r="E278" s="29">
        <f>IF($C278="","",IFERROR(INDEX(Deals!$F$2:$F$355,MATCH($C278,Deals!$A$2:$A$355,0)),"?"))</f>
        <v/>
      </c>
      <c r="F278" s="15" t="inlineStr">
        <is>
          <t>Director</t>
        </is>
      </c>
      <c r="G278" s="15" t="inlineStr">
        <is>
          <t>Active</t>
        </is>
      </c>
      <c r="H278" s="27" t="n"/>
      <c r="I278" s="20">
        <f>IF(OR($A278="",$G278&lt;&gt;"Active"),0,IF($H278&lt;&gt;"",$H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</f>
        <v/>
      </c>
      <c r="J278" s="23">
        <f>IF($C278="",0,IFERROR(INDEX(Deals!$H$2:$H$355,MATCH($C278,Deals!$A$2:$A$355,0)),0))</f>
        <v/>
      </c>
      <c r="K278" s="20">
        <f>IF(Settings!$B$4="Yes",$I278*$J278,$I278)</f>
        <v/>
      </c>
      <c r="L278" s="31">
        <f>IF($C278="","",IFERROR(IF(INDEX(Deals!$I$2:$I$355,MATCH($C278,Deals!$A$2:$A$355,0))=0,"",INDEX(Deals!$I$2:$I$355,MATCH($C278,Deals!$A$2:$A$355,0))),""))</f>
        <v/>
      </c>
      <c r="M278" s="31">
        <f>IF($C278="","",IFERROR(IF(INDEX(Deals!$J$2:$J$355,MATCH($C278,Deals!$A$2:$A$355,0))=0,"",INDEX(Deals!$J$2:$J$355,MATCH($C278,Deals!$A$2:$A$355,0))),""))</f>
        <v/>
      </c>
      <c r="N278" s="24">
        <f>IF($L278="",DATE(1900,1,1),$L278)</f>
        <v/>
      </c>
      <c r="O278" s="24">
        <f>IF($M278="",DATE(2100,12,31),$M278)</f>
        <v/>
      </c>
      <c r="P278" s="16" t="inlineStr"/>
      <c r="Q278" s="16" t="inlineStr"/>
      <c r="R278" s="29">
        <f>IF($C278="","",IFERROR(IF(INDEX(Deals!$U$2:$U$355,MATCH($C278,Deals!$A$2:$A$355,0))=0,"",INDEX(Deals!$U$2:$U$355,MATCH($C278,Deals!$A$2:$A$355,0))),""))</f>
        <v/>
      </c>
      <c r="S278" s="22">
        <f>IFERROR(IF($U278="",1,INDEX(Deals!$V$2:$V$355,MATCH($C278,Deals!$A$2:$A$355,0))),1)</f>
        <v/>
      </c>
      <c r="T278" s="22">
        <f>IFERROR(IF($U278="",1,INDEX(Deals!$W$2:$W$355,MATCH($C278,Deals!$A$2:$A$355,0))),1)</f>
        <v/>
      </c>
      <c r="U278" s="31">
        <f>IF($C278="","",IFERROR(IF(INDEX(Deals!$Y$2:$Y$355,MATCH($C278,Deals!$A$2:$A$355,0))=0,"",INDEX(Deals!$Y$2:$Y$355,MATCH($C278,Deals!$A$2:$A$355,0))),""))</f>
        <v/>
      </c>
      <c r="V278" s="24">
        <f>IF($U278="",DATE(1900,1,1),$N278)</f>
        <v/>
      </c>
      <c r="W278" s="24">
        <f>IF($U278="",DATE(2100,12,31),$U278)</f>
        <v/>
      </c>
      <c r="X278" s="20">
        <f>IF($U278="",$K278,$K278*$S278)</f>
        <v/>
      </c>
      <c r="Y278" s="24">
        <f>IF($U278="",DATE(2100,12,31),$U278+1)</f>
        <v/>
      </c>
      <c r="Z278" s="24">
        <f>IF($U278="",DATE(1900,1,1),$O278)</f>
        <v/>
      </c>
      <c r="AA278" s="20">
        <f>IF($U278="",0,$K278*$T278)</f>
        <v/>
      </c>
    </row>
    <row r="279">
      <c r="A279" s="15" t="inlineStr">
        <is>
          <t>Kyle Risser</t>
        </is>
      </c>
      <c r="B279" s="29">
        <f>IF($A279="","",IFERROR(INDEX(Roster!$B$2:$B$40,MATCH($A279,Roster!$A$2:$A$40,0)),"?"))</f>
        <v/>
      </c>
      <c r="C279" s="15" t="inlineStr">
        <is>
          <t>Truman_1</t>
        </is>
      </c>
      <c r="D279" s="29">
        <f>IF($C279="","",IFERROR(IF(INDEX(Deals!$C$2:$C$355,MATCH($C279,Deals!$A$2:$A$355,0))=0,"",INDEX(Deals!$C$2:$C$355,MATCH($C279,Deals!$A$2:$A$355,0))),"?"))</f>
        <v/>
      </c>
      <c r="E279" s="29">
        <f>IF($C279="","",IFERROR(INDEX(Deals!$F$2:$F$355,MATCH($C279,Deals!$A$2:$A$355,0)),"?"))</f>
        <v/>
      </c>
      <c r="F279" s="15" t="inlineStr">
        <is>
          <t>Director</t>
        </is>
      </c>
      <c r="G279" s="15" t="inlineStr">
        <is>
          <t>Active</t>
        </is>
      </c>
      <c r="H279" s="27" t="n"/>
      <c r="I279" s="20">
        <f>IF(OR($A279="",$G279&lt;&gt;"Active"),0,IF($H279&lt;&gt;"",$H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</f>
        <v/>
      </c>
      <c r="J279" s="23">
        <f>IF($C279="",0,IFERROR(INDEX(Deals!$H$2:$H$355,MATCH($C279,Deals!$A$2:$A$355,0)),0))</f>
        <v/>
      </c>
      <c r="K279" s="20">
        <f>IF(Settings!$B$4="Yes",$I279*$J279,$I279)</f>
        <v/>
      </c>
      <c r="L279" s="31">
        <f>IF($C279="","",IFERROR(IF(INDEX(Deals!$I$2:$I$355,MATCH($C279,Deals!$A$2:$A$355,0))=0,"",INDEX(Deals!$I$2:$I$355,MATCH($C279,Deals!$A$2:$A$355,0))),""))</f>
        <v/>
      </c>
      <c r="M279" s="31">
        <f>IF($C279="","",IFERROR(IF(INDEX(Deals!$J$2:$J$355,MATCH($C279,Deals!$A$2:$A$355,0))=0,"",INDEX(Deals!$J$2:$J$355,MATCH($C279,Deals!$A$2:$A$355,0))),""))</f>
        <v/>
      </c>
      <c r="N279" s="24">
        <f>IF($L279="",DATE(1900,1,1),$L279)</f>
        <v/>
      </c>
      <c r="O279" s="24">
        <f>IF($M279="",DATE(2100,12,31),$M279)</f>
        <v/>
      </c>
      <c r="P279" s="16" t="inlineStr"/>
      <c r="Q279" s="16" t="inlineStr"/>
      <c r="R279" s="29">
        <f>IF($C279="","",IFERROR(IF(INDEX(Deals!$U$2:$U$355,MATCH($C279,Deals!$A$2:$A$355,0))=0,"",INDEX(Deals!$U$2:$U$355,MATCH($C279,Deals!$A$2:$A$355,0))),""))</f>
        <v/>
      </c>
      <c r="S279" s="22">
        <f>IFERROR(IF($U279="",1,INDEX(Deals!$V$2:$V$355,MATCH($C279,Deals!$A$2:$A$355,0))),1)</f>
        <v/>
      </c>
      <c r="T279" s="22">
        <f>IFERROR(IF($U279="",1,INDEX(Deals!$W$2:$W$355,MATCH($C279,Deals!$A$2:$A$355,0))),1)</f>
        <v/>
      </c>
      <c r="U279" s="31">
        <f>IF($C279="","",IFERROR(IF(INDEX(Deals!$Y$2:$Y$355,MATCH($C279,Deals!$A$2:$A$355,0))=0,"",INDEX(Deals!$Y$2:$Y$355,MATCH($C279,Deals!$A$2:$A$355,0))),""))</f>
        <v/>
      </c>
      <c r="V279" s="24">
        <f>IF($U279="",DATE(1900,1,1),$N279)</f>
        <v/>
      </c>
      <c r="W279" s="24">
        <f>IF($U279="",DATE(2100,12,31),$U279)</f>
        <v/>
      </c>
      <c r="X279" s="20">
        <f>IF($U279="",$K279,$K279*$S279)</f>
        <v/>
      </c>
      <c r="Y279" s="24">
        <f>IF($U279="",DATE(2100,12,31),$U279+1)</f>
        <v/>
      </c>
      <c r="Z279" s="24">
        <f>IF($U279="",DATE(1900,1,1),$O279)</f>
        <v/>
      </c>
      <c r="AA279" s="20">
        <f>IF($U279="",0,$K279*$T279)</f>
        <v/>
      </c>
    </row>
    <row r="280">
      <c r="A280" s="15" t="inlineStr">
        <is>
          <t>Kyle Risser</t>
        </is>
      </c>
      <c r="B280" s="29">
        <f>IF($A280="","",IFERROR(INDEX(Roster!$B$2:$B$40,MATCH($A280,Roster!$A$2:$A$40,0)),"?"))</f>
        <v/>
      </c>
      <c r="C280" s="15" t="inlineStr">
        <is>
          <t>Truman_2</t>
        </is>
      </c>
      <c r="D280" s="29">
        <f>IF($C280="","",IFERROR(IF(INDEX(Deals!$C$2:$C$355,MATCH($C280,Deals!$A$2:$A$355,0))=0,"",INDEX(Deals!$C$2:$C$355,MATCH($C280,Deals!$A$2:$A$355,0))),"?"))</f>
        <v/>
      </c>
      <c r="E280" s="29">
        <f>IF($C280="","",IFERROR(INDEX(Deals!$F$2:$F$355,MATCH($C280,Deals!$A$2:$A$355,0)),"?"))</f>
        <v/>
      </c>
      <c r="F280" s="15" t="inlineStr">
        <is>
          <t>Director</t>
        </is>
      </c>
      <c r="G280" s="15" t="inlineStr">
        <is>
          <t>Active</t>
        </is>
      </c>
      <c r="H280" s="27" t="n"/>
      <c r="I280" s="20">
        <f>IF(OR($A280="",$G280&lt;&gt;"Active"),0,IF($H280&lt;&gt;"",$H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</f>
        <v/>
      </c>
      <c r="J280" s="23">
        <f>IF($C280="",0,IFERROR(INDEX(Deals!$H$2:$H$355,MATCH($C280,Deals!$A$2:$A$355,0)),0))</f>
        <v/>
      </c>
      <c r="K280" s="20">
        <f>IF(Settings!$B$4="Yes",$I280*$J280,$I280)</f>
        <v/>
      </c>
      <c r="L280" s="31">
        <f>IF($C280="","",IFERROR(IF(INDEX(Deals!$I$2:$I$355,MATCH($C280,Deals!$A$2:$A$355,0))=0,"",INDEX(Deals!$I$2:$I$355,MATCH($C280,Deals!$A$2:$A$355,0))),""))</f>
        <v/>
      </c>
      <c r="M280" s="31">
        <f>IF($C280="","",IFERROR(IF(INDEX(Deals!$J$2:$J$355,MATCH($C280,Deals!$A$2:$A$355,0))=0,"",INDEX(Deals!$J$2:$J$355,MATCH($C280,Deals!$A$2:$A$355,0))),""))</f>
        <v/>
      </c>
      <c r="N280" s="24">
        <f>IF($L280="",DATE(1900,1,1),$L280)</f>
        <v/>
      </c>
      <c r="O280" s="24">
        <f>IF($M280="",DATE(2100,12,31),$M280)</f>
        <v/>
      </c>
      <c r="P280" s="16" t="inlineStr"/>
      <c r="Q280" s="16" t="inlineStr"/>
      <c r="R280" s="29">
        <f>IF($C280="","",IFERROR(IF(INDEX(Deals!$U$2:$U$355,MATCH($C280,Deals!$A$2:$A$355,0))=0,"",INDEX(Deals!$U$2:$U$355,MATCH($C280,Deals!$A$2:$A$355,0))),""))</f>
        <v/>
      </c>
      <c r="S280" s="22">
        <f>IFERROR(IF($U280="",1,INDEX(Deals!$V$2:$V$355,MATCH($C280,Deals!$A$2:$A$355,0))),1)</f>
        <v/>
      </c>
      <c r="T280" s="22">
        <f>IFERROR(IF($U280="",1,INDEX(Deals!$W$2:$W$355,MATCH($C280,Deals!$A$2:$A$355,0))),1)</f>
        <v/>
      </c>
      <c r="U280" s="31">
        <f>IF($C280="","",IFERROR(IF(INDEX(Deals!$Y$2:$Y$355,MATCH($C280,Deals!$A$2:$A$355,0))=0,"",INDEX(Deals!$Y$2:$Y$355,MATCH($C280,Deals!$A$2:$A$355,0))),""))</f>
        <v/>
      </c>
      <c r="V280" s="24">
        <f>IF($U280="",DATE(1900,1,1),$N280)</f>
        <v/>
      </c>
      <c r="W280" s="24">
        <f>IF($U280="",DATE(2100,12,31),$U280)</f>
        <v/>
      </c>
      <c r="X280" s="20">
        <f>IF($U280="",$K280,$K280*$S280)</f>
        <v/>
      </c>
      <c r="Y280" s="24">
        <f>IF($U280="",DATE(2100,12,31),$U280+1)</f>
        <v/>
      </c>
      <c r="Z280" s="24">
        <f>IF($U280="",DATE(1900,1,1),$O280)</f>
        <v/>
      </c>
      <c r="AA280" s="20">
        <f>IF($U280="",0,$K280*$T280)</f>
        <v/>
      </c>
    </row>
    <row r="281">
      <c r="A281" s="15" t="inlineStr">
        <is>
          <t>Will Covalt</t>
        </is>
      </c>
      <c r="B281" s="29">
        <f>IF($A281="","",IFERROR(INDEX(Roster!$B$2:$B$40,MATCH($A281,Roster!$A$2:$A$40,0)),"?"))</f>
        <v/>
      </c>
      <c r="C281" s="15" t="inlineStr">
        <is>
          <t>Blue_6</t>
        </is>
      </c>
      <c r="D281" s="29">
        <f>IF($C281="","",IFERROR(IF(INDEX(Deals!$C$2:$C$355,MATCH($C281,Deals!$A$2:$A$355,0))=0,"",INDEX(Deals!$C$2:$C$355,MATCH($C281,Deals!$A$2:$A$355,0))),"?"))</f>
        <v/>
      </c>
      <c r="E281" s="29">
        <f>IF($C281="","",IFERROR(INDEX(Deals!$F$2:$F$355,MATCH($C281,Deals!$A$2:$A$355,0)),"?"))</f>
        <v/>
      </c>
      <c r="F281" s="15" t="inlineStr">
        <is>
          <t>Director</t>
        </is>
      </c>
      <c r="G281" s="15" t="inlineStr">
        <is>
          <t>Active</t>
        </is>
      </c>
      <c r="H281" s="27" t="n"/>
      <c r="I281" s="20">
        <f>IF(OR($A281="",$G281&lt;&gt;"Active"),0,IF($H281&lt;&gt;"",$H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</f>
        <v/>
      </c>
      <c r="J281" s="23">
        <f>IF($C281="",0,IFERROR(INDEX(Deals!$H$2:$H$355,MATCH($C281,Deals!$A$2:$A$355,0)),0))</f>
        <v/>
      </c>
      <c r="K281" s="20">
        <f>IF(Settings!$B$4="Yes",$I281*$J281,$I281)</f>
        <v/>
      </c>
      <c r="L281" s="31">
        <f>IF($C281="","",IFERROR(IF(INDEX(Deals!$I$2:$I$355,MATCH($C281,Deals!$A$2:$A$355,0))=0,"",INDEX(Deals!$I$2:$I$355,MATCH($C281,Deals!$A$2:$A$355,0))),""))</f>
        <v/>
      </c>
      <c r="M281" s="31">
        <f>IF($C281="","",IFERROR(IF(INDEX(Deals!$J$2:$J$355,MATCH($C281,Deals!$A$2:$A$355,0))=0,"",INDEX(Deals!$J$2:$J$355,MATCH($C281,Deals!$A$2:$A$355,0))),""))</f>
        <v/>
      </c>
      <c r="N281" s="24">
        <f>IF($L281="",DATE(1900,1,1),$L281)</f>
        <v/>
      </c>
      <c r="O281" s="24">
        <f>IF($M281="",DATE(2100,12,31),$M281)</f>
        <v/>
      </c>
      <c r="P281" s="16" t="inlineStr"/>
      <c r="Q281" s="16" t="inlineStr"/>
      <c r="R281" s="29">
        <f>IF($C281="","",IFERROR(IF(INDEX(Deals!$U$2:$U$355,MATCH($C281,Deals!$A$2:$A$355,0))=0,"",INDEX(Deals!$U$2:$U$355,MATCH($C281,Deals!$A$2:$A$355,0))),""))</f>
        <v/>
      </c>
      <c r="S281" s="22">
        <f>IFERROR(IF($U281="",1,INDEX(Deals!$V$2:$V$355,MATCH($C281,Deals!$A$2:$A$355,0))),1)</f>
        <v/>
      </c>
      <c r="T281" s="22">
        <f>IFERROR(IF($U281="",1,INDEX(Deals!$W$2:$W$355,MATCH($C281,Deals!$A$2:$A$355,0))),1)</f>
        <v/>
      </c>
      <c r="U281" s="31">
        <f>IF($C281="","",IFERROR(IF(INDEX(Deals!$Y$2:$Y$355,MATCH($C281,Deals!$A$2:$A$355,0))=0,"",INDEX(Deals!$Y$2:$Y$355,MATCH($C281,Deals!$A$2:$A$355,0))),""))</f>
        <v/>
      </c>
      <c r="V281" s="24">
        <f>IF($U281="",DATE(1900,1,1),$N281)</f>
        <v/>
      </c>
      <c r="W281" s="24">
        <f>IF($U281="",DATE(2100,12,31),$U281)</f>
        <v/>
      </c>
      <c r="X281" s="20">
        <f>IF($U281="",$K281,$K281*$S281)</f>
        <v/>
      </c>
      <c r="Y281" s="24">
        <f>IF($U281="",DATE(2100,12,31),$U281+1)</f>
        <v/>
      </c>
      <c r="Z281" s="24">
        <f>IF($U281="",DATE(1900,1,1),$O281)</f>
        <v/>
      </c>
      <c r="AA281" s="20">
        <f>IF($U281="",0,$K281*$T281)</f>
        <v/>
      </c>
    </row>
    <row r="282">
      <c r="A282" s="15" t="inlineStr">
        <is>
          <t>Will Covalt</t>
        </is>
      </c>
      <c r="B282" s="29">
        <f>IF($A282="","",IFERROR(INDEX(Roster!$B$2:$B$40,MATCH($A282,Roster!$A$2:$A$40,0)),"?"))</f>
        <v/>
      </c>
      <c r="C282" s="15" t="inlineStr">
        <is>
          <t>Dental_1</t>
        </is>
      </c>
      <c r="D282" s="29">
        <f>IF($C282="","",IFERROR(IF(INDEX(Deals!$C$2:$C$355,MATCH($C282,Deals!$A$2:$A$355,0))=0,"",INDEX(Deals!$C$2:$C$355,MATCH($C282,Deals!$A$2:$A$355,0))),"?"))</f>
        <v/>
      </c>
      <c r="E282" s="29">
        <f>IF($C282="","",IFERROR(INDEX(Deals!$F$2:$F$355,MATCH($C282,Deals!$A$2:$A$355,0)),"?"))</f>
        <v/>
      </c>
      <c r="F282" s="15" t="inlineStr">
        <is>
          <t>Director</t>
        </is>
      </c>
      <c r="G282" s="15" t="inlineStr">
        <is>
          <t>Active</t>
        </is>
      </c>
      <c r="H282" s="27" t="n"/>
      <c r="I282" s="20">
        <f>IF(OR($A282="",$G282&lt;&gt;"Active"),0,IF($H282&lt;&gt;"",$H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</f>
        <v/>
      </c>
      <c r="J282" s="23">
        <f>IF($C282="",0,IFERROR(INDEX(Deals!$H$2:$H$355,MATCH($C282,Deals!$A$2:$A$355,0)),0))</f>
        <v/>
      </c>
      <c r="K282" s="20">
        <f>IF(Settings!$B$4="Yes",$I282*$J282,$I282)</f>
        <v/>
      </c>
      <c r="L282" s="31">
        <f>IF($C282="","",IFERROR(IF(INDEX(Deals!$I$2:$I$355,MATCH($C282,Deals!$A$2:$A$355,0))=0,"",INDEX(Deals!$I$2:$I$355,MATCH($C282,Deals!$A$2:$A$355,0))),""))</f>
        <v/>
      </c>
      <c r="M282" s="31">
        <f>IF($C282="","",IFERROR(IF(INDEX(Deals!$J$2:$J$355,MATCH($C282,Deals!$A$2:$A$355,0))=0,"",INDEX(Deals!$J$2:$J$355,MATCH($C282,Deals!$A$2:$A$355,0))),""))</f>
        <v/>
      </c>
      <c r="N282" s="24">
        <f>IF($L282="",DATE(1900,1,1),$L282)</f>
        <v/>
      </c>
      <c r="O282" s="24">
        <f>IF($M282="",DATE(2100,12,31),$M282)</f>
        <v/>
      </c>
      <c r="P282" s="16" t="inlineStr"/>
      <c r="Q282" s="16" t="inlineStr"/>
      <c r="R282" s="29">
        <f>IF($C282="","",IFERROR(IF(INDEX(Deals!$U$2:$U$355,MATCH($C282,Deals!$A$2:$A$355,0))=0,"",INDEX(Deals!$U$2:$U$355,MATCH($C282,Deals!$A$2:$A$355,0))),""))</f>
        <v/>
      </c>
      <c r="S282" s="22">
        <f>IFERROR(IF($U282="",1,INDEX(Deals!$V$2:$V$355,MATCH($C282,Deals!$A$2:$A$355,0))),1)</f>
        <v/>
      </c>
      <c r="T282" s="22">
        <f>IFERROR(IF($U282="",1,INDEX(Deals!$W$2:$W$355,MATCH($C282,Deals!$A$2:$A$355,0))),1)</f>
        <v/>
      </c>
      <c r="U282" s="31">
        <f>IF($C282="","",IFERROR(IF(INDEX(Deals!$Y$2:$Y$355,MATCH($C282,Deals!$A$2:$A$355,0))=0,"",INDEX(Deals!$Y$2:$Y$355,MATCH($C282,Deals!$A$2:$A$355,0))),""))</f>
        <v/>
      </c>
      <c r="V282" s="24">
        <f>IF($U282="",DATE(1900,1,1),$N282)</f>
        <v/>
      </c>
      <c r="W282" s="24">
        <f>IF($U282="",DATE(2100,12,31),$U282)</f>
        <v/>
      </c>
      <c r="X282" s="20">
        <f>IF($U282="",$K282,$K282*$S282)</f>
        <v/>
      </c>
      <c r="Y282" s="24">
        <f>IF($U282="",DATE(2100,12,31),$U282+1)</f>
        <v/>
      </c>
      <c r="Z282" s="24">
        <f>IF($U282="",DATE(1900,1,1),$O282)</f>
        <v/>
      </c>
      <c r="AA282" s="20">
        <f>IF($U282="",0,$K282*$T282)</f>
        <v/>
      </c>
    </row>
    <row r="283">
      <c r="A283" s="15" t="inlineStr">
        <is>
          <t>Will Covalt</t>
        </is>
      </c>
      <c r="B283" s="29">
        <f>IF($A283="","",IFERROR(INDEX(Roster!$B$2:$B$40,MATCH($A283,Roster!$A$2:$A$40,0)),"?"))</f>
        <v/>
      </c>
      <c r="C283" s="15" t="inlineStr">
        <is>
          <t>Emerald_6</t>
        </is>
      </c>
      <c r="D283" s="29">
        <f>IF($C283="","",IFERROR(IF(INDEX(Deals!$C$2:$C$355,MATCH($C283,Deals!$A$2:$A$355,0))=0,"",INDEX(Deals!$C$2:$C$355,MATCH($C283,Deals!$A$2:$A$355,0))),"?"))</f>
        <v/>
      </c>
      <c r="E283" s="29">
        <f>IF($C283="","",IFERROR(INDEX(Deals!$F$2:$F$355,MATCH($C283,Deals!$A$2:$A$355,0)),"?"))</f>
        <v/>
      </c>
      <c r="F283" s="15" t="inlineStr">
        <is>
          <t>Director</t>
        </is>
      </c>
      <c r="G283" s="15" t="inlineStr">
        <is>
          <t>Active</t>
        </is>
      </c>
      <c r="H283" s="27" t="n"/>
      <c r="I283" s="20">
        <f>IF(OR($A283="",$G283&lt;&gt;"Active"),0,IF($H283&lt;&gt;"",$H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</f>
        <v/>
      </c>
      <c r="J283" s="23">
        <f>IF($C283="",0,IFERROR(INDEX(Deals!$H$2:$H$355,MATCH($C283,Deals!$A$2:$A$355,0)),0))</f>
        <v/>
      </c>
      <c r="K283" s="20">
        <f>IF(Settings!$B$4="Yes",$I283*$J283,$I283)</f>
        <v/>
      </c>
      <c r="L283" s="31">
        <f>IF($C283="","",IFERROR(IF(INDEX(Deals!$I$2:$I$355,MATCH($C283,Deals!$A$2:$A$355,0))=0,"",INDEX(Deals!$I$2:$I$355,MATCH($C283,Deals!$A$2:$A$355,0))),""))</f>
        <v/>
      </c>
      <c r="M283" s="31">
        <f>IF($C283="","",IFERROR(IF(INDEX(Deals!$J$2:$J$355,MATCH($C283,Deals!$A$2:$A$355,0))=0,"",INDEX(Deals!$J$2:$J$355,MATCH($C283,Deals!$A$2:$A$355,0))),""))</f>
        <v/>
      </c>
      <c r="N283" s="24">
        <f>IF($L283="",DATE(1900,1,1),$L283)</f>
        <v/>
      </c>
      <c r="O283" s="24">
        <f>IF($M283="",DATE(2100,12,31),$M283)</f>
        <v/>
      </c>
      <c r="P283" s="16" t="inlineStr"/>
      <c r="Q283" s="16" t="inlineStr"/>
      <c r="R283" s="29">
        <f>IF($C283="","",IFERROR(IF(INDEX(Deals!$U$2:$U$355,MATCH($C283,Deals!$A$2:$A$355,0))=0,"",INDEX(Deals!$U$2:$U$355,MATCH($C283,Deals!$A$2:$A$355,0))),""))</f>
        <v/>
      </c>
      <c r="S283" s="22">
        <f>IFERROR(IF($U283="",1,INDEX(Deals!$V$2:$V$355,MATCH($C283,Deals!$A$2:$A$355,0))),1)</f>
        <v/>
      </c>
      <c r="T283" s="22">
        <f>IFERROR(IF($U283="",1,INDEX(Deals!$W$2:$W$355,MATCH($C283,Deals!$A$2:$A$355,0))),1)</f>
        <v/>
      </c>
      <c r="U283" s="31">
        <f>IF($C283="","",IFERROR(IF(INDEX(Deals!$Y$2:$Y$355,MATCH($C283,Deals!$A$2:$A$355,0))=0,"",INDEX(Deals!$Y$2:$Y$355,MATCH($C283,Deals!$A$2:$A$355,0))),""))</f>
        <v/>
      </c>
      <c r="V283" s="24">
        <f>IF($U283="",DATE(1900,1,1),$N283)</f>
        <v/>
      </c>
      <c r="W283" s="24">
        <f>IF($U283="",DATE(2100,12,31),$U283)</f>
        <v/>
      </c>
      <c r="X283" s="20">
        <f>IF($U283="",$K283,$K283*$S283)</f>
        <v/>
      </c>
      <c r="Y283" s="24">
        <f>IF($U283="",DATE(2100,12,31),$U283+1)</f>
        <v/>
      </c>
      <c r="Z283" s="24">
        <f>IF($U283="",DATE(1900,1,1),$O283)</f>
        <v/>
      </c>
      <c r="AA283" s="20">
        <f>IF($U283="",0,$K283*$T283)</f>
        <v/>
      </c>
    </row>
    <row r="284">
      <c r="A284" s="15" t="inlineStr">
        <is>
          <t>Will Covalt</t>
        </is>
      </c>
      <c r="B284" s="29">
        <f>IF($A284="","",IFERROR(INDEX(Roster!$B$2:$B$40,MATCH($A284,Roster!$A$2:$A$40,0)),"?"))</f>
        <v/>
      </c>
      <c r="C284" s="15" t="inlineStr">
        <is>
          <t>Gateway_3</t>
        </is>
      </c>
      <c r="D284" s="29">
        <f>IF($C284="","",IFERROR(IF(INDEX(Deals!$C$2:$C$355,MATCH($C284,Deals!$A$2:$A$355,0))=0,"",INDEX(Deals!$C$2:$C$355,MATCH($C284,Deals!$A$2:$A$355,0))),"?"))</f>
        <v/>
      </c>
      <c r="E284" s="29">
        <f>IF($C284="","",IFERROR(INDEX(Deals!$F$2:$F$355,MATCH($C284,Deals!$A$2:$A$355,0)),"?"))</f>
        <v/>
      </c>
      <c r="F284" s="15" t="inlineStr">
        <is>
          <t>Director</t>
        </is>
      </c>
      <c r="G284" s="15" t="inlineStr">
        <is>
          <t>Active</t>
        </is>
      </c>
      <c r="H284" s="27" t="n"/>
      <c r="I284" s="20">
        <f>IF(OR($A284="",$G284&lt;&gt;"Active"),0,IF($H284&lt;&gt;"",$H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</f>
        <v/>
      </c>
      <c r="J284" s="23">
        <f>IF($C284="",0,IFERROR(INDEX(Deals!$H$2:$H$355,MATCH($C284,Deals!$A$2:$A$355,0)),0))</f>
        <v/>
      </c>
      <c r="K284" s="20">
        <f>IF(Settings!$B$4="Yes",$I284*$J284,$I284)</f>
        <v/>
      </c>
      <c r="L284" s="31">
        <f>IF($C284="","",IFERROR(IF(INDEX(Deals!$I$2:$I$355,MATCH($C284,Deals!$A$2:$A$355,0))=0,"",INDEX(Deals!$I$2:$I$355,MATCH($C284,Deals!$A$2:$A$355,0))),""))</f>
        <v/>
      </c>
      <c r="M284" s="31">
        <f>IF($C284="","",IFERROR(IF(INDEX(Deals!$J$2:$J$355,MATCH($C284,Deals!$A$2:$A$355,0))=0,"",INDEX(Deals!$J$2:$J$355,MATCH($C284,Deals!$A$2:$A$355,0))),""))</f>
        <v/>
      </c>
      <c r="N284" s="24">
        <f>IF($L284="",DATE(1900,1,1),$L284)</f>
        <v/>
      </c>
      <c r="O284" s="24">
        <f>IF($M284="",DATE(2100,12,31),$M284)</f>
        <v/>
      </c>
      <c r="P284" s="16" t="inlineStr"/>
      <c r="Q284" s="16" t="inlineStr"/>
      <c r="R284" s="29">
        <f>IF($C284="","",IFERROR(IF(INDEX(Deals!$U$2:$U$355,MATCH($C284,Deals!$A$2:$A$355,0))=0,"",INDEX(Deals!$U$2:$U$355,MATCH($C284,Deals!$A$2:$A$355,0))),""))</f>
        <v/>
      </c>
      <c r="S284" s="22">
        <f>IFERROR(IF($U284="",1,INDEX(Deals!$V$2:$V$355,MATCH($C284,Deals!$A$2:$A$355,0))),1)</f>
        <v/>
      </c>
      <c r="T284" s="22">
        <f>IFERROR(IF($U284="",1,INDEX(Deals!$W$2:$W$355,MATCH($C284,Deals!$A$2:$A$355,0))),1)</f>
        <v/>
      </c>
      <c r="U284" s="31">
        <f>IF($C284="","",IFERROR(IF(INDEX(Deals!$Y$2:$Y$355,MATCH($C284,Deals!$A$2:$A$355,0))=0,"",INDEX(Deals!$Y$2:$Y$355,MATCH($C284,Deals!$A$2:$A$355,0))),""))</f>
        <v/>
      </c>
      <c r="V284" s="24">
        <f>IF($U284="",DATE(1900,1,1),$N284)</f>
        <v/>
      </c>
      <c r="W284" s="24">
        <f>IF($U284="",DATE(2100,12,31),$U284)</f>
        <v/>
      </c>
      <c r="X284" s="20">
        <f>IF($U284="",$K284,$K284*$S284)</f>
        <v/>
      </c>
      <c r="Y284" s="24">
        <f>IF($U284="",DATE(2100,12,31),$U284+1)</f>
        <v/>
      </c>
      <c r="Z284" s="24">
        <f>IF($U284="",DATE(1900,1,1),$O284)</f>
        <v/>
      </c>
      <c r="AA284" s="20">
        <f>IF($U284="",0,$K284*$T284)</f>
        <v/>
      </c>
    </row>
    <row r="285">
      <c r="A285" s="15" t="inlineStr">
        <is>
          <t>Will Covalt</t>
        </is>
      </c>
      <c r="B285" s="29">
        <f>IF($A285="","",IFERROR(INDEX(Roster!$B$2:$B$40,MATCH($A285,Roster!$A$2:$A$40,0)),"?"))</f>
        <v/>
      </c>
      <c r="C285" s="15" t="inlineStr">
        <is>
          <t>Heartland_2</t>
        </is>
      </c>
      <c r="D285" s="29">
        <f>IF($C285="","",IFERROR(IF(INDEX(Deals!$C$2:$C$355,MATCH($C285,Deals!$A$2:$A$355,0))=0,"",INDEX(Deals!$C$2:$C$355,MATCH($C285,Deals!$A$2:$A$355,0))),"?"))</f>
        <v/>
      </c>
      <c r="E285" s="29">
        <f>IF($C285="","",IFERROR(INDEX(Deals!$F$2:$F$355,MATCH($C285,Deals!$A$2:$A$355,0)),"?"))</f>
        <v/>
      </c>
      <c r="F285" s="15" t="inlineStr">
        <is>
          <t>Director</t>
        </is>
      </c>
      <c r="G285" s="15" t="inlineStr">
        <is>
          <t>Active</t>
        </is>
      </c>
      <c r="H285" s="27" t="n"/>
      <c r="I285" s="20">
        <f>IF(OR($A285="",$G285&lt;&gt;"Active"),0,IF($H285&lt;&gt;"",$H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</f>
        <v/>
      </c>
      <c r="J285" s="23">
        <f>IF($C285="",0,IFERROR(INDEX(Deals!$H$2:$H$355,MATCH($C285,Deals!$A$2:$A$355,0)),0))</f>
        <v/>
      </c>
      <c r="K285" s="20">
        <f>IF(Settings!$B$4="Yes",$I285*$J285,$I285)</f>
        <v/>
      </c>
      <c r="L285" s="31">
        <f>IF($C285="","",IFERROR(IF(INDEX(Deals!$I$2:$I$355,MATCH($C285,Deals!$A$2:$A$355,0))=0,"",INDEX(Deals!$I$2:$I$355,MATCH($C285,Deals!$A$2:$A$355,0))),""))</f>
        <v/>
      </c>
      <c r="M285" s="31">
        <f>IF($C285="","",IFERROR(IF(INDEX(Deals!$J$2:$J$355,MATCH($C285,Deals!$A$2:$A$355,0))=0,"",INDEX(Deals!$J$2:$J$355,MATCH($C285,Deals!$A$2:$A$355,0))),""))</f>
        <v/>
      </c>
      <c r="N285" s="24">
        <f>IF($L285="",DATE(1900,1,1),$L285)</f>
        <v/>
      </c>
      <c r="O285" s="24">
        <f>IF($M285="",DATE(2100,12,31),$M285)</f>
        <v/>
      </c>
      <c r="P285" s="16" t="inlineStr"/>
      <c r="Q285" s="16" t="inlineStr"/>
      <c r="R285" s="29">
        <f>IF($C285="","",IFERROR(IF(INDEX(Deals!$U$2:$U$355,MATCH($C285,Deals!$A$2:$A$355,0))=0,"",INDEX(Deals!$U$2:$U$355,MATCH($C285,Deals!$A$2:$A$355,0))),""))</f>
        <v/>
      </c>
      <c r="S285" s="22">
        <f>IFERROR(IF($U285="",1,INDEX(Deals!$V$2:$V$355,MATCH($C285,Deals!$A$2:$A$355,0))),1)</f>
        <v/>
      </c>
      <c r="T285" s="22">
        <f>IFERROR(IF($U285="",1,INDEX(Deals!$W$2:$W$355,MATCH($C285,Deals!$A$2:$A$355,0))),1)</f>
        <v/>
      </c>
      <c r="U285" s="31">
        <f>IF($C285="","",IFERROR(IF(INDEX(Deals!$Y$2:$Y$355,MATCH($C285,Deals!$A$2:$A$355,0))=0,"",INDEX(Deals!$Y$2:$Y$355,MATCH($C285,Deals!$A$2:$A$355,0))),""))</f>
        <v/>
      </c>
      <c r="V285" s="24">
        <f>IF($U285="",DATE(1900,1,1),$N285)</f>
        <v/>
      </c>
      <c r="W285" s="24">
        <f>IF($U285="",DATE(2100,12,31),$U285)</f>
        <v/>
      </c>
      <c r="X285" s="20">
        <f>IF($U285="",$K285,$K285*$S285)</f>
        <v/>
      </c>
      <c r="Y285" s="24">
        <f>IF($U285="",DATE(2100,12,31),$U285+1)</f>
        <v/>
      </c>
      <c r="Z285" s="24">
        <f>IF($U285="",DATE(1900,1,1),$O285)</f>
        <v/>
      </c>
      <c r="AA285" s="20">
        <f>IF($U285="",0,$K285*$T285)</f>
        <v/>
      </c>
    </row>
    <row r="286">
      <c r="A286" s="15" t="inlineStr">
        <is>
          <t>Will Covalt</t>
        </is>
      </c>
      <c r="B286" s="29">
        <f>IF($A286="","",IFERROR(INDEX(Roster!$B$2:$B$40,MATCH($A286,Roster!$A$2:$A$40,0)),"?"))</f>
        <v/>
      </c>
      <c r="C286" s="15" t="inlineStr">
        <is>
          <t>i3 Broadband _1</t>
        </is>
      </c>
      <c r="D286" s="29">
        <f>IF($C286="","",IFERROR(IF(INDEX(Deals!$C$2:$C$355,MATCH($C286,Deals!$A$2:$A$355,0))=0,"",INDEX(Deals!$C$2:$C$355,MATCH($C286,Deals!$A$2:$A$355,0))),"?"))</f>
        <v/>
      </c>
      <c r="E286" s="29">
        <f>IF($C286="","",IFERROR(INDEX(Deals!$F$2:$F$355,MATCH($C286,Deals!$A$2:$A$355,0)),"?"))</f>
        <v/>
      </c>
      <c r="F286" s="15" t="inlineStr">
        <is>
          <t>Director</t>
        </is>
      </c>
      <c r="G286" s="15" t="inlineStr">
        <is>
          <t>Active</t>
        </is>
      </c>
      <c r="H286" s="27" t="n"/>
      <c r="I286" s="20">
        <f>IF(OR($A286="",$G286&lt;&gt;"Active"),0,IF($H286&lt;&gt;"",$H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</f>
        <v/>
      </c>
      <c r="J286" s="23">
        <f>IF($C286="",0,IFERROR(INDEX(Deals!$H$2:$H$355,MATCH($C286,Deals!$A$2:$A$355,0)),0))</f>
        <v/>
      </c>
      <c r="K286" s="20">
        <f>IF(Settings!$B$4="Yes",$I286*$J286,$I286)</f>
        <v/>
      </c>
      <c r="L286" s="31">
        <f>IF($C286="","",IFERROR(IF(INDEX(Deals!$I$2:$I$355,MATCH($C286,Deals!$A$2:$A$355,0))=0,"",INDEX(Deals!$I$2:$I$355,MATCH($C286,Deals!$A$2:$A$355,0))),""))</f>
        <v/>
      </c>
      <c r="M286" s="31">
        <f>IF($C286="","",IFERROR(IF(INDEX(Deals!$J$2:$J$355,MATCH($C286,Deals!$A$2:$A$355,0))=0,"",INDEX(Deals!$J$2:$J$355,MATCH($C286,Deals!$A$2:$A$355,0))),""))</f>
        <v/>
      </c>
      <c r="N286" s="24">
        <f>IF($L286="",DATE(1900,1,1),$L286)</f>
        <v/>
      </c>
      <c r="O286" s="24">
        <f>IF($M286="",DATE(2100,12,31),$M286)</f>
        <v/>
      </c>
      <c r="P286" s="16" t="inlineStr"/>
      <c r="Q286" s="16" t="inlineStr"/>
      <c r="R286" s="29">
        <f>IF($C286="","",IFERROR(IF(INDEX(Deals!$U$2:$U$355,MATCH($C286,Deals!$A$2:$A$355,0))=0,"",INDEX(Deals!$U$2:$U$355,MATCH($C286,Deals!$A$2:$A$355,0))),""))</f>
        <v/>
      </c>
      <c r="S286" s="22">
        <f>IFERROR(IF($U286="",1,INDEX(Deals!$V$2:$V$355,MATCH($C286,Deals!$A$2:$A$355,0))),1)</f>
        <v/>
      </c>
      <c r="T286" s="22">
        <f>IFERROR(IF($U286="",1,INDEX(Deals!$W$2:$W$355,MATCH($C286,Deals!$A$2:$A$355,0))),1)</f>
        <v/>
      </c>
      <c r="U286" s="31">
        <f>IF($C286="","",IFERROR(IF(INDEX(Deals!$Y$2:$Y$355,MATCH($C286,Deals!$A$2:$A$355,0))=0,"",INDEX(Deals!$Y$2:$Y$355,MATCH($C286,Deals!$A$2:$A$355,0))),""))</f>
        <v/>
      </c>
      <c r="V286" s="24">
        <f>IF($U286="",DATE(1900,1,1),$N286)</f>
        <v/>
      </c>
      <c r="W286" s="24">
        <f>IF($U286="",DATE(2100,12,31),$U286)</f>
        <v/>
      </c>
      <c r="X286" s="20">
        <f>IF($U286="",$K286,$K286*$S286)</f>
        <v/>
      </c>
      <c r="Y286" s="24">
        <f>IF($U286="",DATE(2100,12,31),$U286+1)</f>
        <v/>
      </c>
      <c r="Z286" s="24">
        <f>IF($U286="",DATE(1900,1,1),$O286)</f>
        <v/>
      </c>
      <c r="AA286" s="20">
        <f>IF($U286="",0,$K286*$T286)</f>
        <v/>
      </c>
    </row>
    <row r="287">
      <c r="A287" s="15" t="inlineStr">
        <is>
          <t>Will Covalt</t>
        </is>
      </c>
      <c r="B287" s="29">
        <f>IF($A287="","",IFERROR(INDEX(Roster!$B$2:$B$40,MATCH($A287,Roster!$A$2:$A$40,0)),"?"))</f>
        <v/>
      </c>
      <c r="C287" s="15" t="inlineStr">
        <is>
          <t>Javelina Gain_1</t>
        </is>
      </c>
      <c r="D287" s="29">
        <f>IF($C287="","",IFERROR(IF(INDEX(Deals!$C$2:$C$355,MATCH($C287,Deals!$A$2:$A$355,0))=0,"",INDEX(Deals!$C$2:$C$355,MATCH($C287,Deals!$A$2:$A$355,0))),"?"))</f>
        <v/>
      </c>
      <c r="E287" s="29">
        <f>IF($C287="","",IFERROR(INDEX(Deals!$F$2:$F$355,MATCH($C287,Deals!$A$2:$A$355,0)),"?"))</f>
        <v/>
      </c>
      <c r="F287" s="15" t="inlineStr">
        <is>
          <t>Director</t>
        </is>
      </c>
      <c r="G287" s="15" t="inlineStr">
        <is>
          <t>Active</t>
        </is>
      </c>
      <c r="H287" s="27" t="n"/>
      <c r="I287" s="20">
        <f>IF(OR($A287="",$G287&lt;&gt;"Active"),0,IF($H287&lt;&gt;"",$H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</f>
        <v/>
      </c>
      <c r="J287" s="23">
        <f>IF($C287="",0,IFERROR(INDEX(Deals!$H$2:$H$355,MATCH($C287,Deals!$A$2:$A$355,0)),0))</f>
        <v/>
      </c>
      <c r="K287" s="20">
        <f>IF(Settings!$B$4="Yes",$I287*$J287,$I287)</f>
        <v/>
      </c>
      <c r="L287" s="31">
        <f>IF($C287="","",IFERROR(IF(INDEX(Deals!$I$2:$I$355,MATCH($C287,Deals!$A$2:$A$355,0))=0,"",INDEX(Deals!$I$2:$I$355,MATCH($C287,Deals!$A$2:$A$355,0))),""))</f>
        <v/>
      </c>
      <c r="M287" s="31">
        <f>IF($C287="","",IFERROR(IF(INDEX(Deals!$J$2:$J$355,MATCH($C287,Deals!$A$2:$A$355,0))=0,"",INDEX(Deals!$J$2:$J$355,MATCH($C287,Deals!$A$2:$A$355,0))),""))</f>
        <v/>
      </c>
      <c r="N287" s="24">
        <f>IF($L287="",DATE(1900,1,1),$L287)</f>
        <v/>
      </c>
      <c r="O287" s="24">
        <f>IF($M287="",DATE(2100,12,31),$M287)</f>
        <v/>
      </c>
      <c r="P287" s="16" t="inlineStr"/>
      <c r="Q287" s="16" t="inlineStr"/>
      <c r="R287" s="29">
        <f>IF($C287="","",IFERROR(IF(INDEX(Deals!$U$2:$U$355,MATCH($C287,Deals!$A$2:$A$355,0))=0,"",INDEX(Deals!$U$2:$U$355,MATCH($C287,Deals!$A$2:$A$355,0))),""))</f>
        <v/>
      </c>
      <c r="S287" s="22">
        <f>IFERROR(IF($U287="",1,INDEX(Deals!$V$2:$V$355,MATCH($C287,Deals!$A$2:$A$355,0))),1)</f>
        <v/>
      </c>
      <c r="T287" s="22">
        <f>IFERROR(IF($U287="",1,INDEX(Deals!$W$2:$W$355,MATCH($C287,Deals!$A$2:$A$355,0))),1)</f>
        <v/>
      </c>
      <c r="U287" s="31">
        <f>IF($C287="","",IFERROR(IF(INDEX(Deals!$Y$2:$Y$355,MATCH($C287,Deals!$A$2:$A$355,0))=0,"",INDEX(Deals!$Y$2:$Y$355,MATCH($C287,Deals!$A$2:$A$355,0))),""))</f>
        <v/>
      </c>
      <c r="V287" s="24">
        <f>IF($U287="",DATE(1900,1,1),$N287)</f>
        <v/>
      </c>
      <c r="W287" s="24">
        <f>IF($U287="",DATE(2100,12,31),$U287)</f>
        <v/>
      </c>
      <c r="X287" s="20">
        <f>IF($U287="",$K287,$K287*$S287)</f>
        <v/>
      </c>
      <c r="Y287" s="24">
        <f>IF($U287="",DATE(2100,12,31),$U287+1)</f>
        <v/>
      </c>
      <c r="Z287" s="24">
        <f>IF($U287="",DATE(1900,1,1),$O287)</f>
        <v/>
      </c>
      <c r="AA287" s="20">
        <f>IF($U287="",0,$K287*$T287)</f>
        <v/>
      </c>
    </row>
    <row r="288">
      <c r="A288" s="15" t="inlineStr">
        <is>
          <t>Will Covalt</t>
        </is>
      </c>
      <c r="B288" s="29">
        <f>IF($A288="","",IFERROR(INDEX(Roster!$B$2:$B$40,MATCH($A288,Roster!$A$2:$A$40,0)),"?"))</f>
        <v/>
      </c>
      <c r="C288" s="15" t="inlineStr">
        <is>
          <t>JHIF 2026 Restructuring_1</t>
        </is>
      </c>
      <c r="D288" s="29">
        <f>IF($C288="","",IFERROR(IF(INDEX(Deals!$C$2:$C$355,MATCH($C288,Deals!$A$2:$A$355,0))=0,"",INDEX(Deals!$C$2:$C$355,MATCH($C288,Deals!$A$2:$A$355,0))),"?"))</f>
        <v/>
      </c>
      <c r="E288" s="29">
        <f>IF($C288="","",IFERROR(INDEX(Deals!$F$2:$F$355,MATCH($C288,Deals!$A$2:$A$355,0)),"?"))</f>
        <v/>
      </c>
      <c r="F288" s="15" t="inlineStr">
        <is>
          <t>Director</t>
        </is>
      </c>
      <c r="G288" s="15" t="inlineStr">
        <is>
          <t>Active</t>
        </is>
      </c>
      <c r="H288" s="27" t="n"/>
      <c r="I288" s="20">
        <f>IF(OR($A288="",$G288&lt;&gt;"Active"),0,IF($H288&lt;&gt;"",$H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</f>
        <v/>
      </c>
      <c r="J288" s="23">
        <f>IF($C288="",0,IFERROR(INDEX(Deals!$H$2:$H$355,MATCH($C288,Deals!$A$2:$A$355,0)),0))</f>
        <v/>
      </c>
      <c r="K288" s="20">
        <f>IF(Settings!$B$4="Yes",$I288*$J288,$I288)</f>
        <v/>
      </c>
      <c r="L288" s="31">
        <f>IF($C288="","",IFERROR(IF(INDEX(Deals!$I$2:$I$355,MATCH($C288,Deals!$A$2:$A$355,0))=0,"",INDEX(Deals!$I$2:$I$355,MATCH($C288,Deals!$A$2:$A$355,0))),""))</f>
        <v/>
      </c>
      <c r="M288" s="31">
        <f>IF($C288="","",IFERROR(IF(INDEX(Deals!$J$2:$J$355,MATCH($C288,Deals!$A$2:$A$355,0))=0,"",INDEX(Deals!$J$2:$J$355,MATCH($C288,Deals!$A$2:$A$355,0))),""))</f>
        <v/>
      </c>
      <c r="N288" s="24">
        <f>IF($L288="",DATE(1900,1,1),$L288)</f>
        <v/>
      </c>
      <c r="O288" s="24">
        <f>IF($M288="",DATE(2100,12,31),$M288)</f>
        <v/>
      </c>
      <c r="P288" s="16" t="inlineStr"/>
      <c r="Q288" s="16" t="inlineStr"/>
      <c r="R288" s="29">
        <f>IF($C288="","",IFERROR(IF(INDEX(Deals!$U$2:$U$355,MATCH($C288,Deals!$A$2:$A$355,0))=0,"",INDEX(Deals!$U$2:$U$355,MATCH($C288,Deals!$A$2:$A$355,0))),""))</f>
        <v/>
      </c>
      <c r="S288" s="22">
        <f>IFERROR(IF($U288="",1,INDEX(Deals!$V$2:$V$355,MATCH($C288,Deals!$A$2:$A$355,0))),1)</f>
        <v/>
      </c>
      <c r="T288" s="22">
        <f>IFERROR(IF($U288="",1,INDEX(Deals!$W$2:$W$355,MATCH($C288,Deals!$A$2:$A$355,0))),1)</f>
        <v/>
      </c>
      <c r="U288" s="31">
        <f>IF($C288="","",IFERROR(IF(INDEX(Deals!$Y$2:$Y$355,MATCH($C288,Deals!$A$2:$A$355,0))=0,"",INDEX(Deals!$Y$2:$Y$355,MATCH($C288,Deals!$A$2:$A$355,0))),""))</f>
        <v/>
      </c>
      <c r="V288" s="24">
        <f>IF($U288="",DATE(1900,1,1),$N288)</f>
        <v/>
      </c>
      <c r="W288" s="24">
        <f>IF($U288="",DATE(2100,12,31),$U288)</f>
        <v/>
      </c>
      <c r="X288" s="20">
        <f>IF($U288="",$K288,$K288*$S288)</f>
        <v/>
      </c>
      <c r="Y288" s="24">
        <f>IF($U288="",DATE(2100,12,31),$U288+1)</f>
        <v/>
      </c>
      <c r="Z288" s="24">
        <f>IF($U288="",DATE(1900,1,1),$O288)</f>
        <v/>
      </c>
      <c r="AA288" s="20">
        <f>IF($U288="",0,$K288*$T288)</f>
        <v/>
      </c>
    </row>
    <row r="289">
      <c r="A289" s="15" t="inlineStr">
        <is>
          <t>Will Covalt</t>
        </is>
      </c>
      <c r="B289" s="29">
        <f>IF($A289="","",IFERROR(INDEX(Roster!$B$2:$B$40,MATCH($A289,Roster!$A$2:$A$40,0)),"?"))</f>
        <v/>
      </c>
      <c r="C289" s="15" t="inlineStr">
        <is>
          <t>Octopus Post-close_1</t>
        </is>
      </c>
      <c r="D289" s="29">
        <f>IF($C289="","",IFERROR(IF(INDEX(Deals!$C$2:$C$355,MATCH($C289,Deals!$A$2:$A$355,0))=0,"",INDEX(Deals!$C$2:$C$355,MATCH($C289,Deals!$A$2:$A$355,0))),"?"))</f>
        <v/>
      </c>
      <c r="E289" s="29">
        <f>IF($C289="","",IFERROR(INDEX(Deals!$F$2:$F$355,MATCH($C289,Deals!$A$2:$A$355,0)),"?"))</f>
        <v/>
      </c>
      <c r="F289" s="15" t="inlineStr">
        <is>
          <t>Director</t>
        </is>
      </c>
      <c r="G289" s="15" t="inlineStr">
        <is>
          <t>Active</t>
        </is>
      </c>
      <c r="H289" s="27" t="n"/>
      <c r="I289" s="20">
        <f>IF(OR($A289="",$G289&lt;&gt;"Active"),0,IF($H289&lt;&gt;"",$H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</f>
        <v/>
      </c>
      <c r="J289" s="23">
        <f>IF($C289="",0,IFERROR(INDEX(Deals!$H$2:$H$355,MATCH($C289,Deals!$A$2:$A$355,0)),0))</f>
        <v/>
      </c>
      <c r="K289" s="20">
        <f>IF(Settings!$B$4="Yes",$I289*$J289,$I289)</f>
        <v/>
      </c>
      <c r="L289" s="31">
        <f>IF($C289="","",IFERROR(IF(INDEX(Deals!$I$2:$I$355,MATCH($C289,Deals!$A$2:$A$355,0))=0,"",INDEX(Deals!$I$2:$I$355,MATCH($C289,Deals!$A$2:$A$355,0))),""))</f>
        <v/>
      </c>
      <c r="M289" s="31">
        <f>IF($C289="","",IFERROR(IF(INDEX(Deals!$J$2:$J$355,MATCH($C289,Deals!$A$2:$A$355,0))=0,"",INDEX(Deals!$J$2:$J$355,MATCH($C289,Deals!$A$2:$A$355,0))),""))</f>
        <v/>
      </c>
      <c r="N289" s="24">
        <f>IF($L289="",DATE(1900,1,1),$L289)</f>
        <v/>
      </c>
      <c r="O289" s="24">
        <f>IF($M289="",DATE(2100,12,31),$M289)</f>
        <v/>
      </c>
      <c r="P289" s="16" t="inlineStr"/>
      <c r="Q289" s="16" t="inlineStr"/>
      <c r="R289" s="29">
        <f>IF($C289="","",IFERROR(IF(INDEX(Deals!$U$2:$U$355,MATCH($C289,Deals!$A$2:$A$355,0))=0,"",INDEX(Deals!$U$2:$U$355,MATCH($C289,Deals!$A$2:$A$355,0))),""))</f>
        <v/>
      </c>
      <c r="S289" s="22">
        <f>IFERROR(IF($U289="",1,INDEX(Deals!$V$2:$V$355,MATCH($C289,Deals!$A$2:$A$355,0))),1)</f>
        <v/>
      </c>
      <c r="T289" s="22">
        <f>IFERROR(IF($U289="",1,INDEX(Deals!$W$2:$W$355,MATCH($C289,Deals!$A$2:$A$355,0))),1)</f>
        <v/>
      </c>
      <c r="U289" s="31">
        <f>IF($C289="","",IFERROR(IF(INDEX(Deals!$Y$2:$Y$355,MATCH($C289,Deals!$A$2:$A$355,0))=0,"",INDEX(Deals!$Y$2:$Y$355,MATCH($C289,Deals!$A$2:$A$355,0))),""))</f>
        <v/>
      </c>
      <c r="V289" s="24">
        <f>IF($U289="",DATE(1900,1,1),$N289)</f>
        <v/>
      </c>
      <c r="W289" s="24">
        <f>IF($U289="",DATE(2100,12,31),$U289)</f>
        <v/>
      </c>
      <c r="X289" s="20">
        <f>IF($U289="",$K289,$K289*$S289)</f>
        <v/>
      </c>
      <c r="Y289" s="24">
        <f>IF($U289="",DATE(2100,12,31),$U289+1)</f>
        <v/>
      </c>
      <c r="Z289" s="24">
        <f>IF($U289="",DATE(1900,1,1),$O289)</f>
        <v/>
      </c>
      <c r="AA289" s="20">
        <f>IF($U289="",0,$K289*$T289)</f>
        <v/>
      </c>
    </row>
    <row r="290">
      <c r="A290" s="15" t="inlineStr">
        <is>
          <t>Will Covalt</t>
        </is>
      </c>
      <c r="B290" s="29">
        <f>IF($A290="","",IFERROR(INDEX(Roster!$B$2:$B$40,MATCH($A290,Roster!$A$2:$A$40,0)),"?"))</f>
        <v/>
      </c>
      <c r="C290" s="15" t="inlineStr">
        <is>
          <t>Torch_4</t>
        </is>
      </c>
      <c r="D290" s="29">
        <f>IF($C290="","",IFERROR(IF(INDEX(Deals!$C$2:$C$355,MATCH($C290,Deals!$A$2:$A$355,0))=0,"",INDEX(Deals!$C$2:$C$355,MATCH($C290,Deals!$A$2:$A$355,0))),"?"))</f>
        <v/>
      </c>
      <c r="E290" s="29">
        <f>IF($C290="","",IFERROR(INDEX(Deals!$F$2:$F$355,MATCH($C290,Deals!$A$2:$A$355,0)),"?"))</f>
        <v/>
      </c>
      <c r="F290" s="15" t="inlineStr">
        <is>
          <t>Director</t>
        </is>
      </c>
      <c r="G290" s="15" t="inlineStr">
        <is>
          <t>Active</t>
        </is>
      </c>
      <c r="H290" s="27" t="n"/>
      <c r="I290" s="20">
        <f>IF(OR($A290="",$G290&lt;&gt;"Active"),0,IF($H290&lt;&gt;"",$H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</f>
        <v/>
      </c>
      <c r="J290" s="23">
        <f>IF($C290="",0,IFERROR(INDEX(Deals!$H$2:$H$355,MATCH($C290,Deals!$A$2:$A$355,0)),0))</f>
        <v/>
      </c>
      <c r="K290" s="20">
        <f>IF(Settings!$B$4="Yes",$I290*$J290,$I290)</f>
        <v/>
      </c>
      <c r="L290" s="31">
        <f>IF($C290="","",IFERROR(IF(INDEX(Deals!$I$2:$I$355,MATCH($C290,Deals!$A$2:$A$355,0))=0,"",INDEX(Deals!$I$2:$I$355,MATCH($C290,Deals!$A$2:$A$355,0))),""))</f>
        <v/>
      </c>
      <c r="M290" s="31">
        <f>IF($C290="","",IFERROR(IF(INDEX(Deals!$J$2:$J$355,MATCH($C290,Deals!$A$2:$A$355,0))=0,"",INDEX(Deals!$J$2:$J$355,MATCH($C290,Deals!$A$2:$A$355,0))),""))</f>
        <v/>
      </c>
      <c r="N290" s="24">
        <f>IF($L290="",DATE(1900,1,1),$L290)</f>
        <v/>
      </c>
      <c r="O290" s="24">
        <f>IF($M290="",DATE(2100,12,31),$M290)</f>
        <v/>
      </c>
      <c r="P290" s="16" t="inlineStr"/>
      <c r="Q290" s="16" t="inlineStr"/>
      <c r="R290" s="29">
        <f>IF($C290="","",IFERROR(IF(INDEX(Deals!$U$2:$U$355,MATCH($C290,Deals!$A$2:$A$355,0))=0,"",INDEX(Deals!$U$2:$U$355,MATCH($C290,Deals!$A$2:$A$355,0))),""))</f>
        <v/>
      </c>
      <c r="S290" s="22">
        <f>IFERROR(IF($U290="",1,INDEX(Deals!$V$2:$V$355,MATCH($C290,Deals!$A$2:$A$355,0))),1)</f>
        <v/>
      </c>
      <c r="T290" s="22">
        <f>IFERROR(IF($U290="",1,INDEX(Deals!$W$2:$W$355,MATCH($C290,Deals!$A$2:$A$355,0))),1)</f>
        <v/>
      </c>
      <c r="U290" s="31">
        <f>IF($C290="","",IFERROR(IF(INDEX(Deals!$Y$2:$Y$355,MATCH($C290,Deals!$A$2:$A$355,0))=0,"",INDEX(Deals!$Y$2:$Y$355,MATCH($C290,Deals!$A$2:$A$355,0))),""))</f>
        <v/>
      </c>
      <c r="V290" s="24">
        <f>IF($U290="",DATE(1900,1,1),$N290)</f>
        <v/>
      </c>
      <c r="W290" s="24">
        <f>IF($U290="",DATE(2100,12,31),$U290)</f>
        <v/>
      </c>
      <c r="X290" s="20">
        <f>IF($U290="",$K290,$K290*$S290)</f>
        <v/>
      </c>
      <c r="Y290" s="24">
        <f>IF($U290="",DATE(2100,12,31),$U290+1)</f>
        <v/>
      </c>
      <c r="Z290" s="24">
        <f>IF($U290="",DATE(1900,1,1),$O290)</f>
        <v/>
      </c>
      <c r="AA290" s="20">
        <f>IF($U290="",0,$K290*$T290)</f>
        <v/>
      </c>
    </row>
    <row r="291">
      <c r="A291" s="15" t="inlineStr">
        <is>
          <t>Lauren</t>
        </is>
      </c>
      <c r="B291" s="29">
        <f>IF($A291="","",IFERROR(INDEX(Roster!$B$2:$B$40,MATCH($A291,Roster!$A$2:$A$40,0)),"?"))</f>
        <v/>
      </c>
      <c r="C291" s="15" t="inlineStr">
        <is>
          <t>Avengers</t>
        </is>
      </c>
      <c r="D291" s="29">
        <f>IF($C291="","",IFERROR(IF(INDEX(Deals!$C$2:$C$355,MATCH($C291,Deals!$A$2:$A$355,0))=0,"",INDEX(Deals!$C$2:$C$355,MATCH($C291,Deals!$A$2:$A$355,0))),"?"))</f>
        <v/>
      </c>
      <c r="E291" s="29">
        <f>IF($C291="","",IFERROR(INDEX(Deals!$F$2:$F$355,MATCH($C291,Deals!$A$2:$A$355,0)),"?"))</f>
        <v/>
      </c>
      <c r="F291" s="15" t="inlineStr">
        <is>
          <t>Director</t>
        </is>
      </c>
      <c r="G291" s="15" t="inlineStr">
        <is>
          <t>Active</t>
        </is>
      </c>
      <c r="H291" s="27" t="n"/>
      <c r="I291" s="20">
        <f>IF(OR($A291="",$G291&lt;&gt;"Active"),0,IF($H291&lt;&gt;"",$H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</f>
        <v/>
      </c>
      <c r="J291" s="23">
        <f>IF($C291="",0,IFERROR(INDEX(Deals!$H$2:$H$355,MATCH($C291,Deals!$A$2:$A$355,0)),0))</f>
        <v/>
      </c>
      <c r="K291" s="20">
        <f>IF(Settings!$B$4="Yes",$I291*$J291,$I291)</f>
        <v/>
      </c>
      <c r="L291" s="31">
        <f>IF($C291="","",IFERROR(IF(INDEX(Deals!$I$2:$I$355,MATCH($C291,Deals!$A$2:$A$355,0))=0,"",INDEX(Deals!$I$2:$I$355,MATCH($C291,Deals!$A$2:$A$355,0))),""))</f>
        <v/>
      </c>
      <c r="M291" s="31">
        <f>IF($C291="","",IFERROR(IF(INDEX(Deals!$J$2:$J$355,MATCH($C291,Deals!$A$2:$A$355,0))=0,"",INDEX(Deals!$J$2:$J$355,MATCH($C291,Deals!$A$2:$A$355,0))),""))</f>
        <v/>
      </c>
      <c r="N291" s="24">
        <f>IF($L291="",DATE(1900,1,1),$L291)</f>
        <v/>
      </c>
      <c r="O291" s="24">
        <f>IF($M291="",DATE(2100,12,31),$M291)</f>
        <v/>
      </c>
      <c r="P291" s="16" t="inlineStr"/>
      <c r="Q291" s="16" t="inlineStr"/>
      <c r="R291" s="29">
        <f>IF($C291="","",IFERROR(IF(INDEX(Deals!$U$2:$U$355,MATCH($C291,Deals!$A$2:$A$355,0))=0,"",INDEX(Deals!$U$2:$U$355,MATCH($C291,Deals!$A$2:$A$355,0))),""))</f>
        <v/>
      </c>
      <c r="S291" s="22">
        <f>IFERROR(IF($U291="",1,INDEX(Deals!$V$2:$V$355,MATCH($C291,Deals!$A$2:$A$355,0))),1)</f>
        <v/>
      </c>
      <c r="T291" s="22">
        <f>IFERROR(IF($U291="",1,INDEX(Deals!$W$2:$W$355,MATCH($C291,Deals!$A$2:$A$355,0))),1)</f>
        <v/>
      </c>
      <c r="U291" s="31">
        <f>IF($C291="","",IFERROR(IF(INDEX(Deals!$Y$2:$Y$355,MATCH($C291,Deals!$A$2:$A$355,0))=0,"",INDEX(Deals!$Y$2:$Y$355,MATCH($C291,Deals!$A$2:$A$355,0))),""))</f>
        <v/>
      </c>
      <c r="V291" s="24">
        <f>IF($U291="",DATE(1900,1,1),$N291)</f>
        <v/>
      </c>
      <c r="W291" s="24">
        <f>IF($U291="",DATE(2100,12,31),$U291)</f>
        <v/>
      </c>
      <c r="X291" s="20">
        <f>IF($U291="",$K291,$K291*$S291)</f>
        <v/>
      </c>
      <c r="Y291" s="24">
        <f>IF($U291="",DATE(2100,12,31),$U291+1)</f>
        <v/>
      </c>
      <c r="Z291" s="24">
        <f>IF($U291="",DATE(1900,1,1),$O291)</f>
        <v/>
      </c>
      <c r="AA291" s="20">
        <f>IF($U291="",0,$K291*$T291)</f>
        <v/>
      </c>
    </row>
    <row r="292">
      <c r="A292" s="15" t="inlineStr">
        <is>
          <t>Lauren</t>
        </is>
      </c>
      <c r="B292" s="29">
        <f>IF($A292="","",IFERROR(INDEX(Roster!$B$2:$B$40,MATCH($A292,Roster!$A$2:$A$40,0)),"?"))</f>
        <v/>
      </c>
      <c r="C292" s="15" t="inlineStr">
        <is>
          <t>Aypa Power General PW&amp;A Advisory_1</t>
        </is>
      </c>
      <c r="D292" s="29">
        <f>IF($C292="","",IFERROR(IF(INDEX(Deals!$C$2:$C$355,MATCH($C292,Deals!$A$2:$A$355,0))=0,"",INDEX(Deals!$C$2:$C$355,MATCH($C292,Deals!$A$2:$A$355,0))),"?"))</f>
        <v/>
      </c>
      <c r="E292" s="29">
        <f>IF($C292="","",IFERROR(INDEX(Deals!$F$2:$F$355,MATCH($C292,Deals!$A$2:$A$355,0)),"?"))</f>
        <v/>
      </c>
      <c r="F292" s="15" t="inlineStr">
        <is>
          <t>Director</t>
        </is>
      </c>
      <c r="G292" s="15" t="inlineStr">
        <is>
          <t>Inactive</t>
        </is>
      </c>
      <c r="H292" s="27" t="n"/>
      <c r="I292" s="20">
        <f>IF(OR($A292="",$G292&lt;&gt;"Active"),0,IF($H292&lt;&gt;"",$H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</f>
        <v/>
      </c>
      <c r="J292" s="23">
        <f>IF($C292="",0,IFERROR(INDEX(Deals!$H$2:$H$355,MATCH($C292,Deals!$A$2:$A$355,0)),0))</f>
        <v/>
      </c>
      <c r="K292" s="20">
        <f>IF(Settings!$B$4="Yes",$I292*$J292,$I292)</f>
        <v/>
      </c>
      <c r="L292" s="31">
        <f>IF($C292="","",IFERROR(IF(INDEX(Deals!$I$2:$I$355,MATCH($C292,Deals!$A$2:$A$355,0))=0,"",INDEX(Deals!$I$2:$I$355,MATCH($C292,Deals!$A$2:$A$355,0))),""))</f>
        <v/>
      </c>
      <c r="M292" s="31">
        <f>IF($C292="","",IFERROR(IF(INDEX(Deals!$J$2:$J$355,MATCH($C292,Deals!$A$2:$A$355,0))=0,"",INDEX(Deals!$J$2:$J$355,MATCH($C292,Deals!$A$2:$A$355,0))),""))</f>
        <v/>
      </c>
      <c r="N292" s="24">
        <f>IF($L292="",DATE(1900,1,1),$L292)</f>
        <v/>
      </c>
      <c r="O292" s="24">
        <f>IF($M292="",DATE(2100,12,31),$M292)</f>
        <v/>
      </c>
      <c r="P292" s="16" t="inlineStr"/>
      <c r="Q292" s="16" t="inlineStr">
        <is>
          <t>Deal lifecycle is On hold</t>
        </is>
      </c>
      <c r="R292" s="29">
        <f>IF($C292="","",IFERROR(IF(INDEX(Deals!$U$2:$U$355,MATCH($C292,Deals!$A$2:$A$355,0))=0,"",INDEX(Deals!$U$2:$U$355,MATCH($C292,Deals!$A$2:$A$355,0))),""))</f>
        <v/>
      </c>
      <c r="S292" s="22">
        <f>IFERROR(IF($U292="",1,INDEX(Deals!$V$2:$V$355,MATCH($C292,Deals!$A$2:$A$355,0))),1)</f>
        <v/>
      </c>
      <c r="T292" s="22">
        <f>IFERROR(IF($U292="",1,INDEX(Deals!$W$2:$W$355,MATCH($C292,Deals!$A$2:$A$355,0))),1)</f>
        <v/>
      </c>
      <c r="U292" s="31">
        <f>IF($C292="","",IFERROR(IF(INDEX(Deals!$Y$2:$Y$355,MATCH($C292,Deals!$A$2:$A$355,0))=0,"",INDEX(Deals!$Y$2:$Y$355,MATCH($C292,Deals!$A$2:$A$355,0))),""))</f>
        <v/>
      </c>
      <c r="V292" s="24">
        <f>IF($U292="",DATE(1900,1,1),$N292)</f>
        <v/>
      </c>
      <c r="W292" s="24">
        <f>IF($U292="",DATE(2100,12,31),$U292)</f>
        <v/>
      </c>
      <c r="X292" s="20">
        <f>IF($U292="",$K292,$K292*$S292)</f>
        <v/>
      </c>
      <c r="Y292" s="24">
        <f>IF($U292="",DATE(2100,12,31),$U292+1)</f>
        <v/>
      </c>
      <c r="Z292" s="24">
        <f>IF($U292="",DATE(1900,1,1),$O292)</f>
        <v/>
      </c>
      <c r="AA292" s="20">
        <f>IF($U292="",0,$K292*$T292)</f>
        <v/>
      </c>
    </row>
    <row r="293">
      <c r="A293" s="15" t="inlineStr">
        <is>
          <t>Lauren</t>
        </is>
      </c>
      <c r="B293" s="29">
        <f>IF($A293="","",IFERROR(INDEX(Roster!$B$2:$B$40,MATCH($A293,Roster!$A$2:$A$40,0)),"?"))</f>
        <v/>
      </c>
      <c r="C293" s="15" t="inlineStr">
        <is>
          <t>B2V_1</t>
        </is>
      </c>
      <c r="D293" s="29">
        <f>IF($C293="","",IFERROR(IF(INDEX(Deals!$C$2:$C$355,MATCH($C293,Deals!$A$2:$A$355,0))=0,"",INDEX(Deals!$C$2:$C$355,MATCH($C293,Deals!$A$2:$A$355,0))),"?"))</f>
        <v/>
      </c>
      <c r="E293" s="29">
        <f>IF($C293="","",IFERROR(INDEX(Deals!$F$2:$F$355,MATCH($C293,Deals!$A$2:$A$355,0)),"?"))</f>
        <v/>
      </c>
      <c r="F293" s="15" t="inlineStr">
        <is>
          <t>Director</t>
        </is>
      </c>
      <c r="G293" s="15" t="inlineStr">
        <is>
          <t>Active</t>
        </is>
      </c>
      <c r="H293" s="27" t="n"/>
      <c r="I293" s="20">
        <f>IF(OR($A293="",$G293&lt;&gt;"Active"),0,IF($H293&lt;&gt;"",$H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</f>
        <v/>
      </c>
      <c r="J293" s="23">
        <f>IF($C293="",0,IFERROR(INDEX(Deals!$H$2:$H$355,MATCH($C293,Deals!$A$2:$A$355,0)),0))</f>
        <v/>
      </c>
      <c r="K293" s="20">
        <f>IF(Settings!$B$4="Yes",$I293*$J293,$I293)</f>
        <v/>
      </c>
      <c r="L293" s="31">
        <f>IF($C293="","",IFERROR(IF(INDEX(Deals!$I$2:$I$355,MATCH($C293,Deals!$A$2:$A$355,0))=0,"",INDEX(Deals!$I$2:$I$355,MATCH($C293,Deals!$A$2:$A$355,0))),""))</f>
        <v/>
      </c>
      <c r="M293" s="31">
        <f>IF($C293="","",IFERROR(IF(INDEX(Deals!$J$2:$J$355,MATCH($C293,Deals!$A$2:$A$355,0))=0,"",INDEX(Deals!$J$2:$J$355,MATCH($C293,Deals!$A$2:$A$355,0))),""))</f>
        <v/>
      </c>
      <c r="N293" s="24">
        <f>IF($L293="",DATE(1900,1,1),$L293)</f>
        <v/>
      </c>
      <c r="O293" s="24">
        <f>IF($M293="",DATE(2100,12,31),$M293)</f>
        <v/>
      </c>
      <c r="P293" s="16" t="inlineStr"/>
      <c r="Q293" s="16" t="inlineStr"/>
      <c r="R293" s="29">
        <f>IF($C293="","",IFERROR(IF(INDEX(Deals!$U$2:$U$355,MATCH($C293,Deals!$A$2:$A$355,0))=0,"",INDEX(Deals!$U$2:$U$355,MATCH($C293,Deals!$A$2:$A$355,0))),""))</f>
        <v/>
      </c>
      <c r="S293" s="22">
        <f>IFERROR(IF($U293="",1,INDEX(Deals!$V$2:$V$355,MATCH($C293,Deals!$A$2:$A$355,0))),1)</f>
        <v/>
      </c>
      <c r="T293" s="22">
        <f>IFERROR(IF($U293="",1,INDEX(Deals!$W$2:$W$355,MATCH($C293,Deals!$A$2:$A$355,0))),1)</f>
        <v/>
      </c>
      <c r="U293" s="31">
        <f>IF($C293="","",IFERROR(IF(INDEX(Deals!$Y$2:$Y$355,MATCH($C293,Deals!$A$2:$A$355,0))=0,"",INDEX(Deals!$Y$2:$Y$355,MATCH($C293,Deals!$A$2:$A$355,0))),""))</f>
        <v/>
      </c>
      <c r="V293" s="24">
        <f>IF($U293="",DATE(1900,1,1),$N293)</f>
        <v/>
      </c>
      <c r="W293" s="24">
        <f>IF($U293="",DATE(2100,12,31),$U293)</f>
        <v/>
      </c>
      <c r="X293" s="20">
        <f>IF($U293="",$K293,$K293*$S293)</f>
        <v/>
      </c>
      <c r="Y293" s="24">
        <f>IF($U293="",DATE(2100,12,31),$U293+1)</f>
        <v/>
      </c>
      <c r="Z293" s="24">
        <f>IF($U293="",DATE(1900,1,1),$O293)</f>
        <v/>
      </c>
      <c r="AA293" s="20">
        <f>IF($U293="",0,$K293*$T293)</f>
        <v/>
      </c>
    </row>
    <row r="294">
      <c r="A294" s="15" t="inlineStr">
        <is>
          <t>Lauren</t>
        </is>
      </c>
      <c r="B294" s="29">
        <f>IF($A294="","",IFERROR(INDEX(Roster!$B$2:$B$40,MATCH($A294,Roster!$A$2:$A$40,0)),"?"))</f>
        <v/>
      </c>
      <c r="C294" s="15" t="inlineStr">
        <is>
          <t>Bay_2</t>
        </is>
      </c>
      <c r="D294" s="29">
        <f>IF($C294="","",IFERROR(IF(INDEX(Deals!$C$2:$C$355,MATCH($C294,Deals!$A$2:$A$355,0))=0,"",INDEX(Deals!$C$2:$C$355,MATCH($C294,Deals!$A$2:$A$355,0))),"?"))</f>
        <v/>
      </c>
      <c r="E294" s="29">
        <f>IF($C294="","",IFERROR(INDEX(Deals!$F$2:$F$355,MATCH($C294,Deals!$A$2:$A$355,0)),"?"))</f>
        <v/>
      </c>
      <c r="F294" s="15" t="inlineStr">
        <is>
          <t>Director</t>
        </is>
      </c>
      <c r="G294" s="15" t="inlineStr">
        <is>
          <t>Active</t>
        </is>
      </c>
      <c r="H294" s="27" t="n"/>
      <c r="I294" s="20">
        <f>IF(OR($A294="",$G294&lt;&gt;"Active"),0,IF($H294&lt;&gt;"",$H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</f>
        <v/>
      </c>
      <c r="J294" s="23">
        <f>IF($C294="",0,IFERROR(INDEX(Deals!$H$2:$H$355,MATCH($C294,Deals!$A$2:$A$355,0)),0))</f>
        <v/>
      </c>
      <c r="K294" s="20">
        <f>IF(Settings!$B$4="Yes",$I294*$J294,$I294)</f>
        <v/>
      </c>
      <c r="L294" s="31">
        <f>IF($C294="","",IFERROR(IF(INDEX(Deals!$I$2:$I$355,MATCH($C294,Deals!$A$2:$A$355,0))=0,"",INDEX(Deals!$I$2:$I$355,MATCH($C294,Deals!$A$2:$A$355,0))),""))</f>
        <v/>
      </c>
      <c r="M294" s="31">
        <f>IF($C294="","",IFERROR(IF(INDEX(Deals!$J$2:$J$355,MATCH($C294,Deals!$A$2:$A$355,0))=0,"",INDEX(Deals!$J$2:$J$355,MATCH($C294,Deals!$A$2:$A$355,0))),""))</f>
        <v/>
      </c>
      <c r="N294" s="24">
        <f>IF($L294="",DATE(1900,1,1),$L294)</f>
        <v/>
      </c>
      <c r="O294" s="24">
        <f>IF($M294="",DATE(2100,12,31),$M294)</f>
        <v/>
      </c>
      <c r="P294" s="16" t="inlineStr"/>
      <c r="Q294" s="16" t="inlineStr"/>
      <c r="R294" s="29">
        <f>IF($C294="","",IFERROR(IF(INDEX(Deals!$U$2:$U$355,MATCH($C294,Deals!$A$2:$A$355,0))=0,"",INDEX(Deals!$U$2:$U$355,MATCH($C294,Deals!$A$2:$A$355,0))),""))</f>
        <v/>
      </c>
      <c r="S294" s="22">
        <f>IFERROR(IF($U294="",1,INDEX(Deals!$V$2:$V$355,MATCH($C294,Deals!$A$2:$A$355,0))),1)</f>
        <v/>
      </c>
      <c r="T294" s="22">
        <f>IFERROR(IF($U294="",1,INDEX(Deals!$W$2:$W$355,MATCH($C294,Deals!$A$2:$A$355,0))),1)</f>
        <v/>
      </c>
      <c r="U294" s="31">
        <f>IF($C294="","",IFERROR(IF(INDEX(Deals!$Y$2:$Y$355,MATCH($C294,Deals!$A$2:$A$355,0))=0,"",INDEX(Deals!$Y$2:$Y$355,MATCH($C294,Deals!$A$2:$A$355,0))),""))</f>
        <v/>
      </c>
      <c r="V294" s="24">
        <f>IF($U294="",DATE(1900,1,1),$N294)</f>
        <v/>
      </c>
      <c r="W294" s="24">
        <f>IF($U294="",DATE(2100,12,31),$U294)</f>
        <v/>
      </c>
      <c r="X294" s="20">
        <f>IF($U294="",$K294,$K294*$S294)</f>
        <v/>
      </c>
      <c r="Y294" s="24">
        <f>IF($U294="",DATE(2100,12,31),$U294+1)</f>
        <v/>
      </c>
      <c r="Z294" s="24">
        <f>IF($U294="",DATE(1900,1,1),$O294)</f>
        <v/>
      </c>
      <c r="AA294" s="20">
        <f>IF($U294="",0,$K294*$T294)</f>
        <v/>
      </c>
    </row>
    <row r="295">
      <c r="A295" s="15" t="inlineStr">
        <is>
          <t>Lauren</t>
        </is>
      </c>
      <c r="B295" s="29">
        <f>IF($A295="","",IFERROR(INDEX(Roster!$B$2:$B$40,MATCH($A295,Roster!$A$2:$A$40,0)),"?"))</f>
        <v/>
      </c>
      <c r="C295" s="15" t="inlineStr">
        <is>
          <t>Beacon_3</t>
        </is>
      </c>
      <c r="D295" s="29">
        <f>IF($C295="","",IFERROR(IF(INDEX(Deals!$C$2:$C$355,MATCH($C295,Deals!$A$2:$A$355,0))=0,"",INDEX(Deals!$C$2:$C$355,MATCH($C295,Deals!$A$2:$A$355,0))),"?"))</f>
        <v/>
      </c>
      <c r="E295" s="29">
        <f>IF($C295="","",IFERROR(INDEX(Deals!$F$2:$F$355,MATCH($C295,Deals!$A$2:$A$355,0)),"?"))</f>
        <v/>
      </c>
      <c r="F295" s="15" t="inlineStr">
        <is>
          <t>Director</t>
        </is>
      </c>
      <c r="G295" s="15" t="inlineStr">
        <is>
          <t>Inactive</t>
        </is>
      </c>
      <c r="H295" s="27" t="n"/>
      <c r="I295" s="20">
        <f>IF(OR($A295="",$G295&lt;&gt;"Active"),0,IF($H295&lt;&gt;"",$H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</f>
        <v/>
      </c>
      <c r="J295" s="23">
        <f>IF($C295="",0,IFERROR(INDEX(Deals!$H$2:$H$355,MATCH($C295,Deals!$A$2:$A$355,0)),0))</f>
        <v/>
      </c>
      <c r="K295" s="20">
        <f>IF(Settings!$B$4="Yes",$I295*$J295,$I295)</f>
        <v/>
      </c>
      <c r="L295" s="31">
        <f>IF($C295="","",IFERROR(IF(INDEX(Deals!$I$2:$I$355,MATCH($C295,Deals!$A$2:$A$355,0))=0,"",INDEX(Deals!$I$2:$I$355,MATCH($C295,Deals!$A$2:$A$355,0))),""))</f>
        <v/>
      </c>
      <c r="M295" s="31">
        <f>IF($C295="","",IFERROR(IF(INDEX(Deals!$J$2:$J$355,MATCH($C295,Deals!$A$2:$A$355,0))=0,"",INDEX(Deals!$J$2:$J$355,MATCH($C295,Deals!$A$2:$A$355,0))),""))</f>
        <v/>
      </c>
      <c r="N295" s="24">
        <f>IF($L295="",DATE(1900,1,1),$L295)</f>
        <v/>
      </c>
      <c r="O295" s="24">
        <f>IF($M295="",DATE(2100,12,31),$M295)</f>
        <v/>
      </c>
      <c r="P295" s="16" t="inlineStr"/>
      <c r="Q295" s="16" t="inlineStr">
        <is>
          <t>Deal lifecycle is Dead</t>
        </is>
      </c>
      <c r="R295" s="29">
        <f>IF($C295="","",IFERROR(IF(INDEX(Deals!$U$2:$U$355,MATCH($C295,Deals!$A$2:$A$355,0))=0,"",INDEX(Deals!$U$2:$U$355,MATCH($C295,Deals!$A$2:$A$355,0))),""))</f>
        <v/>
      </c>
      <c r="S295" s="22">
        <f>IFERROR(IF($U295="",1,INDEX(Deals!$V$2:$V$355,MATCH($C295,Deals!$A$2:$A$355,0))),1)</f>
        <v/>
      </c>
      <c r="T295" s="22">
        <f>IFERROR(IF($U295="",1,INDEX(Deals!$W$2:$W$355,MATCH($C295,Deals!$A$2:$A$355,0))),1)</f>
        <v/>
      </c>
      <c r="U295" s="31">
        <f>IF($C295="","",IFERROR(IF(INDEX(Deals!$Y$2:$Y$355,MATCH($C295,Deals!$A$2:$A$355,0))=0,"",INDEX(Deals!$Y$2:$Y$355,MATCH($C295,Deals!$A$2:$A$355,0))),""))</f>
        <v/>
      </c>
      <c r="V295" s="24">
        <f>IF($U295="",DATE(1900,1,1),$N295)</f>
        <v/>
      </c>
      <c r="W295" s="24">
        <f>IF($U295="",DATE(2100,12,31),$U295)</f>
        <v/>
      </c>
      <c r="X295" s="20">
        <f>IF($U295="",$K295,$K295*$S295)</f>
        <v/>
      </c>
      <c r="Y295" s="24">
        <f>IF($U295="",DATE(2100,12,31),$U295+1)</f>
        <v/>
      </c>
      <c r="Z295" s="24">
        <f>IF($U295="",DATE(1900,1,1),$O295)</f>
        <v/>
      </c>
      <c r="AA295" s="20">
        <f>IF($U295="",0,$K295*$T295)</f>
        <v/>
      </c>
    </row>
    <row r="296">
      <c r="A296" s="15" t="inlineStr">
        <is>
          <t>Lauren</t>
        </is>
      </c>
      <c r="B296" s="29">
        <f>IF($A296="","",IFERROR(INDEX(Roster!$B$2:$B$40,MATCH($A296,Roster!$A$2:$A$40,0)),"?"))</f>
        <v/>
      </c>
      <c r="C296" s="15" t="inlineStr">
        <is>
          <t>Bernhard_3</t>
        </is>
      </c>
      <c r="D296" s="29">
        <f>IF($C296="","",IFERROR(IF(INDEX(Deals!$C$2:$C$355,MATCH($C296,Deals!$A$2:$A$355,0))=0,"",INDEX(Deals!$C$2:$C$355,MATCH($C296,Deals!$A$2:$A$355,0))),"?"))</f>
        <v/>
      </c>
      <c r="E296" s="29">
        <f>IF($C296="","",IFERROR(INDEX(Deals!$F$2:$F$355,MATCH($C296,Deals!$A$2:$A$355,0)),"?"))</f>
        <v/>
      </c>
      <c r="F296" s="15" t="inlineStr">
        <is>
          <t>Director</t>
        </is>
      </c>
      <c r="G296" s="15" t="inlineStr">
        <is>
          <t>Active</t>
        </is>
      </c>
      <c r="H296" s="27" t="n"/>
      <c r="I296" s="20">
        <f>IF(OR($A296="",$G296&lt;&gt;"Active"),0,IF($H296&lt;&gt;"",$H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</f>
        <v/>
      </c>
      <c r="J296" s="23">
        <f>IF($C296="",0,IFERROR(INDEX(Deals!$H$2:$H$355,MATCH($C296,Deals!$A$2:$A$355,0)),0))</f>
        <v/>
      </c>
      <c r="K296" s="20">
        <f>IF(Settings!$B$4="Yes",$I296*$J296,$I296)</f>
        <v/>
      </c>
      <c r="L296" s="31">
        <f>IF($C296="","",IFERROR(IF(INDEX(Deals!$I$2:$I$355,MATCH($C296,Deals!$A$2:$A$355,0))=0,"",INDEX(Deals!$I$2:$I$355,MATCH($C296,Deals!$A$2:$A$355,0))),""))</f>
        <v/>
      </c>
      <c r="M296" s="31">
        <f>IF($C296="","",IFERROR(IF(INDEX(Deals!$J$2:$J$355,MATCH($C296,Deals!$A$2:$A$355,0))=0,"",INDEX(Deals!$J$2:$J$355,MATCH($C296,Deals!$A$2:$A$355,0))),""))</f>
        <v/>
      </c>
      <c r="N296" s="24">
        <f>IF($L296="",DATE(1900,1,1),$L296)</f>
        <v/>
      </c>
      <c r="O296" s="24">
        <f>IF($M296="",DATE(2100,12,31),$M296)</f>
        <v/>
      </c>
      <c r="P296" s="16" t="inlineStr"/>
      <c r="Q296" s="16" t="inlineStr"/>
      <c r="R296" s="29">
        <f>IF($C296="","",IFERROR(IF(INDEX(Deals!$U$2:$U$355,MATCH($C296,Deals!$A$2:$A$355,0))=0,"",INDEX(Deals!$U$2:$U$355,MATCH($C296,Deals!$A$2:$A$355,0))),""))</f>
        <v/>
      </c>
      <c r="S296" s="22">
        <f>IFERROR(IF($U296="",1,INDEX(Deals!$V$2:$V$355,MATCH($C296,Deals!$A$2:$A$355,0))),1)</f>
        <v/>
      </c>
      <c r="T296" s="22">
        <f>IFERROR(IF($U296="",1,INDEX(Deals!$W$2:$W$355,MATCH($C296,Deals!$A$2:$A$355,0))),1)</f>
        <v/>
      </c>
      <c r="U296" s="31">
        <f>IF($C296="","",IFERROR(IF(INDEX(Deals!$Y$2:$Y$355,MATCH($C296,Deals!$A$2:$A$355,0))=0,"",INDEX(Deals!$Y$2:$Y$355,MATCH($C296,Deals!$A$2:$A$355,0))),""))</f>
        <v/>
      </c>
      <c r="V296" s="24">
        <f>IF($U296="",DATE(1900,1,1),$N296)</f>
        <v/>
      </c>
      <c r="W296" s="24">
        <f>IF($U296="",DATE(2100,12,31),$U296)</f>
        <v/>
      </c>
      <c r="X296" s="20">
        <f>IF($U296="",$K296,$K296*$S296)</f>
        <v/>
      </c>
      <c r="Y296" s="24">
        <f>IF($U296="",DATE(2100,12,31),$U296+1)</f>
        <v/>
      </c>
      <c r="Z296" s="24">
        <f>IF($U296="",DATE(1900,1,1),$O296)</f>
        <v/>
      </c>
      <c r="AA296" s="20">
        <f>IF($U296="",0,$K296*$T296)</f>
        <v/>
      </c>
    </row>
    <row r="297">
      <c r="A297" s="15" t="inlineStr">
        <is>
          <t>Lauren</t>
        </is>
      </c>
      <c r="B297" s="29">
        <f>IF($A297="","",IFERROR(INDEX(Roster!$B$2:$B$40,MATCH($A297,Roster!$A$2:$A$40,0)),"?"))</f>
        <v/>
      </c>
      <c r="C297" s="15" t="inlineStr">
        <is>
          <t>Bledsoe_1</t>
        </is>
      </c>
      <c r="D297" s="29">
        <f>IF($C297="","",IFERROR(IF(INDEX(Deals!$C$2:$C$355,MATCH($C297,Deals!$A$2:$A$355,0))=0,"",INDEX(Deals!$C$2:$C$355,MATCH($C297,Deals!$A$2:$A$355,0))),"?"))</f>
        <v/>
      </c>
      <c r="E297" s="29">
        <f>IF($C297="","",IFERROR(INDEX(Deals!$F$2:$F$355,MATCH($C297,Deals!$A$2:$A$355,0)),"?"))</f>
        <v/>
      </c>
      <c r="F297" s="15" t="inlineStr">
        <is>
          <t>Director</t>
        </is>
      </c>
      <c r="G297" s="15" t="inlineStr">
        <is>
          <t>Active</t>
        </is>
      </c>
      <c r="H297" s="27" t="n"/>
      <c r="I297" s="20">
        <f>IF(OR($A297="",$G297&lt;&gt;"Active"),0,IF($H297&lt;&gt;"",$H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</f>
        <v/>
      </c>
      <c r="J297" s="23">
        <f>IF($C297="",0,IFERROR(INDEX(Deals!$H$2:$H$355,MATCH($C297,Deals!$A$2:$A$355,0)),0))</f>
        <v/>
      </c>
      <c r="K297" s="20">
        <f>IF(Settings!$B$4="Yes",$I297*$J297,$I297)</f>
        <v/>
      </c>
      <c r="L297" s="31">
        <f>IF($C297="","",IFERROR(IF(INDEX(Deals!$I$2:$I$355,MATCH($C297,Deals!$A$2:$A$355,0))=0,"",INDEX(Deals!$I$2:$I$355,MATCH($C297,Deals!$A$2:$A$355,0))),""))</f>
        <v/>
      </c>
      <c r="M297" s="31">
        <f>IF($C297="","",IFERROR(IF(INDEX(Deals!$J$2:$J$355,MATCH($C297,Deals!$A$2:$A$355,0))=0,"",INDEX(Deals!$J$2:$J$355,MATCH($C297,Deals!$A$2:$A$355,0))),""))</f>
        <v/>
      </c>
      <c r="N297" s="24">
        <f>IF($L297="",DATE(1900,1,1),$L297)</f>
        <v/>
      </c>
      <c r="O297" s="24">
        <f>IF($M297="",DATE(2100,12,31),$M297)</f>
        <v/>
      </c>
      <c r="P297" s="16" t="inlineStr"/>
      <c r="Q297" s="16" t="inlineStr"/>
      <c r="R297" s="29">
        <f>IF($C297="","",IFERROR(IF(INDEX(Deals!$U$2:$U$355,MATCH($C297,Deals!$A$2:$A$355,0))=0,"",INDEX(Deals!$U$2:$U$355,MATCH($C297,Deals!$A$2:$A$355,0))),""))</f>
        <v/>
      </c>
      <c r="S297" s="22">
        <f>IFERROR(IF($U297="",1,INDEX(Deals!$V$2:$V$355,MATCH($C297,Deals!$A$2:$A$355,0))),1)</f>
        <v/>
      </c>
      <c r="T297" s="22">
        <f>IFERROR(IF($U297="",1,INDEX(Deals!$W$2:$W$355,MATCH($C297,Deals!$A$2:$A$355,0))),1)</f>
        <v/>
      </c>
      <c r="U297" s="31">
        <f>IF($C297="","",IFERROR(IF(INDEX(Deals!$Y$2:$Y$355,MATCH($C297,Deals!$A$2:$A$355,0))=0,"",INDEX(Deals!$Y$2:$Y$355,MATCH($C297,Deals!$A$2:$A$355,0))),""))</f>
        <v/>
      </c>
      <c r="V297" s="24">
        <f>IF($U297="",DATE(1900,1,1),$N297)</f>
        <v/>
      </c>
      <c r="W297" s="24">
        <f>IF($U297="",DATE(2100,12,31),$U297)</f>
        <v/>
      </c>
      <c r="X297" s="20">
        <f>IF($U297="",$K297,$K297*$S297)</f>
        <v/>
      </c>
      <c r="Y297" s="24">
        <f>IF($U297="",DATE(2100,12,31),$U297+1)</f>
        <v/>
      </c>
      <c r="Z297" s="24">
        <f>IF($U297="",DATE(1900,1,1),$O297)</f>
        <v/>
      </c>
      <c r="AA297" s="20">
        <f>IF($U297="",0,$K297*$T297)</f>
        <v/>
      </c>
    </row>
    <row r="298">
      <c r="A298" s="15" t="inlineStr">
        <is>
          <t>Lauren</t>
        </is>
      </c>
      <c r="B298" s="29">
        <f>IF($A298="","",IFERROR(INDEX(Roster!$B$2:$B$40,MATCH($A298,Roster!$A$2:$A$40,0)),"?"))</f>
        <v/>
      </c>
      <c r="C298" s="15" t="inlineStr">
        <is>
          <t>Breakaway_1</t>
        </is>
      </c>
      <c r="D298" s="29">
        <f>IF($C298="","",IFERROR(IF(INDEX(Deals!$C$2:$C$355,MATCH($C298,Deals!$A$2:$A$355,0))=0,"",INDEX(Deals!$C$2:$C$355,MATCH($C298,Deals!$A$2:$A$355,0))),"?"))</f>
        <v/>
      </c>
      <c r="E298" s="29">
        <f>IF($C298="","",IFERROR(INDEX(Deals!$F$2:$F$355,MATCH($C298,Deals!$A$2:$A$355,0)),"?"))</f>
        <v/>
      </c>
      <c r="F298" s="15" t="inlineStr">
        <is>
          <t>Director</t>
        </is>
      </c>
      <c r="G298" s="15" t="inlineStr">
        <is>
          <t>Active</t>
        </is>
      </c>
      <c r="H298" s="27" t="n"/>
      <c r="I298" s="20">
        <f>IF(OR($A298="",$G298&lt;&gt;"Active"),0,IF($H298&lt;&gt;"",$H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</f>
        <v/>
      </c>
      <c r="J298" s="23">
        <f>IF($C298="",0,IFERROR(INDEX(Deals!$H$2:$H$355,MATCH($C298,Deals!$A$2:$A$355,0)),0))</f>
        <v/>
      </c>
      <c r="K298" s="20">
        <f>IF(Settings!$B$4="Yes",$I298*$J298,$I298)</f>
        <v/>
      </c>
      <c r="L298" s="31">
        <f>IF($C298="","",IFERROR(IF(INDEX(Deals!$I$2:$I$355,MATCH($C298,Deals!$A$2:$A$355,0))=0,"",INDEX(Deals!$I$2:$I$355,MATCH($C298,Deals!$A$2:$A$355,0))),""))</f>
        <v/>
      </c>
      <c r="M298" s="31">
        <f>IF($C298="","",IFERROR(IF(INDEX(Deals!$J$2:$J$355,MATCH($C298,Deals!$A$2:$A$355,0))=0,"",INDEX(Deals!$J$2:$J$355,MATCH($C298,Deals!$A$2:$A$355,0))),""))</f>
        <v/>
      </c>
      <c r="N298" s="24">
        <f>IF($L298="",DATE(1900,1,1),$L298)</f>
        <v/>
      </c>
      <c r="O298" s="24">
        <f>IF($M298="",DATE(2100,12,31),$M298)</f>
        <v/>
      </c>
      <c r="P298" s="16" t="inlineStr"/>
      <c r="Q298" s="16" t="inlineStr"/>
      <c r="R298" s="29">
        <f>IF($C298="","",IFERROR(IF(INDEX(Deals!$U$2:$U$355,MATCH($C298,Deals!$A$2:$A$355,0))=0,"",INDEX(Deals!$U$2:$U$355,MATCH($C298,Deals!$A$2:$A$355,0))),""))</f>
        <v/>
      </c>
      <c r="S298" s="22">
        <f>IFERROR(IF($U298="",1,INDEX(Deals!$V$2:$V$355,MATCH($C298,Deals!$A$2:$A$355,0))),1)</f>
        <v/>
      </c>
      <c r="T298" s="22">
        <f>IFERROR(IF($U298="",1,INDEX(Deals!$W$2:$W$355,MATCH($C298,Deals!$A$2:$A$355,0))),1)</f>
        <v/>
      </c>
      <c r="U298" s="31">
        <f>IF($C298="","",IFERROR(IF(INDEX(Deals!$Y$2:$Y$355,MATCH($C298,Deals!$A$2:$A$355,0))=0,"",INDEX(Deals!$Y$2:$Y$355,MATCH($C298,Deals!$A$2:$A$355,0))),""))</f>
        <v/>
      </c>
      <c r="V298" s="24">
        <f>IF($U298="",DATE(1900,1,1),$N298)</f>
        <v/>
      </c>
      <c r="W298" s="24">
        <f>IF($U298="",DATE(2100,12,31),$U298)</f>
        <v/>
      </c>
      <c r="X298" s="20">
        <f>IF($U298="",$K298,$K298*$S298)</f>
        <v/>
      </c>
      <c r="Y298" s="24">
        <f>IF($U298="",DATE(2100,12,31),$U298+1)</f>
        <v/>
      </c>
      <c r="Z298" s="24">
        <f>IF($U298="",DATE(1900,1,1),$O298)</f>
        <v/>
      </c>
      <c r="AA298" s="20">
        <f>IF($U298="",0,$K298*$T298)</f>
        <v/>
      </c>
    </row>
    <row r="299">
      <c r="A299" s="15" t="inlineStr">
        <is>
          <t>Lauren</t>
        </is>
      </c>
      <c r="B299" s="29">
        <f>IF($A299="","",IFERROR(INDEX(Roster!$B$2:$B$40,MATCH($A299,Roster!$A$2:$A$40,0)),"?"))</f>
        <v/>
      </c>
      <c r="C299" s="15" t="inlineStr">
        <is>
          <t>Broadway_1</t>
        </is>
      </c>
      <c r="D299" s="29">
        <f>IF($C299="","",IFERROR(IF(INDEX(Deals!$C$2:$C$355,MATCH($C299,Deals!$A$2:$A$355,0))=0,"",INDEX(Deals!$C$2:$C$355,MATCH($C299,Deals!$A$2:$A$355,0))),"?"))</f>
        <v/>
      </c>
      <c r="E299" s="29">
        <f>IF($C299="","",IFERROR(INDEX(Deals!$F$2:$F$355,MATCH($C299,Deals!$A$2:$A$355,0)),"?"))</f>
        <v/>
      </c>
      <c r="F299" s="15" t="inlineStr">
        <is>
          <t>Director</t>
        </is>
      </c>
      <c r="G299" s="15" t="inlineStr">
        <is>
          <t>Active</t>
        </is>
      </c>
      <c r="H299" s="27" t="n"/>
      <c r="I299" s="20">
        <f>IF(OR($A299="",$G299&lt;&gt;"Active"),0,IF($H299&lt;&gt;"",$H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</f>
        <v/>
      </c>
      <c r="J299" s="23">
        <f>IF($C299="",0,IFERROR(INDEX(Deals!$H$2:$H$355,MATCH($C299,Deals!$A$2:$A$355,0)),0))</f>
        <v/>
      </c>
      <c r="K299" s="20">
        <f>IF(Settings!$B$4="Yes",$I299*$J299,$I299)</f>
        <v/>
      </c>
      <c r="L299" s="31">
        <f>IF($C299="","",IFERROR(IF(INDEX(Deals!$I$2:$I$355,MATCH($C299,Deals!$A$2:$A$355,0))=0,"",INDEX(Deals!$I$2:$I$355,MATCH($C299,Deals!$A$2:$A$355,0))),""))</f>
        <v/>
      </c>
      <c r="M299" s="31">
        <f>IF($C299="","",IFERROR(IF(INDEX(Deals!$J$2:$J$355,MATCH($C299,Deals!$A$2:$A$355,0))=0,"",INDEX(Deals!$J$2:$J$355,MATCH($C299,Deals!$A$2:$A$355,0))),""))</f>
        <v/>
      </c>
      <c r="N299" s="24">
        <f>IF($L299="",DATE(1900,1,1),$L299)</f>
        <v/>
      </c>
      <c r="O299" s="24">
        <f>IF($M299="",DATE(2100,12,31),$M299)</f>
        <v/>
      </c>
      <c r="P299" s="16" t="inlineStr"/>
      <c r="Q299" s="16" t="inlineStr"/>
      <c r="R299" s="29">
        <f>IF($C299="","",IFERROR(IF(INDEX(Deals!$U$2:$U$355,MATCH($C299,Deals!$A$2:$A$355,0))=0,"",INDEX(Deals!$U$2:$U$355,MATCH($C299,Deals!$A$2:$A$355,0))),""))</f>
        <v/>
      </c>
      <c r="S299" s="22">
        <f>IFERROR(IF($U299="",1,INDEX(Deals!$V$2:$V$355,MATCH($C299,Deals!$A$2:$A$355,0))),1)</f>
        <v/>
      </c>
      <c r="T299" s="22">
        <f>IFERROR(IF($U299="",1,INDEX(Deals!$W$2:$W$355,MATCH($C299,Deals!$A$2:$A$355,0))),1)</f>
        <v/>
      </c>
      <c r="U299" s="31">
        <f>IF($C299="","",IFERROR(IF(INDEX(Deals!$Y$2:$Y$355,MATCH($C299,Deals!$A$2:$A$355,0))=0,"",INDEX(Deals!$Y$2:$Y$355,MATCH($C299,Deals!$A$2:$A$355,0))),""))</f>
        <v/>
      </c>
      <c r="V299" s="24">
        <f>IF($U299="",DATE(1900,1,1),$N299)</f>
        <v/>
      </c>
      <c r="W299" s="24">
        <f>IF($U299="",DATE(2100,12,31),$U299)</f>
        <v/>
      </c>
      <c r="X299" s="20">
        <f>IF($U299="",$K299,$K299*$S299)</f>
        <v/>
      </c>
      <c r="Y299" s="24">
        <f>IF($U299="",DATE(2100,12,31),$U299+1)</f>
        <v/>
      </c>
      <c r="Z299" s="24">
        <f>IF($U299="",DATE(1900,1,1),$O299)</f>
        <v/>
      </c>
      <c r="AA299" s="20">
        <f>IF($U299="",0,$K299*$T299)</f>
        <v/>
      </c>
    </row>
    <row r="300">
      <c r="A300" s="15" t="inlineStr">
        <is>
          <t>Lauren</t>
        </is>
      </c>
      <c r="B300" s="29">
        <f>IF($A300="","",IFERROR(INDEX(Roster!$B$2:$B$40,MATCH($A300,Roster!$A$2:$A$40,0)),"?"))</f>
        <v/>
      </c>
      <c r="C300" s="15" t="inlineStr">
        <is>
          <t>Cactus</t>
        </is>
      </c>
      <c r="D300" s="29">
        <f>IF($C300="","",IFERROR(IF(INDEX(Deals!$C$2:$C$355,MATCH($C300,Deals!$A$2:$A$355,0))=0,"",INDEX(Deals!$C$2:$C$355,MATCH($C300,Deals!$A$2:$A$355,0))),"?"))</f>
        <v/>
      </c>
      <c r="E300" s="29">
        <f>IF($C300="","",IFERROR(INDEX(Deals!$F$2:$F$355,MATCH($C300,Deals!$A$2:$A$355,0)),"?"))</f>
        <v/>
      </c>
      <c r="F300" s="15" t="inlineStr">
        <is>
          <t>Director</t>
        </is>
      </c>
      <c r="G300" s="15" t="inlineStr">
        <is>
          <t>Active</t>
        </is>
      </c>
      <c r="H300" s="27" t="n"/>
      <c r="I300" s="20">
        <f>IF(OR($A300="",$G300&lt;&gt;"Active"),0,IF($H300&lt;&gt;"",$H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</f>
        <v/>
      </c>
      <c r="J300" s="23">
        <f>IF($C300="",0,IFERROR(INDEX(Deals!$H$2:$H$355,MATCH($C300,Deals!$A$2:$A$355,0)),0))</f>
        <v/>
      </c>
      <c r="K300" s="20">
        <f>IF(Settings!$B$4="Yes",$I300*$J300,$I300)</f>
        <v/>
      </c>
      <c r="L300" s="31">
        <f>IF($C300="","",IFERROR(IF(INDEX(Deals!$I$2:$I$355,MATCH($C300,Deals!$A$2:$A$355,0))=0,"",INDEX(Deals!$I$2:$I$355,MATCH($C300,Deals!$A$2:$A$355,0))),""))</f>
        <v/>
      </c>
      <c r="M300" s="31">
        <f>IF($C300="","",IFERROR(IF(INDEX(Deals!$J$2:$J$355,MATCH($C300,Deals!$A$2:$A$355,0))=0,"",INDEX(Deals!$J$2:$J$355,MATCH($C300,Deals!$A$2:$A$355,0))),""))</f>
        <v/>
      </c>
      <c r="N300" s="24">
        <f>IF($L300="",DATE(1900,1,1),$L300)</f>
        <v/>
      </c>
      <c r="O300" s="24">
        <f>IF($M300="",DATE(2100,12,31),$M300)</f>
        <v/>
      </c>
      <c r="P300" s="16" t="inlineStr"/>
      <c r="Q300" s="16" t="inlineStr"/>
      <c r="R300" s="29">
        <f>IF($C300="","",IFERROR(IF(INDEX(Deals!$U$2:$U$355,MATCH($C300,Deals!$A$2:$A$355,0))=0,"",INDEX(Deals!$U$2:$U$355,MATCH($C300,Deals!$A$2:$A$355,0))),""))</f>
        <v/>
      </c>
      <c r="S300" s="22">
        <f>IFERROR(IF($U300="",1,INDEX(Deals!$V$2:$V$355,MATCH($C300,Deals!$A$2:$A$355,0))),1)</f>
        <v/>
      </c>
      <c r="T300" s="22">
        <f>IFERROR(IF($U300="",1,INDEX(Deals!$W$2:$W$355,MATCH($C300,Deals!$A$2:$A$355,0))),1)</f>
        <v/>
      </c>
      <c r="U300" s="31">
        <f>IF($C300="","",IFERROR(IF(INDEX(Deals!$Y$2:$Y$355,MATCH($C300,Deals!$A$2:$A$355,0))=0,"",INDEX(Deals!$Y$2:$Y$355,MATCH($C300,Deals!$A$2:$A$355,0))),""))</f>
        <v/>
      </c>
      <c r="V300" s="24">
        <f>IF($U300="",DATE(1900,1,1),$N300)</f>
        <v/>
      </c>
      <c r="W300" s="24">
        <f>IF($U300="",DATE(2100,12,31),$U300)</f>
        <v/>
      </c>
      <c r="X300" s="20">
        <f>IF($U300="",$K300,$K300*$S300)</f>
        <v/>
      </c>
      <c r="Y300" s="24">
        <f>IF($U300="",DATE(2100,12,31),$U300+1)</f>
        <v/>
      </c>
      <c r="Z300" s="24">
        <f>IF($U300="",DATE(1900,1,1),$O300)</f>
        <v/>
      </c>
      <c r="AA300" s="20">
        <f>IF($U300="",0,$K300*$T300)</f>
        <v/>
      </c>
    </row>
    <row r="301">
      <c r="A301" s="15" t="inlineStr">
        <is>
          <t>Lauren</t>
        </is>
      </c>
      <c r="B301" s="29">
        <f>IF($A301="","",IFERROR(INDEX(Roster!$B$2:$B$40,MATCH($A301,Roster!$A$2:$A$40,0)),"?"))</f>
        <v/>
      </c>
      <c r="C301" s="15" t="inlineStr">
        <is>
          <t>Canyon_1</t>
        </is>
      </c>
      <c r="D301" s="29">
        <f>IF($C301="","",IFERROR(IF(INDEX(Deals!$C$2:$C$355,MATCH($C301,Deals!$A$2:$A$355,0))=0,"",INDEX(Deals!$C$2:$C$355,MATCH($C301,Deals!$A$2:$A$355,0))),"?"))</f>
        <v/>
      </c>
      <c r="E301" s="29">
        <f>IF($C301="","",IFERROR(INDEX(Deals!$F$2:$F$355,MATCH($C301,Deals!$A$2:$A$355,0)),"?"))</f>
        <v/>
      </c>
      <c r="F301" s="15" t="inlineStr">
        <is>
          <t>Director</t>
        </is>
      </c>
      <c r="G301" s="15" t="inlineStr">
        <is>
          <t>Inactive</t>
        </is>
      </c>
      <c r="H301" s="27" t="n"/>
      <c r="I301" s="20">
        <f>IF(OR($A301="",$G301&lt;&gt;"Active"),0,IF($H301&lt;&gt;"",$H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</f>
        <v/>
      </c>
      <c r="J301" s="23">
        <f>IF($C301="",0,IFERROR(INDEX(Deals!$H$2:$H$355,MATCH($C301,Deals!$A$2:$A$355,0)),0))</f>
        <v/>
      </c>
      <c r="K301" s="20">
        <f>IF(Settings!$B$4="Yes",$I301*$J301,$I301)</f>
        <v/>
      </c>
      <c r="L301" s="31">
        <f>IF($C301="","",IFERROR(IF(INDEX(Deals!$I$2:$I$355,MATCH($C301,Deals!$A$2:$A$355,0))=0,"",INDEX(Deals!$I$2:$I$355,MATCH($C301,Deals!$A$2:$A$355,0))),""))</f>
        <v/>
      </c>
      <c r="M301" s="31">
        <f>IF($C301="","",IFERROR(IF(INDEX(Deals!$J$2:$J$355,MATCH($C301,Deals!$A$2:$A$355,0))=0,"",INDEX(Deals!$J$2:$J$355,MATCH($C301,Deals!$A$2:$A$355,0))),""))</f>
        <v/>
      </c>
      <c r="N301" s="24">
        <f>IF($L301="",DATE(1900,1,1),$L301)</f>
        <v/>
      </c>
      <c r="O301" s="24">
        <f>IF($M301="",DATE(2100,12,31),$M301)</f>
        <v/>
      </c>
      <c r="P301" s="16" t="inlineStr">
        <is>
          <t>Closed</t>
        </is>
      </c>
      <c r="Q301" s="16" t="inlineStr"/>
      <c r="R301" s="29">
        <f>IF($C301="","",IFERROR(IF(INDEX(Deals!$U$2:$U$355,MATCH($C301,Deals!$A$2:$A$355,0))=0,"",INDEX(Deals!$U$2:$U$355,MATCH($C301,Deals!$A$2:$A$355,0))),""))</f>
        <v/>
      </c>
      <c r="S301" s="22">
        <f>IFERROR(IF($U301="",1,INDEX(Deals!$V$2:$V$355,MATCH($C301,Deals!$A$2:$A$355,0))),1)</f>
        <v/>
      </c>
      <c r="T301" s="22">
        <f>IFERROR(IF($U301="",1,INDEX(Deals!$W$2:$W$355,MATCH($C301,Deals!$A$2:$A$355,0))),1)</f>
        <v/>
      </c>
      <c r="U301" s="31">
        <f>IF($C301="","",IFERROR(IF(INDEX(Deals!$Y$2:$Y$355,MATCH($C301,Deals!$A$2:$A$355,0))=0,"",INDEX(Deals!$Y$2:$Y$355,MATCH($C301,Deals!$A$2:$A$355,0))),""))</f>
        <v/>
      </c>
      <c r="V301" s="24">
        <f>IF($U301="",DATE(1900,1,1),$N301)</f>
        <v/>
      </c>
      <c r="W301" s="24">
        <f>IF($U301="",DATE(2100,12,31),$U301)</f>
        <v/>
      </c>
      <c r="X301" s="20">
        <f>IF($U301="",$K301,$K301*$S301)</f>
        <v/>
      </c>
      <c r="Y301" s="24">
        <f>IF($U301="",DATE(2100,12,31),$U301+1)</f>
        <v/>
      </c>
      <c r="Z301" s="24">
        <f>IF($U301="",DATE(1900,1,1),$O301)</f>
        <v/>
      </c>
      <c r="AA301" s="20">
        <f>IF($U301="",0,$K301*$T301)</f>
        <v/>
      </c>
    </row>
    <row r="302">
      <c r="A302" s="15" t="inlineStr">
        <is>
          <t>Lauren</t>
        </is>
      </c>
      <c r="B302" s="29">
        <f>IF($A302="","",IFERROR(INDEX(Roster!$B$2:$B$40,MATCH($A302,Roster!$A$2:$A$40,0)),"?"))</f>
        <v/>
      </c>
      <c r="C302" s="15" t="inlineStr">
        <is>
          <t>Cohost_1</t>
        </is>
      </c>
      <c r="D302" s="29">
        <f>IF($C302="","",IFERROR(IF(INDEX(Deals!$C$2:$C$355,MATCH($C302,Deals!$A$2:$A$355,0))=0,"",INDEX(Deals!$C$2:$C$355,MATCH($C302,Deals!$A$2:$A$355,0))),"?"))</f>
        <v/>
      </c>
      <c r="E302" s="29">
        <f>IF($C302="","",IFERROR(INDEX(Deals!$F$2:$F$355,MATCH($C302,Deals!$A$2:$A$355,0)),"?"))</f>
        <v/>
      </c>
      <c r="F302" s="15" t="inlineStr">
        <is>
          <t>Director</t>
        </is>
      </c>
      <c r="G302" s="15" t="inlineStr">
        <is>
          <t>Active</t>
        </is>
      </c>
      <c r="H302" s="27" t="n"/>
      <c r="I302" s="20">
        <f>IF(OR($A302="",$G302&lt;&gt;"Active"),0,IF($H302&lt;&gt;"",$H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</f>
        <v/>
      </c>
      <c r="J302" s="23">
        <f>IF($C302="",0,IFERROR(INDEX(Deals!$H$2:$H$355,MATCH($C302,Deals!$A$2:$A$355,0)),0))</f>
        <v/>
      </c>
      <c r="K302" s="20">
        <f>IF(Settings!$B$4="Yes",$I302*$J302,$I302)</f>
        <v/>
      </c>
      <c r="L302" s="31">
        <f>IF($C302="","",IFERROR(IF(INDEX(Deals!$I$2:$I$355,MATCH($C302,Deals!$A$2:$A$355,0))=0,"",INDEX(Deals!$I$2:$I$355,MATCH($C302,Deals!$A$2:$A$355,0))),""))</f>
        <v/>
      </c>
      <c r="M302" s="31">
        <f>IF($C302="","",IFERROR(IF(INDEX(Deals!$J$2:$J$355,MATCH($C302,Deals!$A$2:$A$355,0))=0,"",INDEX(Deals!$J$2:$J$355,MATCH($C302,Deals!$A$2:$A$355,0))),""))</f>
        <v/>
      </c>
      <c r="N302" s="24">
        <f>IF($L302="",DATE(1900,1,1),$L302)</f>
        <v/>
      </c>
      <c r="O302" s="24">
        <f>IF($M302="",DATE(2100,12,31),$M302)</f>
        <v/>
      </c>
      <c r="P302" s="16" t="inlineStr"/>
      <c r="Q302" s="16" t="inlineStr"/>
      <c r="R302" s="29">
        <f>IF($C302="","",IFERROR(IF(INDEX(Deals!$U$2:$U$355,MATCH($C302,Deals!$A$2:$A$355,0))=0,"",INDEX(Deals!$U$2:$U$355,MATCH($C302,Deals!$A$2:$A$355,0))),""))</f>
        <v/>
      </c>
      <c r="S302" s="22">
        <f>IFERROR(IF($U302="",1,INDEX(Deals!$V$2:$V$355,MATCH($C302,Deals!$A$2:$A$355,0))),1)</f>
        <v/>
      </c>
      <c r="T302" s="22">
        <f>IFERROR(IF($U302="",1,INDEX(Deals!$W$2:$W$355,MATCH($C302,Deals!$A$2:$A$355,0))),1)</f>
        <v/>
      </c>
      <c r="U302" s="31">
        <f>IF($C302="","",IFERROR(IF(INDEX(Deals!$Y$2:$Y$355,MATCH($C302,Deals!$A$2:$A$355,0))=0,"",INDEX(Deals!$Y$2:$Y$355,MATCH($C302,Deals!$A$2:$A$355,0))),""))</f>
        <v/>
      </c>
      <c r="V302" s="24">
        <f>IF($U302="",DATE(1900,1,1),$N302)</f>
        <v/>
      </c>
      <c r="W302" s="24">
        <f>IF($U302="",DATE(2100,12,31),$U302)</f>
        <v/>
      </c>
      <c r="X302" s="20">
        <f>IF($U302="",$K302,$K302*$S302)</f>
        <v/>
      </c>
      <c r="Y302" s="24">
        <f>IF($U302="",DATE(2100,12,31),$U302+1)</f>
        <v/>
      </c>
      <c r="Z302" s="24">
        <f>IF($U302="",DATE(1900,1,1),$O302)</f>
        <v/>
      </c>
      <c r="AA302" s="20">
        <f>IF($U302="",0,$K302*$T302)</f>
        <v/>
      </c>
    </row>
    <row r="303">
      <c r="A303" s="15" t="inlineStr">
        <is>
          <t>Lauren</t>
        </is>
      </c>
      <c r="B303" s="29">
        <f>IF($A303="","",IFERROR(INDEX(Roster!$B$2:$B$40,MATCH($A303,Roster!$A$2:$A$40,0)),"?"))</f>
        <v/>
      </c>
      <c r="C303" s="15" t="inlineStr">
        <is>
          <t>Denali_3</t>
        </is>
      </c>
      <c r="D303" s="29">
        <f>IF($C303="","",IFERROR(IF(INDEX(Deals!$C$2:$C$355,MATCH($C303,Deals!$A$2:$A$355,0))=0,"",INDEX(Deals!$C$2:$C$355,MATCH($C303,Deals!$A$2:$A$355,0))),"?"))</f>
        <v/>
      </c>
      <c r="E303" s="29">
        <f>IF($C303="","",IFERROR(INDEX(Deals!$F$2:$F$355,MATCH($C303,Deals!$A$2:$A$355,0)),"?"))</f>
        <v/>
      </c>
      <c r="F303" s="15" t="inlineStr">
        <is>
          <t>Director</t>
        </is>
      </c>
      <c r="G303" s="15" t="inlineStr">
        <is>
          <t>Active</t>
        </is>
      </c>
      <c r="H303" s="27" t="n"/>
      <c r="I303" s="20">
        <f>IF(OR($A303="",$G303&lt;&gt;"Active"),0,IF($H303&lt;&gt;"",$H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</f>
        <v/>
      </c>
      <c r="J303" s="23">
        <f>IF($C303="",0,IFERROR(INDEX(Deals!$H$2:$H$355,MATCH($C303,Deals!$A$2:$A$355,0)),0))</f>
        <v/>
      </c>
      <c r="K303" s="20">
        <f>IF(Settings!$B$4="Yes",$I303*$J303,$I303)</f>
        <v/>
      </c>
      <c r="L303" s="31">
        <f>IF($C303="","",IFERROR(IF(INDEX(Deals!$I$2:$I$355,MATCH($C303,Deals!$A$2:$A$355,0))=0,"",INDEX(Deals!$I$2:$I$355,MATCH($C303,Deals!$A$2:$A$355,0))),""))</f>
        <v/>
      </c>
      <c r="M303" s="31">
        <f>IF($C303="","",IFERROR(IF(INDEX(Deals!$J$2:$J$355,MATCH($C303,Deals!$A$2:$A$355,0))=0,"",INDEX(Deals!$J$2:$J$355,MATCH($C303,Deals!$A$2:$A$355,0))),""))</f>
        <v/>
      </c>
      <c r="N303" s="24">
        <f>IF($L303="",DATE(1900,1,1),$L303)</f>
        <v/>
      </c>
      <c r="O303" s="24">
        <f>IF($M303="",DATE(2100,12,31),$M303)</f>
        <v/>
      </c>
      <c r="P303" s="16" t="inlineStr"/>
      <c r="Q303" s="16" t="inlineStr"/>
      <c r="R303" s="29">
        <f>IF($C303="","",IFERROR(IF(INDEX(Deals!$U$2:$U$355,MATCH($C303,Deals!$A$2:$A$355,0))=0,"",INDEX(Deals!$U$2:$U$355,MATCH($C303,Deals!$A$2:$A$355,0))),""))</f>
        <v/>
      </c>
      <c r="S303" s="22">
        <f>IFERROR(IF($U303="",1,INDEX(Deals!$V$2:$V$355,MATCH($C303,Deals!$A$2:$A$355,0))),1)</f>
        <v/>
      </c>
      <c r="T303" s="22">
        <f>IFERROR(IF($U303="",1,INDEX(Deals!$W$2:$W$355,MATCH($C303,Deals!$A$2:$A$355,0))),1)</f>
        <v/>
      </c>
      <c r="U303" s="31">
        <f>IF($C303="","",IFERROR(IF(INDEX(Deals!$Y$2:$Y$355,MATCH($C303,Deals!$A$2:$A$355,0))=0,"",INDEX(Deals!$Y$2:$Y$355,MATCH($C303,Deals!$A$2:$A$355,0))),""))</f>
        <v/>
      </c>
      <c r="V303" s="24">
        <f>IF($U303="",DATE(1900,1,1),$N303)</f>
        <v/>
      </c>
      <c r="W303" s="24">
        <f>IF($U303="",DATE(2100,12,31),$U303)</f>
        <v/>
      </c>
      <c r="X303" s="20">
        <f>IF($U303="",$K303,$K303*$S303)</f>
        <v/>
      </c>
      <c r="Y303" s="24">
        <f>IF($U303="",DATE(2100,12,31),$U303+1)</f>
        <v/>
      </c>
      <c r="Z303" s="24">
        <f>IF($U303="",DATE(1900,1,1),$O303)</f>
        <v/>
      </c>
      <c r="AA303" s="20">
        <f>IF($U303="",0,$K303*$T303)</f>
        <v/>
      </c>
    </row>
    <row r="304">
      <c r="A304" s="15" t="inlineStr">
        <is>
          <t>Lauren</t>
        </is>
      </c>
      <c r="B304" s="29">
        <f>IF($A304="","",IFERROR(INDEX(Roster!$B$2:$B$40,MATCH($A304,Roster!$A$2:$A$40,0)),"?"))</f>
        <v/>
      </c>
      <c r="C304" s="15" t="inlineStr">
        <is>
          <t>DIF Twister_2</t>
        </is>
      </c>
      <c r="D304" s="29">
        <f>IF($C304="","",IFERROR(IF(INDEX(Deals!$C$2:$C$355,MATCH($C304,Deals!$A$2:$A$355,0))=0,"",INDEX(Deals!$C$2:$C$355,MATCH($C304,Deals!$A$2:$A$355,0))),"?"))</f>
        <v/>
      </c>
      <c r="E304" s="29">
        <f>IF($C304="","",IFERROR(INDEX(Deals!$F$2:$F$355,MATCH($C304,Deals!$A$2:$A$355,0)),"?"))</f>
        <v/>
      </c>
      <c r="F304" s="15" t="inlineStr">
        <is>
          <t>Director</t>
        </is>
      </c>
      <c r="G304" s="15" t="inlineStr">
        <is>
          <t>Active</t>
        </is>
      </c>
      <c r="H304" s="27" t="n"/>
      <c r="I304" s="20">
        <f>IF(OR($A304="",$G304&lt;&gt;"Active"),0,IF($H304&lt;&gt;"",$H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</f>
        <v/>
      </c>
      <c r="J304" s="23">
        <f>IF($C304="",0,IFERROR(INDEX(Deals!$H$2:$H$355,MATCH($C304,Deals!$A$2:$A$355,0)),0))</f>
        <v/>
      </c>
      <c r="K304" s="20">
        <f>IF(Settings!$B$4="Yes",$I304*$J304,$I304)</f>
        <v/>
      </c>
      <c r="L304" s="31">
        <f>IF($C304="","",IFERROR(IF(INDEX(Deals!$I$2:$I$355,MATCH($C304,Deals!$A$2:$A$355,0))=0,"",INDEX(Deals!$I$2:$I$355,MATCH($C304,Deals!$A$2:$A$355,0))),""))</f>
        <v/>
      </c>
      <c r="M304" s="31">
        <f>IF($C304="","",IFERROR(IF(INDEX(Deals!$J$2:$J$355,MATCH($C304,Deals!$A$2:$A$355,0))=0,"",INDEX(Deals!$J$2:$J$355,MATCH($C304,Deals!$A$2:$A$355,0))),""))</f>
        <v/>
      </c>
      <c r="N304" s="24">
        <f>IF($L304="",DATE(1900,1,1),$L304)</f>
        <v/>
      </c>
      <c r="O304" s="24">
        <f>IF($M304="",DATE(2100,12,31),$M304)</f>
        <v/>
      </c>
      <c r="P304" s="16" t="inlineStr"/>
      <c r="Q304" s="16" t="inlineStr"/>
      <c r="R304" s="29">
        <f>IF($C304="","",IFERROR(IF(INDEX(Deals!$U$2:$U$355,MATCH($C304,Deals!$A$2:$A$355,0))=0,"",INDEX(Deals!$U$2:$U$355,MATCH($C304,Deals!$A$2:$A$355,0))),""))</f>
        <v/>
      </c>
      <c r="S304" s="22">
        <f>IFERROR(IF($U304="",1,INDEX(Deals!$V$2:$V$355,MATCH($C304,Deals!$A$2:$A$355,0))),1)</f>
        <v/>
      </c>
      <c r="T304" s="22">
        <f>IFERROR(IF($U304="",1,INDEX(Deals!$W$2:$W$355,MATCH($C304,Deals!$A$2:$A$355,0))),1)</f>
        <v/>
      </c>
      <c r="U304" s="31">
        <f>IF($C304="","",IFERROR(IF(INDEX(Deals!$Y$2:$Y$355,MATCH($C304,Deals!$A$2:$A$355,0))=0,"",INDEX(Deals!$Y$2:$Y$355,MATCH($C304,Deals!$A$2:$A$355,0))),""))</f>
        <v/>
      </c>
      <c r="V304" s="24">
        <f>IF($U304="",DATE(1900,1,1),$N304)</f>
        <v/>
      </c>
      <c r="W304" s="24">
        <f>IF($U304="",DATE(2100,12,31),$U304)</f>
        <v/>
      </c>
      <c r="X304" s="20">
        <f>IF($U304="",$K304,$K304*$S304)</f>
        <v/>
      </c>
      <c r="Y304" s="24">
        <f>IF($U304="",DATE(2100,12,31),$U304+1)</f>
        <v/>
      </c>
      <c r="Z304" s="24">
        <f>IF($U304="",DATE(1900,1,1),$O304)</f>
        <v/>
      </c>
      <c r="AA304" s="20">
        <f>IF($U304="",0,$K304*$T304)</f>
        <v/>
      </c>
    </row>
    <row r="305">
      <c r="A305" s="15" t="inlineStr">
        <is>
          <t>Lauren</t>
        </is>
      </c>
      <c r="B305" s="29">
        <f>IF($A305="","",IFERROR(INDEX(Roster!$B$2:$B$40,MATCH($A305,Roster!$A$2:$A$40,0)),"?"))</f>
        <v/>
      </c>
      <c r="C305" s="15" t="inlineStr">
        <is>
          <t>Edward_1</t>
        </is>
      </c>
      <c r="D305" s="29">
        <f>IF($C305="","",IFERROR(IF(INDEX(Deals!$C$2:$C$355,MATCH($C305,Deals!$A$2:$A$355,0))=0,"",INDEX(Deals!$C$2:$C$355,MATCH($C305,Deals!$A$2:$A$355,0))),"?"))</f>
        <v/>
      </c>
      <c r="E305" s="29">
        <f>IF($C305="","",IFERROR(INDEX(Deals!$F$2:$F$355,MATCH($C305,Deals!$A$2:$A$355,0)),"?"))</f>
        <v/>
      </c>
      <c r="F305" s="15" t="inlineStr">
        <is>
          <t>Director</t>
        </is>
      </c>
      <c r="G305" s="15" t="inlineStr">
        <is>
          <t>Inactive</t>
        </is>
      </c>
      <c r="H305" s="27" t="n"/>
      <c r="I305" s="20">
        <f>IF(OR($A305="",$G305&lt;&gt;"Active"),0,IF($H305&lt;&gt;"",$H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</f>
        <v/>
      </c>
      <c r="J305" s="23">
        <f>IF($C305="",0,IFERROR(INDEX(Deals!$H$2:$H$355,MATCH($C305,Deals!$A$2:$A$355,0)),0))</f>
        <v/>
      </c>
      <c r="K305" s="20">
        <f>IF(Settings!$B$4="Yes",$I305*$J305,$I305)</f>
        <v/>
      </c>
      <c r="L305" s="31">
        <f>IF($C305="","",IFERROR(IF(INDEX(Deals!$I$2:$I$355,MATCH($C305,Deals!$A$2:$A$355,0))=0,"",INDEX(Deals!$I$2:$I$355,MATCH($C305,Deals!$A$2:$A$355,0))),""))</f>
        <v/>
      </c>
      <c r="M305" s="31">
        <f>IF($C305="","",IFERROR(IF(INDEX(Deals!$J$2:$J$355,MATCH($C305,Deals!$A$2:$A$355,0))=0,"",INDEX(Deals!$J$2:$J$355,MATCH($C305,Deals!$A$2:$A$355,0))),""))</f>
        <v/>
      </c>
      <c r="N305" s="24">
        <f>IF($L305="",DATE(1900,1,1),$L305)</f>
        <v/>
      </c>
      <c r="O305" s="24">
        <f>IF($M305="",DATE(2100,12,31),$M305)</f>
        <v/>
      </c>
      <c r="P305" s="16" t="inlineStr"/>
      <c r="Q305" s="16" t="inlineStr">
        <is>
          <t>Deal lifecycle is Closed</t>
        </is>
      </c>
      <c r="R305" s="29">
        <f>IF($C305="","",IFERROR(IF(INDEX(Deals!$U$2:$U$355,MATCH($C305,Deals!$A$2:$A$355,0))=0,"",INDEX(Deals!$U$2:$U$355,MATCH($C305,Deals!$A$2:$A$355,0))),""))</f>
        <v/>
      </c>
      <c r="S305" s="22">
        <f>IFERROR(IF($U305="",1,INDEX(Deals!$V$2:$V$355,MATCH($C305,Deals!$A$2:$A$355,0))),1)</f>
        <v/>
      </c>
      <c r="T305" s="22">
        <f>IFERROR(IF($U305="",1,INDEX(Deals!$W$2:$W$355,MATCH($C305,Deals!$A$2:$A$355,0))),1)</f>
        <v/>
      </c>
      <c r="U305" s="31">
        <f>IF($C305="","",IFERROR(IF(INDEX(Deals!$Y$2:$Y$355,MATCH($C305,Deals!$A$2:$A$355,0))=0,"",INDEX(Deals!$Y$2:$Y$355,MATCH($C305,Deals!$A$2:$A$355,0))),""))</f>
        <v/>
      </c>
      <c r="V305" s="24">
        <f>IF($U305="",DATE(1900,1,1),$N305)</f>
        <v/>
      </c>
      <c r="W305" s="24">
        <f>IF($U305="",DATE(2100,12,31),$U305)</f>
        <v/>
      </c>
      <c r="X305" s="20">
        <f>IF($U305="",$K305,$K305*$S305)</f>
        <v/>
      </c>
      <c r="Y305" s="24">
        <f>IF($U305="",DATE(2100,12,31),$U305+1)</f>
        <v/>
      </c>
      <c r="Z305" s="24">
        <f>IF($U305="",DATE(1900,1,1),$O305)</f>
        <v/>
      </c>
      <c r="AA305" s="20">
        <f>IF($U305="",0,$K305*$T305)</f>
        <v/>
      </c>
    </row>
    <row r="306">
      <c r="A306" s="15" t="inlineStr">
        <is>
          <t>Lauren</t>
        </is>
      </c>
      <c r="B306" s="29">
        <f>IF($A306="","",IFERROR(INDEX(Roster!$B$2:$B$40,MATCH($A306,Roster!$A$2:$A$40,0)),"?"))</f>
        <v/>
      </c>
      <c r="C306" s="15" t="inlineStr">
        <is>
          <t>Gemini</t>
        </is>
      </c>
      <c r="D306" s="29">
        <f>IF($C306="","",IFERROR(IF(INDEX(Deals!$C$2:$C$355,MATCH($C306,Deals!$A$2:$A$355,0))=0,"",INDEX(Deals!$C$2:$C$355,MATCH($C306,Deals!$A$2:$A$355,0))),"?"))</f>
        <v/>
      </c>
      <c r="E306" s="29">
        <f>IF($C306="","",IFERROR(INDEX(Deals!$F$2:$F$355,MATCH($C306,Deals!$A$2:$A$355,0)),"?"))</f>
        <v/>
      </c>
      <c r="F306" s="15" t="inlineStr">
        <is>
          <t>Director</t>
        </is>
      </c>
      <c r="G306" s="15" t="inlineStr">
        <is>
          <t>Active</t>
        </is>
      </c>
      <c r="H306" s="27" t="n"/>
      <c r="I306" s="20">
        <f>IF(OR($A306="",$G306&lt;&gt;"Active"),0,IF($H306&lt;&gt;"",$H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</f>
        <v/>
      </c>
      <c r="J306" s="23">
        <f>IF($C306="",0,IFERROR(INDEX(Deals!$H$2:$H$355,MATCH($C306,Deals!$A$2:$A$355,0)),0))</f>
        <v/>
      </c>
      <c r="K306" s="20">
        <f>IF(Settings!$B$4="Yes",$I306*$J306,$I306)</f>
        <v/>
      </c>
      <c r="L306" s="31">
        <f>IF($C306="","",IFERROR(IF(INDEX(Deals!$I$2:$I$355,MATCH($C306,Deals!$A$2:$A$355,0))=0,"",INDEX(Deals!$I$2:$I$355,MATCH($C306,Deals!$A$2:$A$355,0))),""))</f>
        <v/>
      </c>
      <c r="M306" s="31">
        <f>IF($C306="","",IFERROR(IF(INDEX(Deals!$J$2:$J$355,MATCH($C306,Deals!$A$2:$A$355,0))=0,"",INDEX(Deals!$J$2:$J$355,MATCH($C306,Deals!$A$2:$A$355,0))),""))</f>
        <v/>
      </c>
      <c r="N306" s="24">
        <f>IF($L306="",DATE(1900,1,1),$L306)</f>
        <v/>
      </c>
      <c r="O306" s="24">
        <f>IF($M306="",DATE(2100,12,31),$M306)</f>
        <v/>
      </c>
      <c r="P306" s="16" t="inlineStr"/>
      <c r="Q306" s="16" t="inlineStr"/>
      <c r="R306" s="29">
        <f>IF($C306="","",IFERROR(IF(INDEX(Deals!$U$2:$U$355,MATCH($C306,Deals!$A$2:$A$355,0))=0,"",INDEX(Deals!$U$2:$U$355,MATCH($C306,Deals!$A$2:$A$355,0))),""))</f>
        <v/>
      </c>
      <c r="S306" s="22">
        <f>IFERROR(IF($U306="",1,INDEX(Deals!$V$2:$V$355,MATCH($C306,Deals!$A$2:$A$355,0))),1)</f>
        <v/>
      </c>
      <c r="T306" s="22">
        <f>IFERROR(IF($U306="",1,INDEX(Deals!$W$2:$W$355,MATCH($C306,Deals!$A$2:$A$355,0))),1)</f>
        <v/>
      </c>
      <c r="U306" s="31">
        <f>IF($C306="","",IFERROR(IF(INDEX(Deals!$Y$2:$Y$355,MATCH($C306,Deals!$A$2:$A$355,0))=0,"",INDEX(Deals!$Y$2:$Y$355,MATCH($C306,Deals!$A$2:$A$355,0))),""))</f>
        <v/>
      </c>
      <c r="V306" s="24">
        <f>IF($U306="",DATE(1900,1,1),$N306)</f>
        <v/>
      </c>
      <c r="W306" s="24">
        <f>IF($U306="",DATE(2100,12,31),$U306)</f>
        <v/>
      </c>
      <c r="X306" s="20">
        <f>IF($U306="",$K306,$K306*$S306)</f>
        <v/>
      </c>
      <c r="Y306" s="24">
        <f>IF($U306="",DATE(2100,12,31),$U306+1)</f>
        <v/>
      </c>
      <c r="Z306" s="24">
        <f>IF($U306="",DATE(1900,1,1),$O306)</f>
        <v/>
      </c>
      <c r="AA306" s="20">
        <f>IF($U306="",0,$K306*$T306)</f>
        <v/>
      </c>
    </row>
    <row r="307">
      <c r="A307" s="15" t="inlineStr">
        <is>
          <t>Lauren</t>
        </is>
      </c>
      <c r="B307" s="29">
        <f>IF($A307="","",IFERROR(INDEX(Roster!$B$2:$B$40,MATCH($A307,Roster!$A$2:$A$40,0)),"?"))</f>
        <v/>
      </c>
      <c r="C307" s="15" t="inlineStr">
        <is>
          <t>Maple_4</t>
        </is>
      </c>
      <c r="D307" s="29">
        <f>IF($C307="","",IFERROR(IF(INDEX(Deals!$C$2:$C$355,MATCH($C307,Deals!$A$2:$A$355,0))=0,"",INDEX(Deals!$C$2:$C$355,MATCH($C307,Deals!$A$2:$A$355,0))),"?"))</f>
        <v/>
      </c>
      <c r="E307" s="29">
        <f>IF($C307="","",IFERROR(INDEX(Deals!$F$2:$F$355,MATCH($C307,Deals!$A$2:$A$355,0)),"?"))</f>
        <v/>
      </c>
      <c r="F307" s="15" t="inlineStr">
        <is>
          <t>Director</t>
        </is>
      </c>
      <c r="G307" s="15" t="inlineStr">
        <is>
          <t>Active</t>
        </is>
      </c>
      <c r="H307" s="27" t="n"/>
      <c r="I307" s="20">
        <f>IF(OR($A307="",$G307&lt;&gt;"Active"),0,IF($H307&lt;&gt;"",$H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</f>
        <v/>
      </c>
      <c r="J307" s="23">
        <f>IF($C307="",0,IFERROR(INDEX(Deals!$H$2:$H$355,MATCH($C307,Deals!$A$2:$A$355,0)),0))</f>
        <v/>
      </c>
      <c r="K307" s="20">
        <f>IF(Settings!$B$4="Yes",$I307*$J307,$I307)</f>
        <v/>
      </c>
      <c r="L307" s="31">
        <f>IF($C307="","",IFERROR(IF(INDEX(Deals!$I$2:$I$355,MATCH($C307,Deals!$A$2:$A$355,0))=0,"",INDEX(Deals!$I$2:$I$355,MATCH($C307,Deals!$A$2:$A$355,0))),""))</f>
        <v/>
      </c>
      <c r="M307" s="31">
        <f>IF($C307="","",IFERROR(IF(INDEX(Deals!$J$2:$J$355,MATCH($C307,Deals!$A$2:$A$355,0))=0,"",INDEX(Deals!$J$2:$J$355,MATCH($C307,Deals!$A$2:$A$355,0))),""))</f>
        <v/>
      </c>
      <c r="N307" s="24">
        <f>IF($L307="",DATE(1900,1,1),$L307)</f>
        <v/>
      </c>
      <c r="O307" s="24">
        <f>IF($M307="",DATE(2100,12,31),$M307)</f>
        <v/>
      </c>
      <c r="P307" s="16" t="inlineStr"/>
      <c r="Q307" s="16" t="inlineStr"/>
      <c r="R307" s="29">
        <f>IF($C307="","",IFERROR(IF(INDEX(Deals!$U$2:$U$355,MATCH($C307,Deals!$A$2:$A$355,0))=0,"",INDEX(Deals!$U$2:$U$355,MATCH($C307,Deals!$A$2:$A$355,0))),""))</f>
        <v/>
      </c>
      <c r="S307" s="22">
        <f>IFERROR(IF($U307="",1,INDEX(Deals!$V$2:$V$355,MATCH($C307,Deals!$A$2:$A$355,0))),1)</f>
        <v/>
      </c>
      <c r="T307" s="22">
        <f>IFERROR(IF($U307="",1,INDEX(Deals!$W$2:$W$355,MATCH($C307,Deals!$A$2:$A$355,0))),1)</f>
        <v/>
      </c>
      <c r="U307" s="31">
        <f>IF($C307="","",IFERROR(IF(INDEX(Deals!$Y$2:$Y$355,MATCH($C307,Deals!$A$2:$A$355,0))=0,"",INDEX(Deals!$Y$2:$Y$355,MATCH($C307,Deals!$A$2:$A$355,0))),""))</f>
        <v/>
      </c>
      <c r="V307" s="24">
        <f>IF($U307="",DATE(1900,1,1),$N307)</f>
        <v/>
      </c>
      <c r="W307" s="24">
        <f>IF($U307="",DATE(2100,12,31),$U307)</f>
        <v/>
      </c>
      <c r="X307" s="20">
        <f>IF($U307="",$K307,$K307*$S307)</f>
        <v/>
      </c>
      <c r="Y307" s="24">
        <f>IF($U307="",DATE(2100,12,31),$U307+1)</f>
        <v/>
      </c>
      <c r="Z307" s="24">
        <f>IF($U307="",DATE(1900,1,1),$O307)</f>
        <v/>
      </c>
      <c r="AA307" s="20">
        <f>IF($U307="",0,$K307*$T307)</f>
        <v/>
      </c>
    </row>
    <row r="308">
      <c r="A308" s="15" t="inlineStr">
        <is>
          <t>Lauren</t>
        </is>
      </c>
      <c r="B308" s="29">
        <f>IF($A308="","",IFERROR(INDEX(Roster!$B$2:$B$40,MATCH($A308,Roster!$A$2:$A$40,0)),"?"))</f>
        <v/>
      </c>
      <c r="C308" s="15" t="inlineStr">
        <is>
          <t>Marigold_2</t>
        </is>
      </c>
      <c r="D308" s="29">
        <f>IF($C308="","",IFERROR(IF(INDEX(Deals!$C$2:$C$355,MATCH($C308,Deals!$A$2:$A$355,0))=0,"",INDEX(Deals!$C$2:$C$355,MATCH($C308,Deals!$A$2:$A$355,0))),"?"))</f>
        <v/>
      </c>
      <c r="E308" s="29">
        <f>IF($C308="","",IFERROR(INDEX(Deals!$F$2:$F$355,MATCH($C308,Deals!$A$2:$A$355,0)),"?"))</f>
        <v/>
      </c>
      <c r="F308" s="15" t="inlineStr">
        <is>
          <t>Director</t>
        </is>
      </c>
      <c r="G308" s="15" t="inlineStr">
        <is>
          <t>Active</t>
        </is>
      </c>
      <c r="H308" s="27" t="n"/>
      <c r="I308" s="20">
        <f>IF(OR($A308="",$G308&lt;&gt;"Active"),0,IF($H308&lt;&gt;"",$H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</f>
        <v/>
      </c>
      <c r="J308" s="23">
        <f>IF($C308="",0,IFERROR(INDEX(Deals!$H$2:$H$355,MATCH($C308,Deals!$A$2:$A$355,0)),0))</f>
        <v/>
      </c>
      <c r="K308" s="20">
        <f>IF(Settings!$B$4="Yes",$I308*$J308,$I308)</f>
        <v/>
      </c>
      <c r="L308" s="31">
        <f>IF($C308="","",IFERROR(IF(INDEX(Deals!$I$2:$I$355,MATCH($C308,Deals!$A$2:$A$355,0))=0,"",INDEX(Deals!$I$2:$I$355,MATCH($C308,Deals!$A$2:$A$355,0))),""))</f>
        <v/>
      </c>
      <c r="M308" s="31">
        <f>IF($C308="","",IFERROR(IF(INDEX(Deals!$J$2:$J$355,MATCH($C308,Deals!$A$2:$A$355,0))=0,"",INDEX(Deals!$J$2:$J$355,MATCH($C308,Deals!$A$2:$A$355,0))),""))</f>
        <v/>
      </c>
      <c r="N308" s="24">
        <f>IF($L308="",DATE(1900,1,1),$L308)</f>
        <v/>
      </c>
      <c r="O308" s="24">
        <f>IF($M308="",DATE(2100,12,31),$M308)</f>
        <v/>
      </c>
      <c r="P308" s="16" t="inlineStr"/>
      <c r="Q308" s="16" t="inlineStr"/>
      <c r="R308" s="29">
        <f>IF($C308="","",IFERROR(IF(INDEX(Deals!$U$2:$U$355,MATCH($C308,Deals!$A$2:$A$355,0))=0,"",INDEX(Deals!$U$2:$U$355,MATCH($C308,Deals!$A$2:$A$355,0))),""))</f>
        <v/>
      </c>
      <c r="S308" s="22">
        <f>IFERROR(IF($U308="",1,INDEX(Deals!$V$2:$V$355,MATCH($C308,Deals!$A$2:$A$355,0))),1)</f>
        <v/>
      </c>
      <c r="T308" s="22">
        <f>IFERROR(IF($U308="",1,INDEX(Deals!$W$2:$W$355,MATCH($C308,Deals!$A$2:$A$355,0))),1)</f>
        <v/>
      </c>
      <c r="U308" s="31">
        <f>IF($C308="","",IFERROR(IF(INDEX(Deals!$Y$2:$Y$355,MATCH($C308,Deals!$A$2:$A$355,0))=0,"",INDEX(Deals!$Y$2:$Y$355,MATCH($C308,Deals!$A$2:$A$355,0))),""))</f>
        <v/>
      </c>
      <c r="V308" s="24">
        <f>IF($U308="",DATE(1900,1,1),$N308)</f>
        <v/>
      </c>
      <c r="W308" s="24">
        <f>IF($U308="",DATE(2100,12,31),$U308)</f>
        <v/>
      </c>
      <c r="X308" s="20">
        <f>IF($U308="",$K308,$K308*$S308)</f>
        <v/>
      </c>
      <c r="Y308" s="24">
        <f>IF($U308="",DATE(2100,12,31),$U308+1)</f>
        <v/>
      </c>
      <c r="Z308" s="24">
        <f>IF($U308="",DATE(1900,1,1),$O308)</f>
        <v/>
      </c>
      <c r="AA308" s="20">
        <f>IF($U308="",0,$K308*$T308)</f>
        <v/>
      </c>
    </row>
    <row r="309">
      <c r="A309" s="15" t="inlineStr">
        <is>
          <t>Lauren</t>
        </is>
      </c>
      <c r="B309" s="29">
        <f>IF($A309="","",IFERROR(INDEX(Roster!$B$2:$B$40,MATCH($A309,Roster!$A$2:$A$40,0)),"?"))</f>
        <v/>
      </c>
      <c r="C309" s="15" t="inlineStr">
        <is>
          <t>NXT Add_1</t>
        </is>
      </c>
      <c r="D309" s="29">
        <f>IF($C309="","",IFERROR(IF(INDEX(Deals!$C$2:$C$355,MATCH($C309,Deals!$A$2:$A$355,0))=0,"",INDEX(Deals!$C$2:$C$355,MATCH($C309,Deals!$A$2:$A$355,0))),"?"))</f>
        <v/>
      </c>
      <c r="E309" s="29">
        <f>IF($C309="","",IFERROR(INDEX(Deals!$F$2:$F$355,MATCH($C309,Deals!$A$2:$A$355,0)),"?"))</f>
        <v/>
      </c>
      <c r="F309" s="15" t="inlineStr">
        <is>
          <t>Director</t>
        </is>
      </c>
      <c r="G309" s="15" t="inlineStr">
        <is>
          <t>Active</t>
        </is>
      </c>
      <c r="H309" s="27" t="n"/>
      <c r="I309" s="20">
        <f>IF(OR($A309="",$G309&lt;&gt;"Active"),0,IF($H309&lt;&gt;"",$H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</f>
        <v/>
      </c>
      <c r="J309" s="23">
        <f>IF($C309="",0,IFERROR(INDEX(Deals!$H$2:$H$355,MATCH($C309,Deals!$A$2:$A$355,0)),0))</f>
        <v/>
      </c>
      <c r="K309" s="20">
        <f>IF(Settings!$B$4="Yes",$I309*$J309,$I309)</f>
        <v/>
      </c>
      <c r="L309" s="31">
        <f>IF($C309="","",IFERROR(IF(INDEX(Deals!$I$2:$I$355,MATCH($C309,Deals!$A$2:$A$355,0))=0,"",INDEX(Deals!$I$2:$I$355,MATCH($C309,Deals!$A$2:$A$355,0))),""))</f>
        <v/>
      </c>
      <c r="M309" s="31">
        <f>IF($C309="","",IFERROR(IF(INDEX(Deals!$J$2:$J$355,MATCH($C309,Deals!$A$2:$A$355,0))=0,"",INDEX(Deals!$J$2:$J$355,MATCH($C309,Deals!$A$2:$A$355,0))),""))</f>
        <v/>
      </c>
      <c r="N309" s="24">
        <f>IF($L309="",DATE(1900,1,1),$L309)</f>
        <v/>
      </c>
      <c r="O309" s="24">
        <f>IF($M309="",DATE(2100,12,31),$M309)</f>
        <v/>
      </c>
      <c r="P309" s="16" t="inlineStr"/>
      <c r="Q309" s="16" t="inlineStr"/>
      <c r="R309" s="29">
        <f>IF($C309="","",IFERROR(IF(INDEX(Deals!$U$2:$U$355,MATCH($C309,Deals!$A$2:$A$355,0))=0,"",INDEX(Deals!$U$2:$U$355,MATCH($C309,Deals!$A$2:$A$355,0))),""))</f>
        <v/>
      </c>
      <c r="S309" s="22">
        <f>IFERROR(IF($U309="",1,INDEX(Deals!$V$2:$V$355,MATCH($C309,Deals!$A$2:$A$355,0))),1)</f>
        <v/>
      </c>
      <c r="T309" s="22">
        <f>IFERROR(IF($U309="",1,INDEX(Deals!$W$2:$W$355,MATCH($C309,Deals!$A$2:$A$355,0))),1)</f>
        <v/>
      </c>
      <c r="U309" s="31">
        <f>IF($C309="","",IFERROR(IF(INDEX(Deals!$Y$2:$Y$355,MATCH($C309,Deals!$A$2:$A$355,0))=0,"",INDEX(Deals!$Y$2:$Y$355,MATCH($C309,Deals!$A$2:$A$355,0))),""))</f>
        <v/>
      </c>
      <c r="V309" s="24">
        <f>IF($U309="",DATE(1900,1,1),$N309)</f>
        <v/>
      </c>
      <c r="W309" s="24">
        <f>IF($U309="",DATE(2100,12,31),$U309)</f>
        <v/>
      </c>
      <c r="X309" s="20">
        <f>IF($U309="",$K309,$K309*$S309)</f>
        <v/>
      </c>
      <c r="Y309" s="24">
        <f>IF($U309="",DATE(2100,12,31),$U309+1)</f>
        <v/>
      </c>
      <c r="Z309" s="24">
        <f>IF($U309="",DATE(1900,1,1),$O309)</f>
        <v/>
      </c>
      <c r="AA309" s="20">
        <f>IF($U309="",0,$K309*$T309)</f>
        <v/>
      </c>
    </row>
    <row r="310">
      <c r="A310" s="15" t="inlineStr">
        <is>
          <t>Lauren</t>
        </is>
      </c>
      <c r="B310" s="29">
        <f>IF($A310="","",IFERROR(INDEX(Roster!$B$2:$B$40,MATCH($A310,Roster!$A$2:$A$40,0)),"?"))</f>
        <v/>
      </c>
      <c r="C310" s="15" t="inlineStr">
        <is>
          <t>Oasis_2</t>
        </is>
      </c>
      <c r="D310" s="29">
        <f>IF($C310="","",IFERROR(IF(INDEX(Deals!$C$2:$C$355,MATCH($C310,Deals!$A$2:$A$355,0))=0,"",INDEX(Deals!$C$2:$C$355,MATCH($C310,Deals!$A$2:$A$355,0))),"?"))</f>
        <v/>
      </c>
      <c r="E310" s="29">
        <f>IF($C310="","",IFERROR(INDEX(Deals!$F$2:$F$355,MATCH($C310,Deals!$A$2:$A$355,0)),"?"))</f>
        <v/>
      </c>
      <c r="F310" s="15" t="inlineStr">
        <is>
          <t>Director</t>
        </is>
      </c>
      <c r="G310" s="15" t="inlineStr">
        <is>
          <t>Active</t>
        </is>
      </c>
      <c r="H310" s="27" t="n"/>
      <c r="I310" s="20">
        <f>IF(OR($A310="",$G310&lt;&gt;"Active"),0,IF($H310&lt;&gt;"",$H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</f>
        <v/>
      </c>
      <c r="J310" s="23">
        <f>IF($C310="",0,IFERROR(INDEX(Deals!$H$2:$H$355,MATCH($C310,Deals!$A$2:$A$355,0)),0))</f>
        <v/>
      </c>
      <c r="K310" s="20">
        <f>IF(Settings!$B$4="Yes",$I310*$J310,$I310)</f>
        <v/>
      </c>
      <c r="L310" s="31">
        <f>IF($C310="","",IFERROR(IF(INDEX(Deals!$I$2:$I$355,MATCH($C310,Deals!$A$2:$A$355,0))=0,"",INDEX(Deals!$I$2:$I$355,MATCH($C310,Deals!$A$2:$A$355,0))),""))</f>
        <v/>
      </c>
      <c r="M310" s="31">
        <f>IF($C310="","",IFERROR(IF(INDEX(Deals!$J$2:$J$355,MATCH($C310,Deals!$A$2:$A$355,0))=0,"",INDEX(Deals!$J$2:$J$355,MATCH($C310,Deals!$A$2:$A$355,0))),""))</f>
        <v/>
      </c>
      <c r="N310" s="24">
        <f>IF($L310="",DATE(1900,1,1),$L310)</f>
        <v/>
      </c>
      <c r="O310" s="24">
        <f>IF($M310="",DATE(2100,12,31),$M310)</f>
        <v/>
      </c>
      <c r="P310" s="16" t="inlineStr"/>
      <c r="Q310" s="16" t="inlineStr"/>
      <c r="R310" s="29">
        <f>IF($C310="","",IFERROR(IF(INDEX(Deals!$U$2:$U$355,MATCH($C310,Deals!$A$2:$A$355,0))=0,"",INDEX(Deals!$U$2:$U$355,MATCH($C310,Deals!$A$2:$A$355,0))),""))</f>
        <v/>
      </c>
      <c r="S310" s="22">
        <f>IFERROR(IF($U310="",1,INDEX(Deals!$V$2:$V$355,MATCH($C310,Deals!$A$2:$A$355,0))),1)</f>
        <v/>
      </c>
      <c r="T310" s="22">
        <f>IFERROR(IF($U310="",1,INDEX(Deals!$W$2:$W$355,MATCH($C310,Deals!$A$2:$A$355,0))),1)</f>
        <v/>
      </c>
      <c r="U310" s="31">
        <f>IF($C310="","",IFERROR(IF(INDEX(Deals!$Y$2:$Y$355,MATCH($C310,Deals!$A$2:$A$355,0))=0,"",INDEX(Deals!$Y$2:$Y$355,MATCH($C310,Deals!$A$2:$A$355,0))),""))</f>
        <v/>
      </c>
      <c r="V310" s="24">
        <f>IF($U310="",DATE(1900,1,1),$N310)</f>
        <v/>
      </c>
      <c r="W310" s="24">
        <f>IF($U310="",DATE(2100,12,31),$U310)</f>
        <v/>
      </c>
      <c r="X310" s="20">
        <f>IF($U310="",$K310,$K310*$S310)</f>
        <v/>
      </c>
      <c r="Y310" s="24">
        <f>IF($U310="",DATE(2100,12,31),$U310+1)</f>
        <v/>
      </c>
      <c r="Z310" s="24">
        <f>IF($U310="",DATE(1900,1,1),$O310)</f>
        <v/>
      </c>
      <c r="AA310" s="20">
        <f>IF($U310="",0,$K310*$T310)</f>
        <v/>
      </c>
    </row>
    <row r="311">
      <c r="A311" s="15" t="inlineStr">
        <is>
          <t>Lauren</t>
        </is>
      </c>
      <c r="B311" s="29">
        <f>IF($A311="","",IFERROR(INDEX(Roster!$B$2:$B$40,MATCH($A311,Roster!$A$2:$A$40,0)),"?"))</f>
        <v/>
      </c>
      <c r="C311" s="15" t="inlineStr">
        <is>
          <t>ProEnergy_3</t>
        </is>
      </c>
      <c r="D311" s="29">
        <f>IF($C311="","",IFERROR(IF(INDEX(Deals!$C$2:$C$355,MATCH($C311,Deals!$A$2:$A$355,0))=0,"",INDEX(Deals!$C$2:$C$355,MATCH($C311,Deals!$A$2:$A$355,0))),"?"))</f>
        <v/>
      </c>
      <c r="E311" s="29">
        <f>IF($C311="","",IFERROR(INDEX(Deals!$F$2:$F$355,MATCH($C311,Deals!$A$2:$A$355,0)),"?"))</f>
        <v/>
      </c>
      <c r="F311" s="15" t="inlineStr">
        <is>
          <t>Director</t>
        </is>
      </c>
      <c r="G311" s="15" t="inlineStr">
        <is>
          <t>Inactive</t>
        </is>
      </c>
      <c r="H311" s="27" t="n"/>
      <c r="I311" s="20">
        <f>IF(OR($A311="",$G311&lt;&gt;"Active"),0,IF($H311&lt;&gt;"",$H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</f>
        <v/>
      </c>
      <c r="J311" s="23">
        <f>IF($C311="",0,IFERROR(INDEX(Deals!$H$2:$H$355,MATCH($C311,Deals!$A$2:$A$355,0)),0))</f>
        <v/>
      </c>
      <c r="K311" s="20">
        <f>IF(Settings!$B$4="Yes",$I311*$J311,$I311)</f>
        <v/>
      </c>
      <c r="L311" s="31">
        <f>IF($C311="","",IFERROR(IF(INDEX(Deals!$I$2:$I$355,MATCH($C311,Deals!$A$2:$A$355,0))=0,"",INDEX(Deals!$I$2:$I$355,MATCH($C311,Deals!$A$2:$A$355,0))),""))</f>
        <v/>
      </c>
      <c r="M311" s="31">
        <f>IF($C311="","",IFERROR(IF(INDEX(Deals!$J$2:$J$355,MATCH($C311,Deals!$A$2:$A$355,0))=0,"",INDEX(Deals!$J$2:$J$355,MATCH($C311,Deals!$A$2:$A$355,0))),""))</f>
        <v/>
      </c>
      <c r="N311" s="24">
        <f>IF($L311="",DATE(1900,1,1),$L311)</f>
        <v/>
      </c>
      <c r="O311" s="24">
        <f>IF($M311="",DATE(2100,12,31),$M311)</f>
        <v/>
      </c>
      <c r="P311" s="16" t="inlineStr"/>
      <c r="Q311" s="16" t="inlineStr">
        <is>
          <t>Deal lifecycle is Internal</t>
        </is>
      </c>
      <c r="R311" s="29">
        <f>IF($C311="","",IFERROR(IF(INDEX(Deals!$U$2:$U$355,MATCH($C311,Deals!$A$2:$A$355,0))=0,"",INDEX(Deals!$U$2:$U$355,MATCH($C311,Deals!$A$2:$A$355,0))),""))</f>
        <v/>
      </c>
      <c r="S311" s="22">
        <f>IFERROR(IF($U311="",1,INDEX(Deals!$V$2:$V$355,MATCH($C311,Deals!$A$2:$A$355,0))),1)</f>
        <v/>
      </c>
      <c r="T311" s="22">
        <f>IFERROR(IF($U311="",1,INDEX(Deals!$W$2:$W$355,MATCH($C311,Deals!$A$2:$A$355,0))),1)</f>
        <v/>
      </c>
      <c r="U311" s="31">
        <f>IF($C311="","",IFERROR(IF(INDEX(Deals!$Y$2:$Y$355,MATCH($C311,Deals!$A$2:$A$355,0))=0,"",INDEX(Deals!$Y$2:$Y$355,MATCH($C311,Deals!$A$2:$A$355,0))),""))</f>
        <v/>
      </c>
      <c r="V311" s="24">
        <f>IF($U311="",DATE(1900,1,1),$N311)</f>
        <v/>
      </c>
      <c r="W311" s="24">
        <f>IF($U311="",DATE(2100,12,31),$U311)</f>
        <v/>
      </c>
      <c r="X311" s="20">
        <f>IF($U311="",$K311,$K311*$S311)</f>
        <v/>
      </c>
      <c r="Y311" s="24">
        <f>IF($U311="",DATE(2100,12,31),$U311+1)</f>
        <v/>
      </c>
      <c r="Z311" s="24">
        <f>IF($U311="",DATE(1900,1,1),$O311)</f>
        <v/>
      </c>
      <c r="AA311" s="20">
        <f>IF($U311="",0,$K311*$T311)</f>
        <v/>
      </c>
    </row>
    <row r="312">
      <c r="A312" s="15" t="inlineStr">
        <is>
          <t>Lauren</t>
        </is>
      </c>
      <c r="B312" s="29">
        <f>IF($A312="","",IFERROR(INDEX(Roster!$B$2:$B$40,MATCH($A312,Roster!$A$2:$A$40,0)),"?"))</f>
        <v/>
      </c>
      <c r="C312" s="15" t="inlineStr">
        <is>
          <t>Resolute_1</t>
        </is>
      </c>
      <c r="D312" s="29">
        <f>IF($C312="","",IFERROR(IF(INDEX(Deals!$C$2:$C$355,MATCH($C312,Deals!$A$2:$A$355,0))=0,"",INDEX(Deals!$C$2:$C$355,MATCH($C312,Deals!$A$2:$A$355,0))),"?"))</f>
        <v/>
      </c>
      <c r="E312" s="29">
        <f>IF($C312="","",IFERROR(INDEX(Deals!$F$2:$F$355,MATCH($C312,Deals!$A$2:$A$355,0)),"?"))</f>
        <v/>
      </c>
      <c r="F312" s="15" t="inlineStr">
        <is>
          <t>Director</t>
        </is>
      </c>
      <c r="G312" s="15" t="inlineStr">
        <is>
          <t>Active</t>
        </is>
      </c>
      <c r="H312" s="27" t="n"/>
      <c r="I312" s="20">
        <f>IF(OR($A312="",$G312&lt;&gt;"Active"),0,IF($H312&lt;&gt;"",$H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</f>
        <v/>
      </c>
      <c r="J312" s="23">
        <f>IF($C312="",0,IFERROR(INDEX(Deals!$H$2:$H$355,MATCH($C312,Deals!$A$2:$A$355,0)),0))</f>
        <v/>
      </c>
      <c r="K312" s="20">
        <f>IF(Settings!$B$4="Yes",$I312*$J312,$I312)</f>
        <v/>
      </c>
      <c r="L312" s="31">
        <f>IF($C312="","",IFERROR(IF(INDEX(Deals!$I$2:$I$355,MATCH($C312,Deals!$A$2:$A$355,0))=0,"",INDEX(Deals!$I$2:$I$355,MATCH($C312,Deals!$A$2:$A$355,0))),""))</f>
        <v/>
      </c>
      <c r="M312" s="31">
        <f>IF($C312="","",IFERROR(IF(INDEX(Deals!$J$2:$J$355,MATCH($C312,Deals!$A$2:$A$355,0))=0,"",INDEX(Deals!$J$2:$J$355,MATCH($C312,Deals!$A$2:$A$355,0))),""))</f>
        <v/>
      </c>
      <c r="N312" s="24">
        <f>IF($L312="",DATE(1900,1,1),$L312)</f>
        <v/>
      </c>
      <c r="O312" s="24">
        <f>IF($M312="",DATE(2100,12,31),$M312)</f>
        <v/>
      </c>
      <c r="P312" s="16" t="inlineStr"/>
      <c r="Q312" s="16" t="inlineStr"/>
      <c r="R312" s="29">
        <f>IF($C312="","",IFERROR(IF(INDEX(Deals!$U$2:$U$355,MATCH($C312,Deals!$A$2:$A$355,0))=0,"",INDEX(Deals!$U$2:$U$355,MATCH($C312,Deals!$A$2:$A$355,0))),""))</f>
        <v/>
      </c>
      <c r="S312" s="22">
        <f>IFERROR(IF($U312="",1,INDEX(Deals!$V$2:$V$355,MATCH($C312,Deals!$A$2:$A$355,0))),1)</f>
        <v/>
      </c>
      <c r="T312" s="22">
        <f>IFERROR(IF($U312="",1,INDEX(Deals!$W$2:$W$355,MATCH($C312,Deals!$A$2:$A$355,0))),1)</f>
        <v/>
      </c>
      <c r="U312" s="31">
        <f>IF($C312="","",IFERROR(IF(INDEX(Deals!$Y$2:$Y$355,MATCH($C312,Deals!$A$2:$A$355,0))=0,"",INDEX(Deals!$Y$2:$Y$355,MATCH($C312,Deals!$A$2:$A$355,0))),""))</f>
        <v/>
      </c>
      <c r="V312" s="24">
        <f>IF($U312="",DATE(1900,1,1),$N312)</f>
        <v/>
      </c>
      <c r="W312" s="24">
        <f>IF($U312="",DATE(2100,12,31),$U312)</f>
        <v/>
      </c>
      <c r="X312" s="20">
        <f>IF($U312="",$K312,$K312*$S312)</f>
        <v/>
      </c>
      <c r="Y312" s="24">
        <f>IF($U312="",DATE(2100,12,31),$U312+1)</f>
        <v/>
      </c>
      <c r="Z312" s="24">
        <f>IF($U312="",DATE(1900,1,1),$O312)</f>
        <v/>
      </c>
      <c r="AA312" s="20">
        <f>IF($U312="",0,$K312*$T312)</f>
        <v/>
      </c>
    </row>
    <row r="313">
      <c r="A313" s="15" t="inlineStr">
        <is>
          <t>Lauren</t>
        </is>
      </c>
      <c r="B313" s="29">
        <f>IF($A313="","",IFERROR(INDEX(Roster!$B$2:$B$40,MATCH($A313,Roster!$A$2:$A$40,0)),"?"))</f>
        <v/>
      </c>
      <c r="C313" s="15" t="inlineStr">
        <is>
          <t>Sakura</t>
        </is>
      </c>
      <c r="D313" s="29">
        <f>IF($C313="","",IFERROR(IF(INDEX(Deals!$C$2:$C$355,MATCH($C313,Deals!$A$2:$A$355,0))=0,"",INDEX(Deals!$C$2:$C$355,MATCH($C313,Deals!$A$2:$A$355,0))),"?"))</f>
        <v/>
      </c>
      <c r="E313" s="29">
        <f>IF($C313="","",IFERROR(INDEX(Deals!$F$2:$F$355,MATCH($C313,Deals!$A$2:$A$355,0)),"?"))</f>
        <v/>
      </c>
      <c r="F313" s="15" t="inlineStr">
        <is>
          <t>Director</t>
        </is>
      </c>
      <c r="G313" s="15" t="inlineStr">
        <is>
          <t>Active</t>
        </is>
      </c>
      <c r="H313" s="27" t="n"/>
      <c r="I313" s="20">
        <f>IF(OR($A313="",$G313&lt;&gt;"Active"),0,IF($H313&lt;&gt;"",$H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</f>
        <v/>
      </c>
      <c r="J313" s="23">
        <f>IF($C313="",0,IFERROR(INDEX(Deals!$H$2:$H$355,MATCH($C313,Deals!$A$2:$A$355,0)),0))</f>
        <v/>
      </c>
      <c r="K313" s="20">
        <f>IF(Settings!$B$4="Yes",$I313*$J313,$I313)</f>
        <v/>
      </c>
      <c r="L313" s="31">
        <f>IF($C313="","",IFERROR(IF(INDEX(Deals!$I$2:$I$355,MATCH($C313,Deals!$A$2:$A$355,0))=0,"",INDEX(Deals!$I$2:$I$355,MATCH($C313,Deals!$A$2:$A$355,0))),""))</f>
        <v/>
      </c>
      <c r="M313" s="31">
        <f>IF($C313="","",IFERROR(IF(INDEX(Deals!$J$2:$J$355,MATCH($C313,Deals!$A$2:$A$355,0))=0,"",INDEX(Deals!$J$2:$J$355,MATCH($C313,Deals!$A$2:$A$355,0))),""))</f>
        <v/>
      </c>
      <c r="N313" s="24">
        <f>IF($L313="",DATE(1900,1,1),$L313)</f>
        <v/>
      </c>
      <c r="O313" s="24">
        <f>IF($M313="",DATE(2100,12,31),$M313)</f>
        <v/>
      </c>
      <c r="P313" s="16" t="inlineStr"/>
      <c r="Q313" s="16" t="inlineStr"/>
      <c r="R313" s="29">
        <f>IF($C313="","",IFERROR(IF(INDEX(Deals!$U$2:$U$355,MATCH($C313,Deals!$A$2:$A$355,0))=0,"",INDEX(Deals!$U$2:$U$355,MATCH($C313,Deals!$A$2:$A$355,0))),""))</f>
        <v/>
      </c>
      <c r="S313" s="22">
        <f>IFERROR(IF($U313="",1,INDEX(Deals!$V$2:$V$355,MATCH($C313,Deals!$A$2:$A$355,0))),1)</f>
        <v/>
      </c>
      <c r="T313" s="22">
        <f>IFERROR(IF($U313="",1,INDEX(Deals!$W$2:$W$355,MATCH($C313,Deals!$A$2:$A$355,0))),1)</f>
        <v/>
      </c>
      <c r="U313" s="31">
        <f>IF($C313="","",IFERROR(IF(INDEX(Deals!$Y$2:$Y$355,MATCH($C313,Deals!$A$2:$A$355,0))=0,"",INDEX(Deals!$Y$2:$Y$355,MATCH($C313,Deals!$A$2:$A$355,0))),""))</f>
        <v/>
      </c>
      <c r="V313" s="24">
        <f>IF($U313="",DATE(1900,1,1),$N313)</f>
        <v/>
      </c>
      <c r="W313" s="24">
        <f>IF($U313="",DATE(2100,12,31),$U313)</f>
        <v/>
      </c>
      <c r="X313" s="20">
        <f>IF($U313="",$K313,$K313*$S313)</f>
        <v/>
      </c>
      <c r="Y313" s="24">
        <f>IF($U313="",DATE(2100,12,31),$U313+1)</f>
        <v/>
      </c>
      <c r="Z313" s="24">
        <f>IF($U313="",DATE(1900,1,1),$O313)</f>
        <v/>
      </c>
      <c r="AA313" s="20">
        <f>IF($U313="",0,$K313*$T313)</f>
        <v/>
      </c>
    </row>
    <row r="314">
      <c r="A314" s="15" t="inlineStr">
        <is>
          <t>Lauren</t>
        </is>
      </c>
      <c r="B314" s="29">
        <f>IF($A314="","",IFERROR(INDEX(Roster!$B$2:$B$40,MATCH($A314,Roster!$A$2:$A$40,0)),"?"))</f>
        <v/>
      </c>
      <c r="C314" s="15" t="inlineStr">
        <is>
          <t>Steam_3</t>
        </is>
      </c>
      <c r="D314" s="29">
        <f>IF($C314="","",IFERROR(IF(INDEX(Deals!$C$2:$C$355,MATCH($C314,Deals!$A$2:$A$355,0))=0,"",INDEX(Deals!$C$2:$C$355,MATCH($C314,Deals!$A$2:$A$355,0))),"?"))</f>
        <v/>
      </c>
      <c r="E314" s="29">
        <f>IF($C314="","",IFERROR(INDEX(Deals!$F$2:$F$355,MATCH($C314,Deals!$A$2:$A$355,0)),"?"))</f>
        <v/>
      </c>
      <c r="F314" s="15" t="inlineStr">
        <is>
          <t>Director</t>
        </is>
      </c>
      <c r="G314" s="15" t="inlineStr">
        <is>
          <t>Inactive</t>
        </is>
      </c>
      <c r="H314" s="27" t="n"/>
      <c r="I314" s="20">
        <f>IF(OR($A314="",$G314&lt;&gt;"Active"),0,IF($H314&lt;&gt;"",$H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</f>
        <v/>
      </c>
      <c r="J314" s="23">
        <f>IF($C314="",0,IFERROR(INDEX(Deals!$H$2:$H$355,MATCH($C314,Deals!$A$2:$A$355,0)),0))</f>
        <v/>
      </c>
      <c r="K314" s="20">
        <f>IF(Settings!$B$4="Yes",$I314*$J314,$I314)</f>
        <v/>
      </c>
      <c r="L314" s="31">
        <f>IF($C314="","",IFERROR(IF(INDEX(Deals!$I$2:$I$355,MATCH($C314,Deals!$A$2:$A$355,0))=0,"",INDEX(Deals!$I$2:$I$355,MATCH($C314,Deals!$A$2:$A$355,0))),""))</f>
        <v/>
      </c>
      <c r="M314" s="31">
        <f>IF($C314="","",IFERROR(IF(INDEX(Deals!$J$2:$J$355,MATCH($C314,Deals!$A$2:$A$355,0))=0,"",INDEX(Deals!$J$2:$J$355,MATCH($C314,Deals!$A$2:$A$355,0))),""))</f>
        <v/>
      </c>
      <c r="N314" s="24">
        <f>IF($L314="",DATE(1900,1,1),$L314)</f>
        <v/>
      </c>
      <c r="O314" s="24">
        <f>IF($M314="",DATE(2100,12,31),$M314)</f>
        <v/>
      </c>
      <c r="P314" s="16" t="inlineStr"/>
      <c r="Q314" s="16" t="inlineStr">
        <is>
          <t>Deal lifecycle is Dead</t>
        </is>
      </c>
      <c r="R314" s="29">
        <f>IF($C314="","",IFERROR(IF(INDEX(Deals!$U$2:$U$355,MATCH($C314,Deals!$A$2:$A$355,0))=0,"",INDEX(Deals!$U$2:$U$355,MATCH($C314,Deals!$A$2:$A$355,0))),""))</f>
        <v/>
      </c>
      <c r="S314" s="22">
        <f>IFERROR(IF($U314="",1,INDEX(Deals!$V$2:$V$355,MATCH($C314,Deals!$A$2:$A$355,0))),1)</f>
        <v/>
      </c>
      <c r="T314" s="22">
        <f>IFERROR(IF($U314="",1,INDEX(Deals!$W$2:$W$355,MATCH($C314,Deals!$A$2:$A$355,0))),1)</f>
        <v/>
      </c>
      <c r="U314" s="31">
        <f>IF($C314="","",IFERROR(IF(INDEX(Deals!$Y$2:$Y$355,MATCH($C314,Deals!$A$2:$A$355,0))=0,"",INDEX(Deals!$Y$2:$Y$355,MATCH($C314,Deals!$A$2:$A$355,0))),""))</f>
        <v/>
      </c>
      <c r="V314" s="24">
        <f>IF($U314="",DATE(1900,1,1),$N314)</f>
        <v/>
      </c>
      <c r="W314" s="24">
        <f>IF($U314="",DATE(2100,12,31),$U314)</f>
        <v/>
      </c>
      <c r="X314" s="20">
        <f>IF($U314="",$K314,$K314*$S314)</f>
        <v/>
      </c>
      <c r="Y314" s="24">
        <f>IF($U314="",DATE(2100,12,31),$U314+1)</f>
        <v/>
      </c>
      <c r="Z314" s="24">
        <f>IF($U314="",DATE(1900,1,1),$O314)</f>
        <v/>
      </c>
      <c r="AA314" s="20">
        <f>IF($U314="",0,$K314*$T314)</f>
        <v/>
      </c>
    </row>
    <row r="315">
      <c r="A315" s="15" t="inlineStr">
        <is>
          <t>Lauren</t>
        </is>
      </c>
      <c r="B315" s="29">
        <f>IF($A315="","",IFERROR(INDEX(Roster!$B$2:$B$40,MATCH($A315,Roster!$A$2:$A$40,0)),"?"))</f>
        <v/>
      </c>
      <c r="C315" s="15" t="inlineStr">
        <is>
          <t>Talon_1</t>
        </is>
      </c>
      <c r="D315" s="29">
        <f>IF($C315="","",IFERROR(IF(INDEX(Deals!$C$2:$C$355,MATCH($C315,Deals!$A$2:$A$355,0))=0,"",INDEX(Deals!$C$2:$C$355,MATCH($C315,Deals!$A$2:$A$355,0))),"?"))</f>
        <v/>
      </c>
      <c r="E315" s="29">
        <f>IF($C315="","",IFERROR(INDEX(Deals!$F$2:$F$355,MATCH($C315,Deals!$A$2:$A$355,0)),"?"))</f>
        <v/>
      </c>
      <c r="F315" s="15" t="inlineStr">
        <is>
          <t>Director</t>
        </is>
      </c>
      <c r="G315" s="15" t="inlineStr">
        <is>
          <t>Active</t>
        </is>
      </c>
      <c r="H315" s="27" t="n"/>
      <c r="I315" s="20">
        <f>IF(OR($A315="",$G315&lt;&gt;"Active"),0,IF($H315&lt;&gt;"",$H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</f>
        <v/>
      </c>
      <c r="J315" s="23">
        <f>IF($C315="",0,IFERROR(INDEX(Deals!$H$2:$H$355,MATCH($C315,Deals!$A$2:$A$355,0)),0))</f>
        <v/>
      </c>
      <c r="K315" s="20">
        <f>IF(Settings!$B$4="Yes",$I315*$J315,$I315)</f>
        <v/>
      </c>
      <c r="L315" s="31">
        <f>IF($C315="","",IFERROR(IF(INDEX(Deals!$I$2:$I$355,MATCH($C315,Deals!$A$2:$A$355,0))=0,"",INDEX(Deals!$I$2:$I$355,MATCH($C315,Deals!$A$2:$A$355,0))),""))</f>
        <v/>
      </c>
      <c r="M315" s="31">
        <f>IF($C315="","",IFERROR(IF(INDEX(Deals!$J$2:$J$355,MATCH($C315,Deals!$A$2:$A$355,0))=0,"",INDEX(Deals!$J$2:$J$355,MATCH($C315,Deals!$A$2:$A$355,0))),""))</f>
        <v/>
      </c>
      <c r="N315" s="24">
        <f>IF($L315="",DATE(1900,1,1),$L315)</f>
        <v/>
      </c>
      <c r="O315" s="24">
        <f>IF($M315="",DATE(2100,12,31),$M315)</f>
        <v/>
      </c>
      <c r="P315" s="16" t="inlineStr"/>
      <c r="Q315" s="16" t="inlineStr"/>
      <c r="R315" s="29">
        <f>IF($C315="","",IFERROR(IF(INDEX(Deals!$U$2:$U$355,MATCH($C315,Deals!$A$2:$A$355,0))=0,"",INDEX(Deals!$U$2:$U$355,MATCH($C315,Deals!$A$2:$A$355,0))),""))</f>
        <v/>
      </c>
      <c r="S315" s="22">
        <f>IFERROR(IF($U315="",1,INDEX(Deals!$V$2:$V$355,MATCH($C315,Deals!$A$2:$A$355,0))),1)</f>
        <v/>
      </c>
      <c r="T315" s="22">
        <f>IFERROR(IF($U315="",1,INDEX(Deals!$W$2:$W$355,MATCH($C315,Deals!$A$2:$A$355,0))),1)</f>
        <v/>
      </c>
      <c r="U315" s="31">
        <f>IF($C315="","",IFERROR(IF(INDEX(Deals!$Y$2:$Y$355,MATCH($C315,Deals!$A$2:$A$355,0))=0,"",INDEX(Deals!$Y$2:$Y$355,MATCH($C315,Deals!$A$2:$A$355,0))),""))</f>
        <v/>
      </c>
      <c r="V315" s="24">
        <f>IF($U315="",DATE(1900,1,1),$N315)</f>
        <v/>
      </c>
      <c r="W315" s="24">
        <f>IF($U315="",DATE(2100,12,31),$U315)</f>
        <v/>
      </c>
      <c r="X315" s="20">
        <f>IF($U315="",$K315,$K315*$S315)</f>
        <v/>
      </c>
      <c r="Y315" s="24">
        <f>IF($U315="",DATE(2100,12,31),$U315+1)</f>
        <v/>
      </c>
      <c r="Z315" s="24">
        <f>IF($U315="",DATE(1900,1,1),$O315)</f>
        <v/>
      </c>
      <c r="AA315" s="20">
        <f>IF($U315="",0,$K315*$T315)</f>
        <v/>
      </c>
    </row>
    <row r="316">
      <c r="A316" s="15" t="inlineStr">
        <is>
          <t>Lauren</t>
        </is>
      </c>
      <c r="B316" s="29">
        <f>IF($A316="","",IFERROR(INDEX(Roster!$B$2:$B$40,MATCH($A316,Roster!$A$2:$A$40,0)),"?"))</f>
        <v/>
      </c>
      <c r="C316" s="15" t="inlineStr">
        <is>
          <t>Twister_1</t>
        </is>
      </c>
      <c r="D316" s="29">
        <f>IF($C316="","",IFERROR(IF(INDEX(Deals!$C$2:$C$355,MATCH($C316,Deals!$A$2:$A$355,0))=0,"",INDEX(Deals!$C$2:$C$355,MATCH($C316,Deals!$A$2:$A$355,0))),"?"))</f>
        <v/>
      </c>
      <c r="E316" s="29">
        <f>IF($C316="","",IFERROR(INDEX(Deals!$F$2:$F$355,MATCH($C316,Deals!$A$2:$A$355,0)),"?"))</f>
        <v/>
      </c>
      <c r="F316" s="15" t="inlineStr">
        <is>
          <t>Director</t>
        </is>
      </c>
      <c r="G316" s="15" t="inlineStr">
        <is>
          <t>Active</t>
        </is>
      </c>
      <c r="H316" s="27" t="n"/>
      <c r="I316" s="20">
        <f>IF(OR($A316="",$G316&lt;&gt;"Active"),0,IF($H316&lt;&gt;"",$H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</f>
        <v/>
      </c>
      <c r="J316" s="23">
        <f>IF($C316="",0,IFERROR(INDEX(Deals!$H$2:$H$355,MATCH($C316,Deals!$A$2:$A$355,0)),0))</f>
        <v/>
      </c>
      <c r="K316" s="20">
        <f>IF(Settings!$B$4="Yes",$I316*$J316,$I316)</f>
        <v/>
      </c>
      <c r="L316" s="31">
        <f>IF($C316="","",IFERROR(IF(INDEX(Deals!$I$2:$I$355,MATCH($C316,Deals!$A$2:$A$355,0))=0,"",INDEX(Deals!$I$2:$I$355,MATCH($C316,Deals!$A$2:$A$355,0))),""))</f>
        <v/>
      </c>
      <c r="M316" s="31">
        <f>IF($C316="","",IFERROR(IF(INDEX(Deals!$J$2:$J$355,MATCH($C316,Deals!$A$2:$A$355,0))=0,"",INDEX(Deals!$J$2:$J$355,MATCH($C316,Deals!$A$2:$A$355,0))),""))</f>
        <v/>
      </c>
      <c r="N316" s="24">
        <f>IF($L316="",DATE(1900,1,1),$L316)</f>
        <v/>
      </c>
      <c r="O316" s="24">
        <f>IF($M316="",DATE(2100,12,31),$M316)</f>
        <v/>
      </c>
      <c r="P316" s="16" t="inlineStr"/>
      <c r="Q316" s="16" t="inlineStr"/>
      <c r="R316" s="29">
        <f>IF($C316="","",IFERROR(IF(INDEX(Deals!$U$2:$U$355,MATCH($C316,Deals!$A$2:$A$355,0))=0,"",INDEX(Deals!$U$2:$U$355,MATCH($C316,Deals!$A$2:$A$355,0))),""))</f>
        <v/>
      </c>
      <c r="S316" s="22">
        <f>IFERROR(IF($U316="",1,INDEX(Deals!$V$2:$V$355,MATCH($C316,Deals!$A$2:$A$355,0))),1)</f>
        <v/>
      </c>
      <c r="T316" s="22">
        <f>IFERROR(IF($U316="",1,INDEX(Deals!$W$2:$W$355,MATCH($C316,Deals!$A$2:$A$355,0))),1)</f>
        <v/>
      </c>
      <c r="U316" s="31">
        <f>IF($C316="","",IFERROR(IF(INDEX(Deals!$Y$2:$Y$355,MATCH($C316,Deals!$A$2:$A$355,0))=0,"",INDEX(Deals!$Y$2:$Y$355,MATCH($C316,Deals!$A$2:$A$355,0))),""))</f>
        <v/>
      </c>
      <c r="V316" s="24">
        <f>IF($U316="",DATE(1900,1,1),$N316)</f>
        <v/>
      </c>
      <c r="W316" s="24">
        <f>IF($U316="",DATE(2100,12,31),$U316)</f>
        <v/>
      </c>
      <c r="X316" s="20">
        <f>IF($U316="",$K316,$K316*$S316)</f>
        <v/>
      </c>
      <c r="Y316" s="24">
        <f>IF($U316="",DATE(2100,12,31),$U316+1)</f>
        <v/>
      </c>
      <c r="Z316" s="24">
        <f>IF($U316="",DATE(1900,1,1),$O316)</f>
        <v/>
      </c>
      <c r="AA316" s="20">
        <f>IF($U316="",0,$K316*$T316)</f>
        <v/>
      </c>
    </row>
    <row r="317">
      <c r="A317" s="15" t="inlineStr">
        <is>
          <t>Lauren</t>
        </is>
      </c>
      <c r="B317" s="29">
        <f>IF($A317="","",IFERROR(INDEX(Roster!$B$2:$B$40,MATCH($A317,Roster!$A$2:$A$40,0)),"?"))</f>
        <v/>
      </c>
      <c r="C317" s="15" t="inlineStr">
        <is>
          <t>Wheelhouse_2</t>
        </is>
      </c>
      <c r="D317" s="29">
        <f>IF($C317="","",IFERROR(IF(INDEX(Deals!$C$2:$C$355,MATCH($C317,Deals!$A$2:$A$355,0))=0,"",INDEX(Deals!$C$2:$C$355,MATCH($C317,Deals!$A$2:$A$355,0))),"?"))</f>
        <v/>
      </c>
      <c r="E317" s="29">
        <f>IF($C317="","",IFERROR(INDEX(Deals!$F$2:$F$355,MATCH($C317,Deals!$A$2:$A$355,0)),"?"))</f>
        <v/>
      </c>
      <c r="F317" s="15" t="inlineStr">
        <is>
          <t>Director</t>
        </is>
      </c>
      <c r="G317" s="15" t="inlineStr">
        <is>
          <t>Inactive</t>
        </is>
      </c>
      <c r="H317" s="27" t="n"/>
      <c r="I317" s="20">
        <f>IF(OR($A317="",$G317&lt;&gt;"Active"),0,IF($H317&lt;&gt;"",$H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</f>
        <v/>
      </c>
      <c r="J317" s="23">
        <f>IF($C317="",0,IFERROR(INDEX(Deals!$H$2:$H$355,MATCH($C317,Deals!$A$2:$A$355,0)),0))</f>
        <v/>
      </c>
      <c r="K317" s="20">
        <f>IF(Settings!$B$4="Yes",$I317*$J317,$I317)</f>
        <v/>
      </c>
      <c r="L317" s="31">
        <f>IF($C317="","",IFERROR(IF(INDEX(Deals!$I$2:$I$355,MATCH($C317,Deals!$A$2:$A$355,0))=0,"",INDEX(Deals!$I$2:$I$355,MATCH($C317,Deals!$A$2:$A$355,0))),""))</f>
        <v/>
      </c>
      <c r="M317" s="31">
        <f>IF($C317="","",IFERROR(IF(INDEX(Deals!$J$2:$J$355,MATCH($C317,Deals!$A$2:$A$355,0))=0,"",INDEX(Deals!$J$2:$J$355,MATCH($C317,Deals!$A$2:$A$355,0))),""))</f>
        <v/>
      </c>
      <c r="N317" s="24">
        <f>IF($L317="",DATE(1900,1,1),$L317)</f>
        <v/>
      </c>
      <c r="O317" s="24">
        <f>IF($M317="",DATE(2100,12,31),$M317)</f>
        <v/>
      </c>
      <c r="P317" s="16" t="inlineStr"/>
      <c r="Q317" s="16" t="inlineStr">
        <is>
          <t>Deal lifecycle is Closed</t>
        </is>
      </c>
      <c r="R317" s="29">
        <f>IF($C317="","",IFERROR(IF(INDEX(Deals!$U$2:$U$355,MATCH($C317,Deals!$A$2:$A$355,0))=0,"",INDEX(Deals!$U$2:$U$355,MATCH($C317,Deals!$A$2:$A$355,0))),""))</f>
        <v/>
      </c>
      <c r="S317" s="22">
        <f>IFERROR(IF($U317="",1,INDEX(Deals!$V$2:$V$355,MATCH($C317,Deals!$A$2:$A$355,0))),1)</f>
        <v/>
      </c>
      <c r="T317" s="22">
        <f>IFERROR(IF($U317="",1,INDEX(Deals!$W$2:$W$355,MATCH($C317,Deals!$A$2:$A$355,0))),1)</f>
        <v/>
      </c>
      <c r="U317" s="31">
        <f>IF($C317="","",IFERROR(IF(INDEX(Deals!$Y$2:$Y$355,MATCH($C317,Deals!$A$2:$A$355,0))=0,"",INDEX(Deals!$Y$2:$Y$355,MATCH($C317,Deals!$A$2:$A$355,0))),""))</f>
        <v/>
      </c>
      <c r="V317" s="24">
        <f>IF($U317="",DATE(1900,1,1),$N317)</f>
        <v/>
      </c>
      <c r="W317" s="24">
        <f>IF($U317="",DATE(2100,12,31),$U317)</f>
        <v/>
      </c>
      <c r="X317" s="20">
        <f>IF($U317="",$K317,$K317*$S317)</f>
        <v/>
      </c>
      <c r="Y317" s="24">
        <f>IF($U317="",DATE(2100,12,31),$U317+1)</f>
        <v/>
      </c>
      <c r="Z317" s="24">
        <f>IF($U317="",DATE(1900,1,1),$O317)</f>
        <v/>
      </c>
      <c r="AA317" s="20">
        <f>IF($U317="",0,$K317*$T317)</f>
        <v/>
      </c>
    </row>
    <row r="318">
      <c r="A318" s="15" t="inlineStr">
        <is>
          <t>George</t>
        </is>
      </c>
      <c r="B318" s="29">
        <f>IF($A318="","",IFERROR(INDEX(Roster!$B$2:$B$40,MATCH($A318,Roster!$A$2:$A$40,0)),"?"))</f>
        <v/>
      </c>
      <c r="C318" s="15" t="inlineStr">
        <is>
          <t>5C Ocean_1</t>
        </is>
      </c>
      <c r="D318" s="29">
        <f>IF($C318="","",IFERROR(IF(INDEX(Deals!$C$2:$C$355,MATCH($C318,Deals!$A$2:$A$355,0))=0,"",INDEX(Deals!$C$2:$C$355,MATCH($C318,Deals!$A$2:$A$355,0))),"?"))</f>
        <v/>
      </c>
      <c r="E318" s="29">
        <f>IF($C318="","",IFERROR(INDEX(Deals!$F$2:$F$355,MATCH($C318,Deals!$A$2:$A$355,0)),"?"))</f>
        <v/>
      </c>
      <c r="F318" s="15" t="inlineStr">
        <is>
          <t>VP</t>
        </is>
      </c>
      <c r="G318" s="15" t="inlineStr">
        <is>
          <t>Inactive</t>
        </is>
      </c>
      <c r="H318" s="27" t="n"/>
      <c r="I318" s="20">
        <f>IF(OR($A318="",$G318&lt;&gt;"Active"),0,IF($H318&lt;&gt;"",$H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</f>
        <v/>
      </c>
      <c r="J318" s="23">
        <f>IF($C318="",0,IFERROR(INDEX(Deals!$H$2:$H$355,MATCH($C318,Deals!$A$2:$A$355,0)),0))</f>
        <v/>
      </c>
      <c r="K318" s="20">
        <f>IF(Settings!$B$4="Yes",$I318*$J318,$I318)</f>
        <v/>
      </c>
      <c r="L318" s="31">
        <f>IF($C318="","",IFERROR(IF(INDEX(Deals!$I$2:$I$355,MATCH($C318,Deals!$A$2:$A$355,0))=0,"",INDEX(Deals!$I$2:$I$355,MATCH($C318,Deals!$A$2:$A$355,0))),""))</f>
        <v/>
      </c>
      <c r="M318" s="31">
        <f>IF($C318="","",IFERROR(IF(INDEX(Deals!$J$2:$J$355,MATCH($C318,Deals!$A$2:$A$355,0))=0,"",INDEX(Deals!$J$2:$J$355,MATCH($C318,Deals!$A$2:$A$355,0))),""))</f>
        <v/>
      </c>
      <c r="N318" s="24">
        <f>IF($L318="",DATE(1900,1,1),$L318)</f>
        <v/>
      </c>
      <c r="O318" s="24">
        <f>IF($M318="",DATE(2100,12,31),$M318)</f>
        <v/>
      </c>
      <c r="P318" s="16" t="inlineStr">
        <is>
          <t>Closed</t>
        </is>
      </c>
      <c r="Q318" s="16" t="inlineStr"/>
      <c r="R318" s="29">
        <f>IF($C318="","",IFERROR(IF(INDEX(Deals!$U$2:$U$355,MATCH($C318,Deals!$A$2:$A$355,0))=0,"",INDEX(Deals!$U$2:$U$355,MATCH($C318,Deals!$A$2:$A$355,0))),""))</f>
        <v/>
      </c>
      <c r="S318" s="22">
        <f>IFERROR(IF($U318="",1,INDEX(Deals!$V$2:$V$355,MATCH($C318,Deals!$A$2:$A$355,0))),1)</f>
        <v/>
      </c>
      <c r="T318" s="22">
        <f>IFERROR(IF($U318="",1,INDEX(Deals!$W$2:$W$355,MATCH($C318,Deals!$A$2:$A$355,0))),1)</f>
        <v/>
      </c>
      <c r="U318" s="31">
        <f>IF($C318="","",IFERROR(IF(INDEX(Deals!$Y$2:$Y$355,MATCH($C318,Deals!$A$2:$A$355,0))=0,"",INDEX(Deals!$Y$2:$Y$355,MATCH($C318,Deals!$A$2:$A$355,0))),""))</f>
        <v/>
      </c>
      <c r="V318" s="24">
        <f>IF($U318="",DATE(1900,1,1),$N318)</f>
        <v/>
      </c>
      <c r="W318" s="24">
        <f>IF($U318="",DATE(2100,12,31),$U318)</f>
        <v/>
      </c>
      <c r="X318" s="20">
        <f>IF($U318="",$K318,$K318*$S318)</f>
        <v/>
      </c>
      <c r="Y318" s="24">
        <f>IF($U318="",DATE(2100,12,31),$U318+1)</f>
        <v/>
      </c>
      <c r="Z318" s="24">
        <f>IF($U318="",DATE(1900,1,1),$O318)</f>
        <v/>
      </c>
      <c r="AA318" s="20">
        <f>IF($U318="",0,$K318*$T318)</f>
        <v/>
      </c>
    </row>
    <row r="319">
      <c r="A319" s="15" t="inlineStr">
        <is>
          <t>George</t>
        </is>
      </c>
      <c r="B319" s="29">
        <f>IF($A319="","",IFERROR(INDEX(Roster!$B$2:$B$40,MATCH($A319,Roster!$A$2:$A$40,0)),"?"))</f>
        <v/>
      </c>
      <c r="C319" s="15" t="inlineStr">
        <is>
          <t>Advantage_1</t>
        </is>
      </c>
      <c r="D319" s="29">
        <f>IF($C319="","",IFERROR(IF(INDEX(Deals!$C$2:$C$355,MATCH($C319,Deals!$A$2:$A$355,0))=0,"",INDEX(Deals!$C$2:$C$355,MATCH($C319,Deals!$A$2:$A$355,0))),"?"))</f>
        <v/>
      </c>
      <c r="E319" s="29">
        <f>IF($C319="","",IFERROR(INDEX(Deals!$F$2:$F$355,MATCH($C319,Deals!$A$2:$A$355,0)),"?"))</f>
        <v/>
      </c>
      <c r="F319" s="15" t="inlineStr">
        <is>
          <t>VP</t>
        </is>
      </c>
      <c r="G319" s="15" t="inlineStr">
        <is>
          <t>Active</t>
        </is>
      </c>
      <c r="H319" s="27" t="n"/>
      <c r="I319" s="20">
        <f>IF(OR($A319="",$G319&lt;&gt;"Active"),0,IF($H319&lt;&gt;"",$H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</f>
        <v/>
      </c>
      <c r="J319" s="23">
        <f>IF($C319="",0,IFERROR(INDEX(Deals!$H$2:$H$355,MATCH($C319,Deals!$A$2:$A$355,0)),0))</f>
        <v/>
      </c>
      <c r="K319" s="20">
        <f>IF(Settings!$B$4="Yes",$I319*$J319,$I319)</f>
        <v/>
      </c>
      <c r="L319" s="31">
        <f>IF($C319="","",IFERROR(IF(INDEX(Deals!$I$2:$I$355,MATCH($C319,Deals!$A$2:$A$355,0))=0,"",INDEX(Deals!$I$2:$I$355,MATCH($C319,Deals!$A$2:$A$355,0))),""))</f>
        <v/>
      </c>
      <c r="M319" s="31">
        <f>IF($C319="","",IFERROR(IF(INDEX(Deals!$J$2:$J$355,MATCH($C319,Deals!$A$2:$A$355,0))=0,"",INDEX(Deals!$J$2:$J$355,MATCH($C319,Deals!$A$2:$A$355,0))),""))</f>
        <v/>
      </c>
      <c r="N319" s="24">
        <f>IF($L319="",DATE(1900,1,1),$L319)</f>
        <v/>
      </c>
      <c r="O319" s="24">
        <f>IF($M319="",DATE(2100,12,31),$M319)</f>
        <v/>
      </c>
      <c r="P319" s="16" t="inlineStr">
        <is>
          <t>Ongoing</t>
        </is>
      </c>
      <c r="Q319" s="16" t="inlineStr"/>
      <c r="R319" s="29">
        <f>IF($C319="","",IFERROR(IF(INDEX(Deals!$U$2:$U$355,MATCH($C319,Deals!$A$2:$A$355,0))=0,"",INDEX(Deals!$U$2:$U$355,MATCH($C319,Deals!$A$2:$A$355,0))),""))</f>
        <v/>
      </c>
      <c r="S319" s="22">
        <f>IFERROR(IF($U319="",1,INDEX(Deals!$V$2:$V$355,MATCH($C319,Deals!$A$2:$A$355,0))),1)</f>
        <v/>
      </c>
      <c r="T319" s="22">
        <f>IFERROR(IF($U319="",1,INDEX(Deals!$W$2:$W$355,MATCH($C319,Deals!$A$2:$A$355,0))),1)</f>
        <v/>
      </c>
      <c r="U319" s="31">
        <f>IF($C319="","",IFERROR(IF(INDEX(Deals!$Y$2:$Y$355,MATCH($C319,Deals!$A$2:$A$355,0))=0,"",INDEX(Deals!$Y$2:$Y$355,MATCH($C319,Deals!$A$2:$A$355,0))),""))</f>
        <v/>
      </c>
      <c r="V319" s="24">
        <f>IF($U319="",DATE(1900,1,1),$N319)</f>
        <v/>
      </c>
      <c r="W319" s="24">
        <f>IF($U319="",DATE(2100,12,31),$U319)</f>
        <v/>
      </c>
      <c r="X319" s="20">
        <f>IF($U319="",$K319,$K319*$S319)</f>
        <v/>
      </c>
      <c r="Y319" s="24">
        <f>IF($U319="",DATE(2100,12,31),$U319+1)</f>
        <v/>
      </c>
      <c r="Z319" s="24">
        <f>IF($U319="",DATE(1900,1,1),$O319)</f>
        <v/>
      </c>
      <c r="AA319" s="20">
        <f>IF($U319="",0,$K319*$T319)</f>
        <v/>
      </c>
    </row>
    <row r="320">
      <c r="A320" s="15" t="inlineStr">
        <is>
          <t>George</t>
        </is>
      </c>
      <c r="B320" s="29">
        <f>IF($A320="","",IFERROR(INDEX(Roster!$B$2:$B$40,MATCH($A320,Roster!$A$2:$A$40,0)),"?"))</f>
        <v/>
      </c>
      <c r="C320" s="15" t="inlineStr">
        <is>
          <t>AOP Model_1</t>
        </is>
      </c>
      <c r="D320" s="29">
        <f>IF($C320="","",IFERROR(IF(INDEX(Deals!$C$2:$C$355,MATCH($C320,Deals!$A$2:$A$355,0))=0,"",INDEX(Deals!$C$2:$C$355,MATCH($C320,Deals!$A$2:$A$355,0))),"?"))</f>
        <v/>
      </c>
      <c r="E320" s="29">
        <f>IF($C320="","",IFERROR(INDEX(Deals!$F$2:$F$355,MATCH($C320,Deals!$A$2:$A$355,0)),"?"))</f>
        <v/>
      </c>
      <c r="F320" s="15" t="inlineStr">
        <is>
          <t>VP</t>
        </is>
      </c>
      <c r="G320" s="15" t="inlineStr">
        <is>
          <t>Active</t>
        </is>
      </c>
      <c r="H320" s="27" t="n"/>
      <c r="I320" s="20">
        <f>IF(OR($A320="",$G320&lt;&gt;"Active"),0,IF($H320&lt;&gt;"",$H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</f>
        <v/>
      </c>
      <c r="J320" s="23">
        <f>IF($C320="",0,IFERROR(INDEX(Deals!$H$2:$H$355,MATCH($C320,Deals!$A$2:$A$355,0)),0))</f>
        <v/>
      </c>
      <c r="K320" s="20">
        <f>IF(Settings!$B$4="Yes",$I320*$J320,$I320)</f>
        <v/>
      </c>
      <c r="L320" s="31">
        <f>IF($C320="","",IFERROR(IF(INDEX(Deals!$I$2:$I$355,MATCH($C320,Deals!$A$2:$A$355,0))=0,"",INDEX(Deals!$I$2:$I$355,MATCH($C320,Deals!$A$2:$A$355,0))),""))</f>
        <v/>
      </c>
      <c r="M320" s="31">
        <f>IF($C320="","",IFERROR(IF(INDEX(Deals!$J$2:$J$355,MATCH($C320,Deals!$A$2:$A$355,0))=0,"",INDEX(Deals!$J$2:$J$355,MATCH($C320,Deals!$A$2:$A$355,0))),""))</f>
        <v/>
      </c>
      <c r="N320" s="24">
        <f>IF($L320="",DATE(1900,1,1),$L320)</f>
        <v/>
      </c>
      <c r="O320" s="24">
        <f>IF($M320="",DATE(2100,12,31),$M320)</f>
        <v/>
      </c>
      <c r="P320" s="16" t="inlineStr">
        <is>
          <t>Ongoing</t>
        </is>
      </c>
      <c r="Q320" s="16" t="inlineStr"/>
      <c r="R320" s="29">
        <f>IF($C320="","",IFERROR(IF(INDEX(Deals!$U$2:$U$355,MATCH($C320,Deals!$A$2:$A$355,0))=0,"",INDEX(Deals!$U$2:$U$355,MATCH($C320,Deals!$A$2:$A$355,0))),""))</f>
        <v/>
      </c>
      <c r="S320" s="22">
        <f>IFERROR(IF($U320="",1,INDEX(Deals!$V$2:$V$355,MATCH($C320,Deals!$A$2:$A$355,0))),1)</f>
        <v/>
      </c>
      <c r="T320" s="22">
        <f>IFERROR(IF($U320="",1,INDEX(Deals!$W$2:$W$355,MATCH($C320,Deals!$A$2:$A$355,0))),1)</f>
        <v/>
      </c>
      <c r="U320" s="31">
        <f>IF($C320="","",IFERROR(IF(INDEX(Deals!$Y$2:$Y$355,MATCH($C320,Deals!$A$2:$A$355,0))=0,"",INDEX(Deals!$Y$2:$Y$355,MATCH($C320,Deals!$A$2:$A$355,0))),""))</f>
        <v/>
      </c>
      <c r="V320" s="24">
        <f>IF($U320="",DATE(1900,1,1),$N320)</f>
        <v/>
      </c>
      <c r="W320" s="24">
        <f>IF($U320="",DATE(2100,12,31),$U320)</f>
        <v/>
      </c>
      <c r="X320" s="20">
        <f>IF($U320="",$K320,$K320*$S320)</f>
        <v/>
      </c>
      <c r="Y320" s="24">
        <f>IF($U320="",DATE(2100,12,31),$U320+1)</f>
        <v/>
      </c>
      <c r="Z320" s="24">
        <f>IF($U320="",DATE(1900,1,1),$O320)</f>
        <v/>
      </c>
      <c r="AA320" s="20">
        <f>IF($U320="",0,$K320*$T320)</f>
        <v/>
      </c>
    </row>
    <row r="321">
      <c r="A321" s="15" t="inlineStr">
        <is>
          <t>George</t>
        </is>
      </c>
      <c r="B321" s="29">
        <f>IF($A321="","",IFERROR(INDEX(Roster!$B$2:$B$40,MATCH($A321,Roster!$A$2:$A$40,0)),"?"))</f>
        <v/>
      </c>
      <c r="C321" s="15" t="inlineStr">
        <is>
          <t>Bolt_2</t>
        </is>
      </c>
      <c r="D321" s="29">
        <f>IF($C321="","",IFERROR(IF(INDEX(Deals!$C$2:$C$355,MATCH($C321,Deals!$A$2:$A$355,0))=0,"",INDEX(Deals!$C$2:$C$355,MATCH($C321,Deals!$A$2:$A$355,0))),"?"))</f>
        <v/>
      </c>
      <c r="E321" s="29">
        <f>IF($C321="","",IFERROR(INDEX(Deals!$F$2:$F$355,MATCH($C321,Deals!$A$2:$A$355,0)),"?"))</f>
        <v/>
      </c>
      <c r="F321" s="15" t="inlineStr">
        <is>
          <t>VP</t>
        </is>
      </c>
      <c r="G321" s="15" t="inlineStr">
        <is>
          <t>Active</t>
        </is>
      </c>
      <c r="H321" s="27" t="n"/>
      <c r="I321" s="20">
        <f>IF(OR($A321="",$G321&lt;&gt;"Active"),0,IF($H321&lt;&gt;"",$H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</f>
        <v/>
      </c>
      <c r="J321" s="23">
        <f>IF($C321="",0,IFERROR(INDEX(Deals!$H$2:$H$355,MATCH($C321,Deals!$A$2:$A$355,0)),0))</f>
        <v/>
      </c>
      <c r="K321" s="20">
        <f>IF(Settings!$B$4="Yes",$I321*$J321,$I321)</f>
        <v/>
      </c>
      <c r="L321" s="31">
        <f>IF($C321="","",IFERROR(IF(INDEX(Deals!$I$2:$I$355,MATCH($C321,Deals!$A$2:$A$355,0))=0,"",INDEX(Deals!$I$2:$I$355,MATCH($C321,Deals!$A$2:$A$355,0))),""))</f>
        <v/>
      </c>
      <c r="M321" s="31">
        <f>IF($C321="","",IFERROR(IF(INDEX(Deals!$J$2:$J$355,MATCH($C321,Deals!$A$2:$A$355,0))=0,"",INDEX(Deals!$J$2:$J$355,MATCH($C321,Deals!$A$2:$A$355,0))),""))</f>
        <v/>
      </c>
      <c r="N321" s="24">
        <f>IF($L321="",DATE(1900,1,1),$L321)</f>
        <v/>
      </c>
      <c r="O321" s="24">
        <f>IF($M321="",DATE(2100,12,31),$M321)</f>
        <v/>
      </c>
      <c r="P321" s="16" t="inlineStr">
        <is>
          <t>Ongoing</t>
        </is>
      </c>
      <c r="Q321" s="16" t="inlineStr">
        <is>
          <t>Added from Summary tab</t>
        </is>
      </c>
      <c r="R321" s="29">
        <f>IF($C321="","",IFERROR(IF(INDEX(Deals!$U$2:$U$355,MATCH($C321,Deals!$A$2:$A$355,0))=0,"",INDEX(Deals!$U$2:$U$355,MATCH($C321,Deals!$A$2:$A$355,0))),""))</f>
        <v/>
      </c>
      <c r="S321" s="22">
        <f>IFERROR(IF($U321="",1,INDEX(Deals!$V$2:$V$355,MATCH($C321,Deals!$A$2:$A$355,0))),1)</f>
        <v/>
      </c>
      <c r="T321" s="22">
        <f>IFERROR(IF($U321="",1,INDEX(Deals!$W$2:$W$355,MATCH($C321,Deals!$A$2:$A$355,0))),1)</f>
        <v/>
      </c>
      <c r="U321" s="31">
        <f>IF($C321="","",IFERROR(IF(INDEX(Deals!$Y$2:$Y$355,MATCH($C321,Deals!$A$2:$A$355,0))=0,"",INDEX(Deals!$Y$2:$Y$355,MATCH($C321,Deals!$A$2:$A$355,0))),""))</f>
        <v/>
      </c>
      <c r="V321" s="24">
        <f>IF($U321="",DATE(1900,1,1),$N321)</f>
        <v/>
      </c>
      <c r="W321" s="24">
        <f>IF($U321="",DATE(2100,12,31),$U321)</f>
        <v/>
      </c>
      <c r="X321" s="20">
        <f>IF($U321="",$K321,$K321*$S321)</f>
        <v/>
      </c>
      <c r="Y321" s="24">
        <f>IF($U321="",DATE(2100,12,31),$U321+1)</f>
        <v/>
      </c>
      <c r="Z321" s="24">
        <f>IF($U321="",DATE(1900,1,1),$O321)</f>
        <v/>
      </c>
      <c r="AA321" s="20">
        <f>IF($U321="",0,$K321*$T321)</f>
        <v/>
      </c>
    </row>
    <row r="322">
      <c r="A322" s="15" t="inlineStr">
        <is>
          <t>George</t>
        </is>
      </c>
      <c r="B322" s="29">
        <f>IF($A322="","",IFERROR(INDEX(Roster!$B$2:$B$40,MATCH($A322,Roster!$A$2:$A$40,0)),"?"))</f>
        <v/>
      </c>
      <c r="C322" s="15" t="inlineStr">
        <is>
          <t>Brick_1</t>
        </is>
      </c>
      <c r="D322" s="29">
        <f>IF($C322="","",IFERROR(IF(INDEX(Deals!$C$2:$C$355,MATCH($C322,Deals!$A$2:$A$355,0))=0,"",INDEX(Deals!$C$2:$C$355,MATCH($C322,Deals!$A$2:$A$355,0))),"?"))</f>
        <v/>
      </c>
      <c r="E322" s="29">
        <f>IF($C322="","",IFERROR(INDEX(Deals!$F$2:$F$355,MATCH($C322,Deals!$A$2:$A$355,0)),"?"))</f>
        <v/>
      </c>
      <c r="F322" s="15" t="inlineStr">
        <is>
          <t>VP</t>
        </is>
      </c>
      <c r="G322" s="15" t="inlineStr">
        <is>
          <t>Active</t>
        </is>
      </c>
      <c r="H322" s="27" t="n"/>
      <c r="I322" s="20">
        <f>IF(OR($A322="",$G322&lt;&gt;"Active"),0,IF($H322&lt;&gt;"",$H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</f>
        <v/>
      </c>
      <c r="J322" s="23">
        <f>IF($C322="",0,IFERROR(INDEX(Deals!$H$2:$H$355,MATCH($C322,Deals!$A$2:$A$355,0)),0))</f>
        <v/>
      </c>
      <c r="K322" s="20">
        <f>IF(Settings!$B$4="Yes",$I322*$J322,$I322)</f>
        <v/>
      </c>
      <c r="L322" s="31">
        <f>IF($C322="","",IFERROR(IF(INDEX(Deals!$I$2:$I$355,MATCH($C322,Deals!$A$2:$A$355,0))=0,"",INDEX(Deals!$I$2:$I$355,MATCH($C322,Deals!$A$2:$A$355,0))),""))</f>
        <v/>
      </c>
      <c r="M322" s="31">
        <f>IF($C322="","",IFERROR(IF(INDEX(Deals!$J$2:$J$355,MATCH($C322,Deals!$A$2:$A$355,0))=0,"",INDEX(Deals!$J$2:$J$355,MATCH($C322,Deals!$A$2:$A$355,0))),""))</f>
        <v/>
      </c>
      <c r="N322" s="24">
        <f>IF($L322="",DATE(1900,1,1),$L322)</f>
        <v/>
      </c>
      <c r="O322" s="24">
        <f>IF($M322="",DATE(2100,12,31),$M322)</f>
        <v/>
      </c>
      <c r="P322" s="16" t="inlineStr">
        <is>
          <t>Ongoing</t>
        </is>
      </c>
      <c r="Q322" s="16" t="inlineStr">
        <is>
          <t>Added from Summary tab</t>
        </is>
      </c>
      <c r="R322" s="29">
        <f>IF($C322="","",IFERROR(IF(INDEX(Deals!$U$2:$U$355,MATCH($C322,Deals!$A$2:$A$355,0))=0,"",INDEX(Deals!$U$2:$U$355,MATCH($C322,Deals!$A$2:$A$355,0))),""))</f>
        <v/>
      </c>
      <c r="S322" s="22">
        <f>IFERROR(IF($U322="",1,INDEX(Deals!$V$2:$V$355,MATCH($C322,Deals!$A$2:$A$355,0))),1)</f>
        <v/>
      </c>
      <c r="T322" s="22">
        <f>IFERROR(IF($U322="",1,INDEX(Deals!$W$2:$W$355,MATCH($C322,Deals!$A$2:$A$355,0))),1)</f>
        <v/>
      </c>
      <c r="U322" s="31">
        <f>IF($C322="","",IFERROR(IF(INDEX(Deals!$Y$2:$Y$355,MATCH($C322,Deals!$A$2:$A$355,0))=0,"",INDEX(Deals!$Y$2:$Y$355,MATCH($C322,Deals!$A$2:$A$355,0))),""))</f>
        <v/>
      </c>
      <c r="V322" s="24">
        <f>IF($U322="",DATE(1900,1,1),$N322)</f>
        <v/>
      </c>
      <c r="W322" s="24">
        <f>IF($U322="",DATE(2100,12,31),$U322)</f>
        <v/>
      </c>
      <c r="X322" s="20">
        <f>IF($U322="",$K322,$K322*$S322)</f>
        <v/>
      </c>
      <c r="Y322" s="24">
        <f>IF($U322="",DATE(2100,12,31),$U322+1)</f>
        <v/>
      </c>
      <c r="Z322" s="24">
        <f>IF($U322="",DATE(1900,1,1),$O322)</f>
        <v/>
      </c>
      <c r="AA322" s="20">
        <f>IF($U322="",0,$K322*$T322)</f>
        <v/>
      </c>
    </row>
    <row r="323">
      <c r="A323" s="15" t="inlineStr">
        <is>
          <t>George</t>
        </is>
      </c>
      <c r="B323" s="29">
        <f>IF($A323="","",IFERROR(INDEX(Roster!$B$2:$B$40,MATCH($A323,Roster!$A$2:$A$40,0)),"?"))</f>
        <v/>
      </c>
      <c r="C323" s="15" t="inlineStr">
        <is>
          <t>Camaro_1</t>
        </is>
      </c>
      <c r="D323" s="29">
        <f>IF($C323="","",IFERROR(IF(INDEX(Deals!$C$2:$C$355,MATCH($C323,Deals!$A$2:$A$355,0))=0,"",INDEX(Deals!$C$2:$C$355,MATCH($C323,Deals!$A$2:$A$355,0))),"?"))</f>
        <v/>
      </c>
      <c r="E323" s="29">
        <f>IF($C323="","",IFERROR(INDEX(Deals!$F$2:$F$355,MATCH($C323,Deals!$A$2:$A$355,0)),"?"))</f>
        <v/>
      </c>
      <c r="F323" s="15" t="inlineStr">
        <is>
          <t>VP</t>
        </is>
      </c>
      <c r="G323" s="15" t="inlineStr">
        <is>
          <t>Inactive</t>
        </is>
      </c>
      <c r="H323" s="27" t="n"/>
      <c r="I323" s="20">
        <f>IF(OR($A323="",$G323&lt;&gt;"Active"),0,IF($H323&lt;&gt;"",$H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</f>
        <v/>
      </c>
      <c r="J323" s="23">
        <f>IF($C323="",0,IFERROR(INDEX(Deals!$H$2:$H$355,MATCH($C323,Deals!$A$2:$A$355,0)),0))</f>
        <v/>
      </c>
      <c r="K323" s="20">
        <f>IF(Settings!$B$4="Yes",$I323*$J323,$I323)</f>
        <v/>
      </c>
      <c r="L323" s="31">
        <f>IF($C323="","",IFERROR(IF(INDEX(Deals!$I$2:$I$355,MATCH($C323,Deals!$A$2:$A$355,0))=0,"",INDEX(Deals!$I$2:$I$355,MATCH($C323,Deals!$A$2:$A$355,0))),""))</f>
        <v/>
      </c>
      <c r="M323" s="31">
        <f>IF($C323="","",IFERROR(IF(INDEX(Deals!$J$2:$J$355,MATCH($C323,Deals!$A$2:$A$355,0))=0,"",INDEX(Deals!$J$2:$J$355,MATCH($C323,Deals!$A$2:$A$355,0))),""))</f>
        <v/>
      </c>
      <c r="N323" s="24">
        <f>IF($L323="",DATE(1900,1,1),$L323)</f>
        <v/>
      </c>
      <c r="O323" s="24">
        <f>IF($M323="",DATE(2100,12,31),$M323)</f>
        <v/>
      </c>
      <c r="P323" s="16" t="inlineStr">
        <is>
          <t>Closed</t>
        </is>
      </c>
      <c r="Q323" s="16" t="inlineStr"/>
      <c r="R323" s="29">
        <f>IF($C323="","",IFERROR(IF(INDEX(Deals!$U$2:$U$355,MATCH($C323,Deals!$A$2:$A$355,0))=0,"",INDEX(Deals!$U$2:$U$355,MATCH($C323,Deals!$A$2:$A$355,0))),""))</f>
        <v/>
      </c>
      <c r="S323" s="22">
        <f>IFERROR(IF($U323="",1,INDEX(Deals!$V$2:$V$355,MATCH($C323,Deals!$A$2:$A$355,0))),1)</f>
        <v/>
      </c>
      <c r="T323" s="22">
        <f>IFERROR(IF($U323="",1,INDEX(Deals!$W$2:$W$355,MATCH($C323,Deals!$A$2:$A$355,0))),1)</f>
        <v/>
      </c>
      <c r="U323" s="31">
        <f>IF($C323="","",IFERROR(IF(INDEX(Deals!$Y$2:$Y$355,MATCH($C323,Deals!$A$2:$A$355,0))=0,"",INDEX(Deals!$Y$2:$Y$355,MATCH($C323,Deals!$A$2:$A$355,0))),""))</f>
        <v/>
      </c>
      <c r="V323" s="24">
        <f>IF($U323="",DATE(1900,1,1),$N323)</f>
        <v/>
      </c>
      <c r="W323" s="24">
        <f>IF($U323="",DATE(2100,12,31),$U323)</f>
        <v/>
      </c>
      <c r="X323" s="20">
        <f>IF($U323="",$K323,$K323*$S323)</f>
        <v/>
      </c>
      <c r="Y323" s="24">
        <f>IF($U323="",DATE(2100,12,31),$U323+1)</f>
        <v/>
      </c>
      <c r="Z323" s="24">
        <f>IF($U323="",DATE(1900,1,1),$O323)</f>
        <v/>
      </c>
      <c r="AA323" s="20">
        <f>IF($U323="",0,$K323*$T323)</f>
        <v/>
      </c>
    </row>
    <row r="324">
      <c r="A324" s="15" t="inlineStr">
        <is>
          <t>George</t>
        </is>
      </c>
      <c r="B324" s="29">
        <f>IF($A324="","",IFERROR(INDEX(Roster!$B$2:$B$40,MATCH($A324,Roster!$A$2:$A$40,0)),"?"))</f>
        <v/>
      </c>
      <c r="C324" s="15" t="inlineStr">
        <is>
          <t>Canyon_2</t>
        </is>
      </c>
      <c r="D324" s="29">
        <f>IF($C324="","",IFERROR(IF(INDEX(Deals!$C$2:$C$355,MATCH($C324,Deals!$A$2:$A$355,0))=0,"",INDEX(Deals!$C$2:$C$355,MATCH($C324,Deals!$A$2:$A$355,0))),"?"))</f>
        <v/>
      </c>
      <c r="E324" s="29">
        <f>IF($C324="","",IFERROR(INDEX(Deals!$F$2:$F$355,MATCH($C324,Deals!$A$2:$A$355,0)),"?"))</f>
        <v/>
      </c>
      <c r="F324" s="15" t="inlineStr">
        <is>
          <t>VP</t>
        </is>
      </c>
      <c r="G324" s="15" t="inlineStr">
        <is>
          <t>Active</t>
        </is>
      </c>
      <c r="H324" s="27" t="n"/>
      <c r="I324" s="20">
        <f>IF(OR($A324="",$G324&lt;&gt;"Active"),0,IF($H324&lt;&gt;"",$H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</f>
        <v/>
      </c>
      <c r="J324" s="23">
        <f>IF($C324="",0,IFERROR(INDEX(Deals!$H$2:$H$355,MATCH($C324,Deals!$A$2:$A$355,0)),0))</f>
        <v/>
      </c>
      <c r="K324" s="20">
        <f>IF(Settings!$B$4="Yes",$I324*$J324,$I324)</f>
        <v/>
      </c>
      <c r="L324" s="31">
        <f>IF($C324="","",IFERROR(IF(INDEX(Deals!$I$2:$I$355,MATCH($C324,Deals!$A$2:$A$355,0))=0,"",INDEX(Deals!$I$2:$I$355,MATCH($C324,Deals!$A$2:$A$355,0))),""))</f>
        <v/>
      </c>
      <c r="M324" s="31">
        <f>IF($C324="","",IFERROR(IF(INDEX(Deals!$J$2:$J$355,MATCH($C324,Deals!$A$2:$A$355,0))=0,"",INDEX(Deals!$J$2:$J$355,MATCH($C324,Deals!$A$2:$A$355,0))),""))</f>
        <v/>
      </c>
      <c r="N324" s="24">
        <f>IF($L324="",DATE(1900,1,1),$L324)</f>
        <v/>
      </c>
      <c r="O324" s="24">
        <f>IF($M324="",DATE(2100,12,31),$M324)</f>
        <v/>
      </c>
      <c r="P324" s="16" t="inlineStr">
        <is>
          <t>Ongoing</t>
        </is>
      </c>
      <c r="Q324" s="16" t="inlineStr"/>
      <c r="R324" s="29">
        <f>IF($C324="","",IFERROR(IF(INDEX(Deals!$U$2:$U$355,MATCH($C324,Deals!$A$2:$A$355,0))=0,"",INDEX(Deals!$U$2:$U$355,MATCH($C324,Deals!$A$2:$A$355,0))),""))</f>
        <v/>
      </c>
      <c r="S324" s="22">
        <f>IFERROR(IF($U324="",1,INDEX(Deals!$V$2:$V$355,MATCH($C324,Deals!$A$2:$A$355,0))),1)</f>
        <v/>
      </c>
      <c r="T324" s="22">
        <f>IFERROR(IF($U324="",1,INDEX(Deals!$W$2:$W$355,MATCH($C324,Deals!$A$2:$A$355,0))),1)</f>
        <v/>
      </c>
      <c r="U324" s="31">
        <f>IF($C324="","",IFERROR(IF(INDEX(Deals!$Y$2:$Y$355,MATCH($C324,Deals!$A$2:$A$355,0))=0,"",INDEX(Deals!$Y$2:$Y$355,MATCH($C324,Deals!$A$2:$A$355,0))),""))</f>
        <v/>
      </c>
      <c r="V324" s="24">
        <f>IF($U324="",DATE(1900,1,1),$N324)</f>
        <v/>
      </c>
      <c r="W324" s="24">
        <f>IF($U324="",DATE(2100,12,31),$U324)</f>
        <v/>
      </c>
      <c r="X324" s="20">
        <f>IF($U324="",$K324,$K324*$S324)</f>
        <v/>
      </c>
      <c r="Y324" s="24">
        <f>IF($U324="",DATE(2100,12,31),$U324+1)</f>
        <v/>
      </c>
      <c r="Z324" s="24">
        <f>IF($U324="",DATE(1900,1,1),$O324)</f>
        <v/>
      </c>
      <c r="AA324" s="20">
        <f>IF($U324="",0,$K324*$T324)</f>
        <v/>
      </c>
    </row>
    <row r="325">
      <c r="A325" s="15" t="inlineStr">
        <is>
          <t>George</t>
        </is>
      </c>
      <c r="B325" s="29">
        <f>IF($A325="","",IFERROR(INDEX(Roster!$B$2:$B$40,MATCH($A325,Roster!$A$2:$A$40,0)),"?"))</f>
        <v/>
      </c>
      <c r="C325" s="15" t="inlineStr">
        <is>
          <t>Chicago RE_1</t>
        </is>
      </c>
      <c r="D325" s="29">
        <f>IF($C325="","",IFERROR(IF(INDEX(Deals!$C$2:$C$355,MATCH($C325,Deals!$A$2:$A$355,0))=0,"",INDEX(Deals!$C$2:$C$355,MATCH($C325,Deals!$A$2:$A$355,0))),"?"))</f>
        <v/>
      </c>
      <c r="E325" s="29">
        <f>IF($C325="","",IFERROR(INDEX(Deals!$F$2:$F$355,MATCH($C325,Deals!$A$2:$A$355,0)),"?"))</f>
        <v/>
      </c>
      <c r="F325" s="15" t="inlineStr">
        <is>
          <t>VP</t>
        </is>
      </c>
      <c r="G325" s="15" t="inlineStr">
        <is>
          <t>Active</t>
        </is>
      </c>
      <c r="H325" s="27" t="n"/>
      <c r="I325" s="20">
        <f>IF(OR($A325="",$G325&lt;&gt;"Active"),0,IF($H325&lt;&gt;"",$H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</f>
        <v/>
      </c>
      <c r="J325" s="23">
        <f>IF($C325="",0,IFERROR(INDEX(Deals!$H$2:$H$355,MATCH($C325,Deals!$A$2:$A$355,0)),0))</f>
        <v/>
      </c>
      <c r="K325" s="20">
        <f>IF(Settings!$B$4="Yes",$I325*$J325,$I325)</f>
        <v/>
      </c>
      <c r="L325" s="31">
        <f>IF($C325="","",IFERROR(IF(INDEX(Deals!$I$2:$I$355,MATCH($C325,Deals!$A$2:$A$355,0))=0,"",INDEX(Deals!$I$2:$I$355,MATCH($C325,Deals!$A$2:$A$355,0))),""))</f>
        <v/>
      </c>
      <c r="M325" s="31">
        <f>IF($C325="","",IFERROR(IF(INDEX(Deals!$J$2:$J$355,MATCH($C325,Deals!$A$2:$A$355,0))=0,"",INDEX(Deals!$J$2:$J$355,MATCH($C325,Deals!$A$2:$A$355,0))),""))</f>
        <v/>
      </c>
      <c r="N325" s="24">
        <f>IF($L325="",DATE(1900,1,1),$L325)</f>
        <v/>
      </c>
      <c r="O325" s="24">
        <f>IF($M325="",DATE(2100,12,31),$M325)</f>
        <v/>
      </c>
      <c r="P325" s="16" t="inlineStr">
        <is>
          <t>Ongoing</t>
        </is>
      </c>
      <c r="Q325" s="16" t="inlineStr"/>
      <c r="R325" s="29">
        <f>IF($C325="","",IFERROR(IF(INDEX(Deals!$U$2:$U$355,MATCH($C325,Deals!$A$2:$A$355,0))=0,"",INDEX(Deals!$U$2:$U$355,MATCH($C325,Deals!$A$2:$A$355,0))),""))</f>
        <v/>
      </c>
      <c r="S325" s="22">
        <f>IFERROR(IF($U325="",1,INDEX(Deals!$V$2:$V$355,MATCH($C325,Deals!$A$2:$A$355,0))),1)</f>
        <v/>
      </c>
      <c r="T325" s="22">
        <f>IFERROR(IF($U325="",1,INDEX(Deals!$W$2:$W$355,MATCH($C325,Deals!$A$2:$A$355,0))),1)</f>
        <v/>
      </c>
      <c r="U325" s="31">
        <f>IF($C325="","",IFERROR(IF(INDEX(Deals!$Y$2:$Y$355,MATCH($C325,Deals!$A$2:$A$355,0))=0,"",INDEX(Deals!$Y$2:$Y$355,MATCH($C325,Deals!$A$2:$A$355,0))),""))</f>
        <v/>
      </c>
      <c r="V325" s="24">
        <f>IF($U325="",DATE(1900,1,1),$N325)</f>
        <v/>
      </c>
      <c r="W325" s="24">
        <f>IF($U325="",DATE(2100,12,31),$U325)</f>
        <v/>
      </c>
      <c r="X325" s="20">
        <f>IF($U325="",$K325,$K325*$S325)</f>
        <v/>
      </c>
      <c r="Y325" s="24">
        <f>IF($U325="",DATE(2100,12,31),$U325+1)</f>
        <v/>
      </c>
      <c r="Z325" s="24">
        <f>IF($U325="",DATE(1900,1,1),$O325)</f>
        <v/>
      </c>
      <c r="AA325" s="20">
        <f>IF($U325="",0,$K325*$T325)</f>
        <v/>
      </c>
    </row>
    <row r="326">
      <c r="A326" s="15" t="inlineStr">
        <is>
          <t>George</t>
        </is>
      </c>
      <c r="B326" s="29">
        <f>IF($A326="","",IFERROR(INDEX(Roster!$B$2:$B$40,MATCH($A326,Roster!$A$2:$A$40,0)),"?"))</f>
        <v/>
      </c>
      <c r="C326" s="15" t="inlineStr">
        <is>
          <t>Circuit_1</t>
        </is>
      </c>
      <c r="D326" s="29">
        <f>IF($C326="","",IFERROR(IF(INDEX(Deals!$C$2:$C$355,MATCH($C326,Deals!$A$2:$A$355,0))=0,"",INDEX(Deals!$C$2:$C$355,MATCH($C326,Deals!$A$2:$A$355,0))),"?"))</f>
        <v/>
      </c>
      <c r="E326" s="29">
        <f>IF($C326="","",IFERROR(INDEX(Deals!$F$2:$F$355,MATCH($C326,Deals!$A$2:$A$355,0)),"?"))</f>
        <v/>
      </c>
      <c r="F326" s="15" t="inlineStr">
        <is>
          <t>VP</t>
        </is>
      </c>
      <c r="G326" s="15" t="inlineStr">
        <is>
          <t>Inactive</t>
        </is>
      </c>
      <c r="H326" s="27" t="n"/>
      <c r="I326" s="20">
        <f>IF(OR($A326="",$G326&lt;&gt;"Active"),0,IF($H326&lt;&gt;"",$H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</f>
        <v/>
      </c>
      <c r="J326" s="23">
        <f>IF($C326="",0,IFERROR(INDEX(Deals!$H$2:$H$355,MATCH($C326,Deals!$A$2:$A$355,0)),0))</f>
        <v/>
      </c>
      <c r="K326" s="20">
        <f>IF(Settings!$B$4="Yes",$I326*$J326,$I326)</f>
        <v/>
      </c>
      <c r="L326" s="31">
        <f>IF($C326="","",IFERROR(IF(INDEX(Deals!$I$2:$I$355,MATCH($C326,Deals!$A$2:$A$355,0))=0,"",INDEX(Deals!$I$2:$I$355,MATCH($C326,Deals!$A$2:$A$355,0))),""))</f>
        <v/>
      </c>
      <c r="M326" s="31">
        <f>IF($C326="","",IFERROR(IF(INDEX(Deals!$J$2:$J$355,MATCH($C326,Deals!$A$2:$A$355,0))=0,"",INDEX(Deals!$J$2:$J$355,MATCH($C326,Deals!$A$2:$A$355,0))),""))</f>
        <v/>
      </c>
      <c r="N326" s="24">
        <f>IF($L326="",DATE(1900,1,1),$L326)</f>
        <v/>
      </c>
      <c r="O326" s="24">
        <f>IF($M326="",DATE(2100,12,31),$M326)</f>
        <v/>
      </c>
      <c r="P326" s="16" t="inlineStr">
        <is>
          <t>Closed</t>
        </is>
      </c>
      <c r="Q326" s="16" t="inlineStr"/>
      <c r="R326" s="29">
        <f>IF($C326="","",IFERROR(IF(INDEX(Deals!$U$2:$U$355,MATCH($C326,Deals!$A$2:$A$355,0))=0,"",INDEX(Deals!$U$2:$U$355,MATCH($C326,Deals!$A$2:$A$355,0))),""))</f>
        <v/>
      </c>
      <c r="S326" s="22">
        <f>IFERROR(IF($U326="",1,INDEX(Deals!$V$2:$V$355,MATCH($C326,Deals!$A$2:$A$355,0))),1)</f>
        <v/>
      </c>
      <c r="T326" s="22">
        <f>IFERROR(IF($U326="",1,INDEX(Deals!$W$2:$W$355,MATCH($C326,Deals!$A$2:$A$355,0))),1)</f>
        <v/>
      </c>
      <c r="U326" s="31">
        <f>IF($C326="","",IFERROR(IF(INDEX(Deals!$Y$2:$Y$355,MATCH($C326,Deals!$A$2:$A$355,0))=0,"",INDEX(Deals!$Y$2:$Y$355,MATCH($C326,Deals!$A$2:$A$355,0))),""))</f>
        <v/>
      </c>
      <c r="V326" s="24">
        <f>IF($U326="",DATE(1900,1,1),$N326)</f>
        <v/>
      </c>
      <c r="W326" s="24">
        <f>IF($U326="",DATE(2100,12,31),$U326)</f>
        <v/>
      </c>
      <c r="X326" s="20">
        <f>IF($U326="",$K326,$K326*$S326)</f>
        <v/>
      </c>
      <c r="Y326" s="24">
        <f>IF($U326="",DATE(2100,12,31),$U326+1)</f>
        <v/>
      </c>
      <c r="Z326" s="24">
        <f>IF($U326="",DATE(1900,1,1),$O326)</f>
        <v/>
      </c>
      <c r="AA326" s="20">
        <f>IF($U326="",0,$K326*$T326)</f>
        <v/>
      </c>
    </row>
    <row r="327">
      <c r="A327" s="15" t="inlineStr">
        <is>
          <t>George</t>
        </is>
      </c>
      <c r="B327" s="29">
        <f>IF($A327="","",IFERROR(INDEX(Roster!$B$2:$B$40,MATCH($A327,Roster!$A$2:$A$40,0)),"?"))</f>
        <v/>
      </c>
      <c r="C327" s="15" t="inlineStr">
        <is>
          <t>Dental_1</t>
        </is>
      </c>
      <c r="D327" s="29">
        <f>IF($C327="","",IFERROR(IF(INDEX(Deals!$C$2:$C$355,MATCH($C327,Deals!$A$2:$A$355,0))=0,"",INDEX(Deals!$C$2:$C$355,MATCH($C327,Deals!$A$2:$A$355,0))),"?"))</f>
        <v/>
      </c>
      <c r="E327" s="29">
        <f>IF($C327="","",IFERROR(INDEX(Deals!$F$2:$F$355,MATCH($C327,Deals!$A$2:$A$355,0)),"?"))</f>
        <v/>
      </c>
      <c r="F327" s="15" t="inlineStr">
        <is>
          <t>VP</t>
        </is>
      </c>
      <c r="G327" s="15" t="inlineStr">
        <is>
          <t>Inactive</t>
        </is>
      </c>
      <c r="H327" s="27" t="n"/>
      <c r="I327" s="20">
        <f>IF(OR($A327="",$G327&lt;&gt;"Active"),0,IF($H327&lt;&gt;"",$H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</f>
        <v/>
      </c>
      <c r="J327" s="23">
        <f>IF($C327="",0,IFERROR(INDEX(Deals!$H$2:$H$355,MATCH($C327,Deals!$A$2:$A$355,0)),0))</f>
        <v/>
      </c>
      <c r="K327" s="20">
        <f>IF(Settings!$B$4="Yes",$I327*$J327,$I327)</f>
        <v/>
      </c>
      <c r="L327" s="31">
        <f>IF($C327="","",IFERROR(IF(INDEX(Deals!$I$2:$I$355,MATCH($C327,Deals!$A$2:$A$355,0))=0,"",INDEX(Deals!$I$2:$I$355,MATCH($C327,Deals!$A$2:$A$355,0))),""))</f>
        <v/>
      </c>
      <c r="M327" s="31">
        <f>IF($C327="","",IFERROR(IF(INDEX(Deals!$J$2:$J$355,MATCH($C327,Deals!$A$2:$A$355,0))=0,"",INDEX(Deals!$J$2:$J$355,MATCH($C327,Deals!$A$2:$A$355,0))),""))</f>
        <v/>
      </c>
      <c r="N327" s="24">
        <f>IF($L327="",DATE(1900,1,1),$L327)</f>
        <v/>
      </c>
      <c r="O327" s="24">
        <f>IF($M327="",DATE(2100,12,31),$M327)</f>
        <v/>
      </c>
      <c r="P327" s="16" t="inlineStr">
        <is>
          <t>Closed</t>
        </is>
      </c>
      <c r="Q327" s="16" t="inlineStr"/>
      <c r="R327" s="29">
        <f>IF($C327="","",IFERROR(IF(INDEX(Deals!$U$2:$U$355,MATCH($C327,Deals!$A$2:$A$355,0))=0,"",INDEX(Deals!$U$2:$U$355,MATCH($C327,Deals!$A$2:$A$355,0))),""))</f>
        <v/>
      </c>
      <c r="S327" s="22">
        <f>IFERROR(IF($U327="",1,INDEX(Deals!$V$2:$V$355,MATCH($C327,Deals!$A$2:$A$355,0))),1)</f>
        <v/>
      </c>
      <c r="T327" s="22">
        <f>IFERROR(IF($U327="",1,INDEX(Deals!$W$2:$W$355,MATCH($C327,Deals!$A$2:$A$355,0))),1)</f>
        <v/>
      </c>
      <c r="U327" s="31">
        <f>IF($C327="","",IFERROR(IF(INDEX(Deals!$Y$2:$Y$355,MATCH($C327,Deals!$A$2:$A$355,0))=0,"",INDEX(Deals!$Y$2:$Y$355,MATCH($C327,Deals!$A$2:$A$355,0))),""))</f>
        <v/>
      </c>
      <c r="V327" s="24">
        <f>IF($U327="",DATE(1900,1,1),$N327)</f>
        <v/>
      </c>
      <c r="W327" s="24">
        <f>IF($U327="",DATE(2100,12,31),$U327)</f>
        <v/>
      </c>
      <c r="X327" s="20">
        <f>IF($U327="",$K327,$K327*$S327)</f>
        <v/>
      </c>
      <c r="Y327" s="24">
        <f>IF($U327="",DATE(2100,12,31),$U327+1)</f>
        <v/>
      </c>
      <c r="Z327" s="24">
        <f>IF($U327="",DATE(1900,1,1),$O327)</f>
        <v/>
      </c>
      <c r="AA327" s="20">
        <f>IF($U327="",0,$K327*$T327)</f>
        <v/>
      </c>
    </row>
    <row r="328">
      <c r="A328" s="15" t="inlineStr">
        <is>
          <t>George</t>
        </is>
      </c>
      <c r="B328" s="29">
        <f>IF($A328="","",IFERROR(INDEX(Roster!$B$2:$B$40,MATCH($A328,Roster!$A$2:$A$40,0)),"?"))</f>
        <v/>
      </c>
      <c r="C328" s="15" t="inlineStr">
        <is>
          <t>Dunlin_1</t>
        </is>
      </c>
      <c r="D328" s="29">
        <f>IF($C328="","",IFERROR(IF(INDEX(Deals!$C$2:$C$355,MATCH($C328,Deals!$A$2:$A$355,0))=0,"",INDEX(Deals!$C$2:$C$355,MATCH($C328,Deals!$A$2:$A$355,0))),"?"))</f>
        <v/>
      </c>
      <c r="E328" s="29">
        <f>IF($C328="","",IFERROR(INDEX(Deals!$F$2:$F$355,MATCH($C328,Deals!$A$2:$A$355,0)),"?"))</f>
        <v/>
      </c>
      <c r="F328" s="15" t="inlineStr">
        <is>
          <t>VP</t>
        </is>
      </c>
      <c r="G328" s="15" t="inlineStr">
        <is>
          <t>Inactive</t>
        </is>
      </c>
      <c r="H328" s="27" t="n"/>
      <c r="I328" s="20">
        <f>IF(OR($A328="",$G328&lt;&gt;"Active"),0,IF($H328&lt;&gt;"",$H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</f>
        <v/>
      </c>
      <c r="J328" s="23">
        <f>IF($C328="",0,IFERROR(INDEX(Deals!$H$2:$H$355,MATCH($C328,Deals!$A$2:$A$355,0)),0))</f>
        <v/>
      </c>
      <c r="K328" s="20">
        <f>IF(Settings!$B$4="Yes",$I328*$J328,$I328)</f>
        <v/>
      </c>
      <c r="L328" s="31">
        <f>IF($C328="","",IFERROR(IF(INDEX(Deals!$I$2:$I$355,MATCH($C328,Deals!$A$2:$A$355,0))=0,"",INDEX(Deals!$I$2:$I$355,MATCH($C328,Deals!$A$2:$A$355,0))),""))</f>
        <v/>
      </c>
      <c r="M328" s="31">
        <f>IF($C328="","",IFERROR(IF(INDEX(Deals!$J$2:$J$355,MATCH($C328,Deals!$A$2:$A$355,0))=0,"",INDEX(Deals!$J$2:$J$355,MATCH($C328,Deals!$A$2:$A$355,0))),""))</f>
        <v/>
      </c>
      <c r="N328" s="24">
        <f>IF($L328="",DATE(1900,1,1),$L328)</f>
        <v/>
      </c>
      <c r="O328" s="24">
        <f>IF($M328="",DATE(2100,12,31),$M328)</f>
        <v/>
      </c>
      <c r="P328" s="16" t="inlineStr">
        <is>
          <t>Closed</t>
        </is>
      </c>
      <c r="Q328" s="16" t="inlineStr"/>
      <c r="R328" s="29">
        <f>IF($C328="","",IFERROR(IF(INDEX(Deals!$U$2:$U$355,MATCH($C328,Deals!$A$2:$A$355,0))=0,"",INDEX(Deals!$U$2:$U$355,MATCH($C328,Deals!$A$2:$A$355,0))),""))</f>
        <v/>
      </c>
      <c r="S328" s="22">
        <f>IFERROR(IF($U328="",1,INDEX(Deals!$V$2:$V$355,MATCH($C328,Deals!$A$2:$A$355,0))),1)</f>
        <v/>
      </c>
      <c r="T328" s="22">
        <f>IFERROR(IF($U328="",1,INDEX(Deals!$W$2:$W$355,MATCH($C328,Deals!$A$2:$A$355,0))),1)</f>
        <v/>
      </c>
      <c r="U328" s="31">
        <f>IF($C328="","",IFERROR(IF(INDEX(Deals!$Y$2:$Y$355,MATCH($C328,Deals!$A$2:$A$355,0))=0,"",INDEX(Deals!$Y$2:$Y$355,MATCH($C328,Deals!$A$2:$A$355,0))),""))</f>
        <v/>
      </c>
      <c r="V328" s="24">
        <f>IF($U328="",DATE(1900,1,1),$N328)</f>
        <v/>
      </c>
      <c r="W328" s="24">
        <f>IF($U328="",DATE(2100,12,31),$U328)</f>
        <v/>
      </c>
      <c r="X328" s="20">
        <f>IF($U328="",$K328,$K328*$S328)</f>
        <v/>
      </c>
      <c r="Y328" s="24">
        <f>IF($U328="",DATE(2100,12,31),$U328+1)</f>
        <v/>
      </c>
      <c r="Z328" s="24">
        <f>IF($U328="",DATE(1900,1,1),$O328)</f>
        <v/>
      </c>
      <c r="AA328" s="20">
        <f>IF($U328="",0,$K328*$T328)</f>
        <v/>
      </c>
    </row>
    <row r="329">
      <c r="A329" s="15" t="inlineStr">
        <is>
          <t>George</t>
        </is>
      </c>
      <c r="B329" s="29">
        <f>IF($A329="","",IFERROR(INDEX(Roster!$B$2:$B$40,MATCH($A329,Roster!$A$2:$A$40,0)),"?"))</f>
        <v/>
      </c>
      <c r="C329" s="15" t="inlineStr">
        <is>
          <t>Eagle_5</t>
        </is>
      </c>
      <c r="D329" s="29">
        <f>IF($C329="","",IFERROR(IF(INDEX(Deals!$C$2:$C$355,MATCH($C329,Deals!$A$2:$A$355,0))=0,"",INDEX(Deals!$C$2:$C$355,MATCH($C329,Deals!$A$2:$A$355,0))),"?"))</f>
        <v/>
      </c>
      <c r="E329" s="29">
        <f>IF($C329="","",IFERROR(INDEX(Deals!$F$2:$F$355,MATCH($C329,Deals!$A$2:$A$355,0)),"?"))</f>
        <v/>
      </c>
      <c r="F329" s="15" t="inlineStr">
        <is>
          <t>VP</t>
        </is>
      </c>
      <c r="G329" s="15" t="inlineStr">
        <is>
          <t>Active</t>
        </is>
      </c>
      <c r="H329" s="27" t="n"/>
      <c r="I329" s="20">
        <f>IF(OR($A329="",$G329&lt;&gt;"Active"),0,IF($H329&lt;&gt;"",$H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</f>
        <v/>
      </c>
      <c r="J329" s="23">
        <f>IF($C329="",0,IFERROR(INDEX(Deals!$H$2:$H$355,MATCH($C329,Deals!$A$2:$A$355,0)),0))</f>
        <v/>
      </c>
      <c r="K329" s="20">
        <f>IF(Settings!$B$4="Yes",$I329*$J329,$I329)</f>
        <v/>
      </c>
      <c r="L329" s="31">
        <f>IF($C329="","",IFERROR(IF(INDEX(Deals!$I$2:$I$355,MATCH($C329,Deals!$A$2:$A$355,0))=0,"",INDEX(Deals!$I$2:$I$355,MATCH($C329,Deals!$A$2:$A$355,0))),""))</f>
        <v/>
      </c>
      <c r="M329" s="31">
        <f>IF($C329="","",IFERROR(IF(INDEX(Deals!$J$2:$J$355,MATCH($C329,Deals!$A$2:$A$355,0))=0,"",INDEX(Deals!$J$2:$J$355,MATCH($C329,Deals!$A$2:$A$355,0))),""))</f>
        <v/>
      </c>
      <c r="N329" s="24">
        <f>IF($L329="",DATE(1900,1,1),$L329)</f>
        <v/>
      </c>
      <c r="O329" s="24">
        <f>IF($M329="",DATE(2100,12,31),$M329)</f>
        <v/>
      </c>
      <c r="P329" s="16" t="inlineStr">
        <is>
          <t>Ongoing</t>
        </is>
      </c>
      <c r="Q329" s="16" t="inlineStr"/>
      <c r="R329" s="29">
        <f>IF($C329="","",IFERROR(IF(INDEX(Deals!$U$2:$U$355,MATCH($C329,Deals!$A$2:$A$355,0))=0,"",INDEX(Deals!$U$2:$U$355,MATCH($C329,Deals!$A$2:$A$355,0))),""))</f>
        <v/>
      </c>
      <c r="S329" s="22">
        <f>IFERROR(IF($U329="",1,INDEX(Deals!$V$2:$V$355,MATCH($C329,Deals!$A$2:$A$355,0))),1)</f>
        <v/>
      </c>
      <c r="T329" s="22">
        <f>IFERROR(IF($U329="",1,INDEX(Deals!$W$2:$W$355,MATCH($C329,Deals!$A$2:$A$355,0))),1)</f>
        <v/>
      </c>
      <c r="U329" s="31">
        <f>IF($C329="","",IFERROR(IF(INDEX(Deals!$Y$2:$Y$355,MATCH($C329,Deals!$A$2:$A$355,0))=0,"",INDEX(Deals!$Y$2:$Y$355,MATCH($C329,Deals!$A$2:$A$355,0))),""))</f>
        <v/>
      </c>
      <c r="V329" s="24">
        <f>IF($U329="",DATE(1900,1,1),$N329)</f>
        <v/>
      </c>
      <c r="W329" s="24">
        <f>IF($U329="",DATE(2100,12,31),$U329)</f>
        <v/>
      </c>
      <c r="X329" s="20">
        <f>IF($U329="",$K329,$K329*$S329)</f>
        <v/>
      </c>
      <c r="Y329" s="24">
        <f>IF($U329="",DATE(2100,12,31),$U329+1)</f>
        <v/>
      </c>
      <c r="Z329" s="24">
        <f>IF($U329="",DATE(1900,1,1),$O329)</f>
        <v/>
      </c>
      <c r="AA329" s="20">
        <f>IF($U329="",0,$K329*$T329)</f>
        <v/>
      </c>
    </row>
    <row r="330">
      <c r="A330" s="15" t="inlineStr">
        <is>
          <t>George</t>
        </is>
      </c>
      <c r="B330" s="29">
        <f>IF($A330="","",IFERROR(INDEX(Roster!$B$2:$B$40,MATCH($A330,Roster!$A$2:$A$40,0)),"?"))</f>
        <v/>
      </c>
      <c r="C330" s="15" t="inlineStr">
        <is>
          <t>Eagle_7</t>
        </is>
      </c>
      <c r="D330" s="29">
        <f>IF($C330="","",IFERROR(IF(INDEX(Deals!$C$2:$C$355,MATCH($C330,Deals!$A$2:$A$355,0))=0,"",INDEX(Deals!$C$2:$C$355,MATCH($C330,Deals!$A$2:$A$355,0))),"?"))</f>
        <v/>
      </c>
      <c r="E330" s="29">
        <f>IF($C330="","",IFERROR(INDEX(Deals!$F$2:$F$355,MATCH($C330,Deals!$A$2:$A$355,0)),"?"))</f>
        <v/>
      </c>
      <c r="F330" s="15" t="inlineStr">
        <is>
          <t>VP</t>
        </is>
      </c>
      <c r="G330" s="15" t="inlineStr">
        <is>
          <t>Inactive</t>
        </is>
      </c>
      <c r="H330" s="27" t="n"/>
      <c r="I330" s="20">
        <f>IF(OR($A330="",$G330&lt;&gt;"Active"),0,IF($H330&lt;&gt;"",$H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</f>
        <v/>
      </c>
      <c r="J330" s="23">
        <f>IF($C330="",0,IFERROR(INDEX(Deals!$H$2:$H$355,MATCH($C330,Deals!$A$2:$A$355,0)),0))</f>
        <v/>
      </c>
      <c r="K330" s="20">
        <f>IF(Settings!$B$4="Yes",$I330*$J330,$I330)</f>
        <v/>
      </c>
      <c r="L330" s="31">
        <f>IF($C330="","",IFERROR(IF(INDEX(Deals!$I$2:$I$355,MATCH($C330,Deals!$A$2:$A$355,0))=0,"",INDEX(Deals!$I$2:$I$355,MATCH($C330,Deals!$A$2:$A$355,0))),""))</f>
        <v/>
      </c>
      <c r="M330" s="31">
        <f>IF($C330="","",IFERROR(IF(INDEX(Deals!$J$2:$J$355,MATCH($C330,Deals!$A$2:$A$355,0))=0,"",INDEX(Deals!$J$2:$J$355,MATCH($C330,Deals!$A$2:$A$355,0))),""))</f>
        <v/>
      </c>
      <c r="N330" s="24">
        <f>IF($L330="",DATE(1900,1,1),$L330)</f>
        <v/>
      </c>
      <c r="O330" s="24">
        <f>IF($M330="",DATE(2100,12,31),$M330)</f>
        <v/>
      </c>
      <c r="P330" s="16" t="inlineStr">
        <is>
          <t>Pens Down</t>
        </is>
      </c>
      <c r="Q330" s="16" t="inlineStr"/>
      <c r="R330" s="29">
        <f>IF($C330="","",IFERROR(IF(INDEX(Deals!$U$2:$U$355,MATCH($C330,Deals!$A$2:$A$355,0))=0,"",INDEX(Deals!$U$2:$U$355,MATCH($C330,Deals!$A$2:$A$355,0))),""))</f>
        <v/>
      </c>
      <c r="S330" s="22">
        <f>IFERROR(IF($U330="",1,INDEX(Deals!$V$2:$V$355,MATCH($C330,Deals!$A$2:$A$355,0))),1)</f>
        <v/>
      </c>
      <c r="T330" s="22">
        <f>IFERROR(IF($U330="",1,INDEX(Deals!$W$2:$W$355,MATCH($C330,Deals!$A$2:$A$355,0))),1)</f>
        <v/>
      </c>
      <c r="U330" s="31">
        <f>IF($C330="","",IFERROR(IF(INDEX(Deals!$Y$2:$Y$355,MATCH($C330,Deals!$A$2:$A$355,0))=0,"",INDEX(Deals!$Y$2:$Y$355,MATCH($C330,Deals!$A$2:$A$355,0))),""))</f>
        <v/>
      </c>
      <c r="V330" s="24">
        <f>IF($U330="",DATE(1900,1,1),$N330)</f>
        <v/>
      </c>
      <c r="W330" s="24">
        <f>IF($U330="",DATE(2100,12,31),$U330)</f>
        <v/>
      </c>
      <c r="X330" s="20">
        <f>IF($U330="",$K330,$K330*$S330)</f>
        <v/>
      </c>
      <c r="Y330" s="24">
        <f>IF($U330="",DATE(2100,12,31),$U330+1)</f>
        <v/>
      </c>
      <c r="Z330" s="24">
        <f>IF($U330="",DATE(1900,1,1),$O330)</f>
        <v/>
      </c>
      <c r="AA330" s="20">
        <f>IF($U330="",0,$K330*$T330)</f>
        <v/>
      </c>
    </row>
    <row r="331">
      <c r="A331" s="15" t="inlineStr">
        <is>
          <t>George</t>
        </is>
      </c>
      <c r="B331" s="29">
        <f>IF($A331="","",IFERROR(INDEX(Roster!$B$2:$B$40,MATCH($A331,Roster!$A$2:$A$40,0)),"?"))</f>
        <v/>
      </c>
      <c r="C331" s="15" t="inlineStr">
        <is>
          <t>FIRPTA_5</t>
        </is>
      </c>
      <c r="D331" s="29">
        <f>IF($C331="","",IFERROR(IF(INDEX(Deals!$C$2:$C$355,MATCH($C331,Deals!$A$2:$A$355,0))=0,"",INDEX(Deals!$C$2:$C$355,MATCH($C331,Deals!$A$2:$A$355,0))),"?"))</f>
        <v/>
      </c>
      <c r="E331" s="29">
        <f>IF($C331="","",IFERROR(INDEX(Deals!$F$2:$F$355,MATCH($C331,Deals!$A$2:$A$355,0)),"?"))</f>
        <v/>
      </c>
      <c r="F331" s="15" t="inlineStr">
        <is>
          <t>VP</t>
        </is>
      </c>
      <c r="G331" s="15" t="inlineStr">
        <is>
          <t>Active</t>
        </is>
      </c>
      <c r="H331" s="27" t="n"/>
      <c r="I331" s="20">
        <f>IF(OR($A331="",$G331&lt;&gt;"Active"),0,IF($H331&lt;&gt;"",$H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</f>
        <v/>
      </c>
      <c r="J331" s="23">
        <f>IF($C331="",0,IFERROR(INDEX(Deals!$H$2:$H$355,MATCH($C331,Deals!$A$2:$A$355,0)),0))</f>
        <v/>
      </c>
      <c r="K331" s="20">
        <f>IF(Settings!$B$4="Yes",$I331*$J331,$I331)</f>
        <v/>
      </c>
      <c r="L331" s="31">
        <f>IF($C331="","",IFERROR(IF(INDEX(Deals!$I$2:$I$355,MATCH($C331,Deals!$A$2:$A$355,0))=0,"",INDEX(Deals!$I$2:$I$355,MATCH($C331,Deals!$A$2:$A$355,0))),""))</f>
        <v/>
      </c>
      <c r="M331" s="31">
        <f>IF($C331="","",IFERROR(IF(INDEX(Deals!$J$2:$J$355,MATCH($C331,Deals!$A$2:$A$355,0))=0,"",INDEX(Deals!$J$2:$J$355,MATCH($C331,Deals!$A$2:$A$355,0))),""))</f>
        <v/>
      </c>
      <c r="N331" s="24">
        <f>IF($L331="",DATE(1900,1,1),$L331)</f>
        <v/>
      </c>
      <c r="O331" s="24">
        <f>IF($M331="",DATE(2100,12,31),$M331)</f>
        <v/>
      </c>
      <c r="P331" s="16" t="inlineStr">
        <is>
          <t>Ongoing</t>
        </is>
      </c>
      <c r="Q331" s="16" t="inlineStr"/>
      <c r="R331" s="29">
        <f>IF($C331="","",IFERROR(IF(INDEX(Deals!$U$2:$U$355,MATCH($C331,Deals!$A$2:$A$355,0))=0,"",INDEX(Deals!$U$2:$U$355,MATCH($C331,Deals!$A$2:$A$355,0))),""))</f>
        <v/>
      </c>
      <c r="S331" s="22">
        <f>IFERROR(IF($U331="",1,INDEX(Deals!$V$2:$V$355,MATCH($C331,Deals!$A$2:$A$355,0))),1)</f>
        <v/>
      </c>
      <c r="T331" s="22">
        <f>IFERROR(IF($U331="",1,INDEX(Deals!$W$2:$W$355,MATCH($C331,Deals!$A$2:$A$355,0))),1)</f>
        <v/>
      </c>
      <c r="U331" s="31">
        <f>IF($C331="","",IFERROR(IF(INDEX(Deals!$Y$2:$Y$355,MATCH($C331,Deals!$A$2:$A$355,0))=0,"",INDEX(Deals!$Y$2:$Y$355,MATCH($C331,Deals!$A$2:$A$355,0))),""))</f>
        <v/>
      </c>
      <c r="V331" s="24">
        <f>IF($U331="",DATE(1900,1,1),$N331)</f>
        <v/>
      </c>
      <c r="W331" s="24">
        <f>IF($U331="",DATE(2100,12,31),$U331)</f>
        <v/>
      </c>
      <c r="X331" s="20">
        <f>IF($U331="",$K331,$K331*$S331)</f>
        <v/>
      </c>
      <c r="Y331" s="24">
        <f>IF($U331="",DATE(2100,12,31),$U331+1)</f>
        <v/>
      </c>
      <c r="Z331" s="24">
        <f>IF($U331="",DATE(1900,1,1),$O331)</f>
        <v/>
      </c>
      <c r="AA331" s="20">
        <f>IF($U331="",0,$K331*$T331)</f>
        <v/>
      </c>
    </row>
    <row r="332">
      <c r="A332" s="15" t="inlineStr">
        <is>
          <t>George</t>
        </is>
      </c>
      <c r="B332" s="29">
        <f>IF($A332="","",IFERROR(INDEX(Roster!$B$2:$B$40,MATCH($A332,Roster!$A$2:$A$40,0)),"?"))</f>
        <v/>
      </c>
      <c r="C332" s="15" t="inlineStr">
        <is>
          <t>Fury_1</t>
        </is>
      </c>
      <c r="D332" s="29">
        <f>IF($C332="","",IFERROR(IF(INDEX(Deals!$C$2:$C$355,MATCH($C332,Deals!$A$2:$A$355,0))=0,"",INDEX(Deals!$C$2:$C$355,MATCH($C332,Deals!$A$2:$A$355,0))),"?"))</f>
        <v/>
      </c>
      <c r="E332" s="29">
        <f>IF($C332="","",IFERROR(INDEX(Deals!$F$2:$F$355,MATCH($C332,Deals!$A$2:$A$355,0)),"?"))</f>
        <v/>
      </c>
      <c r="F332" s="15" t="inlineStr">
        <is>
          <t>VP</t>
        </is>
      </c>
      <c r="G332" s="15" t="inlineStr">
        <is>
          <t>Inactive</t>
        </is>
      </c>
      <c r="H332" s="27" t="n"/>
      <c r="I332" s="20">
        <f>IF(OR($A332="",$G332&lt;&gt;"Active"),0,IF($H332&lt;&gt;"",$H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</f>
        <v/>
      </c>
      <c r="J332" s="23">
        <f>IF($C332="",0,IFERROR(INDEX(Deals!$H$2:$H$355,MATCH($C332,Deals!$A$2:$A$355,0)),0))</f>
        <v/>
      </c>
      <c r="K332" s="20">
        <f>IF(Settings!$B$4="Yes",$I332*$J332,$I332)</f>
        <v/>
      </c>
      <c r="L332" s="31">
        <f>IF($C332="","",IFERROR(IF(INDEX(Deals!$I$2:$I$355,MATCH($C332,Deals!$A$2:$A$355,0))=0,"",INDEX(Deals!$I$2:$I$355,MATCH($C332,Deals!$A$2:$A$355,0))),""))</f>
        <v/>
      </c>
      <c r="M332" s="31">
        <f>IF($C332="","",IFERROR(IF(INDEX(Deals!$J$2:$J$355,MATCH($C332,Deals!$A$2:$A$355,0))=0,"",INDEX(Deals!$J$2:$J$355,MATCH($C332,Deals!$A$2:$A$355,0))),""))</f>
        <v/>
      </c>
      <c r="N332" s="24">
        <f>IF($L332="",DATE(1900,1,1),$L332)</f>
        <v/>
      </c>
      <c r="O332" s="24">
        <f>IF($M332="",DATE(2100,12,31),$M332)</f>
        <v/>
      </c>
      <c r="P332" s="16" t="inlineStr">
        <is>
          <t>Closed</t>
        </is>
      </c>
      <c r="Q332" s="16" t="inlineStr"/>
      <c r="R332" s="29">
        <f>IF($C332="","",IFERROR(IF(INDEX(Deals!$U$2:$U$355,MATCH($C332,Deals!$A$2:$A$355,0))=0,"",INDEX(Deals!$U$2:$U$355,MATCH($C332,Deals!$A$2:$A$355,0))),""))</f>
        <v/>
      </c>
      <c r="S332" s="22">
        <f>IFERROR(IF($U332="",1,INDEX(Deals!$V$2:$V$355,MATCH($C332,Deals!$A$2:$A$355,0))),1)</f>
        <v/>
      </c>
      <c r="T332" s="22">
        <f>IFERROR(IF($U332="",1,INDEX(Deals!$W$2:$W$355,MATCH($C332,Deals!$A$2:$A$355,0))),1)</f>
        <v/>
      </c>
      <c r="U332" s="31">
        <f>IF($C332="","",IFERROR(IF(INDEX(Deals!$Y$2:$Y$355,MATCH($C332,Deals!$A$2:$A$355,0))=0,"",INDEX(Deals!$Y$2:$Y$355,MATCH($C332,Deals!$A$2:$A$355,0))),""))</f>
        <v/>
      </c>
      <c r="V332" s="24">
        <f>IF($U332="",DATE(1900,1,1),$N332)</f>
        <v/>
      </c>
      <c r="W332" s="24">
        <f>IF($U332="",DATE(2100,12,31),$U332)</f>
        <v/>
      </c>
      <c r="X332" s="20">
        <f>IF($U332="",$K332,$K332*$S332)</f>
        <v/>
      </c>
      <c r="Y332" s="24">
        <f>IF($U332="",DATE(2100,12,31),$U332+1)</f>
        <v/>
      </c>
      <c r="Z332" s="24">
        <f>IF($U332="",DATE(1900,1,1),$O332)</f>
        <v/>
      </c>
      <c r="AA332" s="20">
        <f>IF($U332="",0,$K332*$T332)</f>
        <v/>
      </c>
    </row>
    <row r="333">
      <c r="A333" s="15" t="inlineStr">
        <is>
          <t>George</t>
        </is>
      </c>
      <c r="B333" s="29">
        <f>IF($A333="","",IFERROR(INDEX(Roster!$B$2:$B$40,MATCH($A333,Roster!$A$2:$A$40,0)),"?"))</f>
        <v/>
      </c>
      <c r="C333" s="15" t="inlineStr">
        <is>
          <t>Geneseo_1</t>
        </is>
      </c>
      <c r="D333" s="29">
        <f>IF($C333="","",IFERROR(IF(INDEX(Deals!$C$2:$C$355,MATCH($C333,Deals!$A$2:$A$355,0))=0,"",INDEX(Deals!$C$2:$C$355,MATCH($C333,Deals!$A$2:$A$355,0))),"?"))</f>
        <v/>
      </c>
      <c r="E333" s="29">
        <f>IF($C333="","",IFERROR(INDEX(Deals!$F$2:$F$355,MATCH($C333,Deals!$A$2:$A$355,0)),"?"))</f>
        <v/>
      </c>
      <c r="F333" s="15" t="inlineStr">
        <is>
          <t>VP</t>
        </is>
      </c>
      <c r="G333" s="15" t="inlineStr">
        <is>
          <t>Active</t>
        </is>
      </c>
      <c r="H333" s="27" t="n"/>
      <c r="I333" s="20">
        <f>IF(OR($A333="",$G333&lt;&gt;"Active"),0,IF($H333&lt;&gt;"",$H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</f>
        <v/>
      </c>
      <c r="J333" s="23">
        <f>IF($C333="",0,IFERROR(INDEX(Deals!$H$2:$H$355,MATCH($C333,Deals!$A$2:$A$355,0)),0))</f>
        <v/>
      </c>
      <c r="K333" s="20">
        <f>IF(Settings!$B$4="Yes",$I333*$J333,$I333)</f>
        <v/>
      </c>
      <c r="L333" s="31">
        <f>IF($C333="","",IFERROR(IF(INDEX(Deals!$I$2:$I$355,MATCH($C333,Deals!$A$2:$A$355,0))=0,"",INDEX(Deals!$I$2:$I$355,MATCH($C333,Deals!$A$2:$A$355,0))),""))</f>
        <v/>
      </c>
      <c r="M333" s="31">
        <f>IF($C333="","",IFERROR(IF(INDEX(Deals!$J$2:$J$355,MATCH($C333,Deals!$A$2:$A$355,0))=0,"",INDEX(Deals!$J$2:$J$355,MATCH($C333,Deals!$A$2:$A$355,0))),""))</f>
        <v/>
      </c>
      <c r="N333" s="24">
        <f>IF($L333="",DATE(1900,1,1),$L333)</f>
        <v/>
      </c>
      <c r="O333" s="24">
        <f>IF($M333="",DATE(2100,12,31),$M333)</f>
        <v/>
      </c>
      <c r="P333" s="16" t="inlineStr">
        <is>
          <t>TDD done / Structuring Ongoing</t>
        </is>
      </c>
      <c r="Q333" s="16" t="inlineStr"/>
      <c r="R333" s="29">
        <f>IF($C333="","",IFERROR(IF(INDEX(Deals!$U$2:$U$355,MATCH($C333,Deals!$A$2:$A$355,0))=0,"",INDEX(Deals!$U$2:$U$355,MATCH($C333,Deals!$A$2:$A$355,0))),""))</f>
        <v/>
      </c>
      <c r="S333" s="22">
        <f>IFERROR(IF($U333="",1,INDEX(Deals!$V$2:$V$355,MATCH($C333,Deals!$A$2:$A$355,0))),1)</f>
        <v/>
      </c>
      <c r="T333" s="22">
        <f>IFERROR(IF($U333="",1,INDEX(Deals!$W$2:$W$355,MATCH($C333,Deals!$A$2:$A$355,0))),1)</f>
        <v/>
      </c>
      <c r="U333" s="31">
        <f>IF($C333="","",IFERROR(IF(INDEX(Deals!$Y$2:$Y$355,MATCH($C333,Deals!$A$2:$A$355,0))=0,"",INDEX(Deals!$Y$2:$Y$355,MATCH($C333,Deals!$A$2:$A$355,0))),""))</f>
        <v/>
      </c>
      <c r="V333" s="24">
        <f>IF($U333="",DATE(1900,1,1),$N333)</f>
        <v/>
      </c>
      <c r="W333" s="24">
        <f>IF($U333="",DATE(2100,12,31),$U333)</f>
        <v/>
      </c>
      <c r="X333" s="20">
        <f>IF($U333="",$K333,$K333*$S333)</f>
        <v/>
      </c>
      <c r="Y333" s="24">
        <f>IF($U333="",DATE(2100,12,31),$U333+1)</f>
        <v/>
      </c>
      <c r="Z333" s="24">
        <f>IF($U333="",DATE(1900,1,1),$O333)</f>
        <v/>
      </c>
      <c r="AA333" s="20">
        <f>IF($U333="",0,$K333*$T333)</f>
        <v/>
      </c>
    </row>
    <row r="334">
      <c r="A334" s="15" t="inlineStr">
        <is>
          <t>George</t>
        </is>
      </c>
      <c r="B334" s="29">
        <f>IF($A334="","",IFERROR(INDEX(Roster!$B$2:$B$40,MATCH($A334,Roster!$A$2:$A$40,0)),"?"))</f>
        <v/>
      </c>
      <c r="C334" s="15" t="inlineStr">
        <is>
          <t>Horizon_3</t>
        </is>
      </c>
      <c r="D334" s="29">
        <f>IF($C334="","",IFERROR(IF(INDEX(Deals!$C$2:$C$355,MATCH($C334,Deals!$A$2:$A$355,0))=0,"",INDEX(Deals!$C$2:$C$355,MATCH($C334,Deals!$A$2:$A$355,0))),"?"))</f>
        <v/>
      </c>
      <c r="E334" s="29">
        <f>IF($C334="","",IFERROR(INDEX(Deals!$F$2:$F$355,MATCH($C334,Deals!$A$2:$A$355,0)),"?"))</f>
        <v/>
      </c>
      <c r="F334" s="15" t="inlineStr">
        <is>
          <t>VP</t>
        </is>
      </c>
      <c r="G334" s="15" t="inlineStr">
        <is>
          <t>Inactive</t>
        </is>
      </c>
      <c r="H334" s="27" t="n"/>
      <c r="I334" s="20">
        <f>IF(OR($A334="",$G334&lt;&gt;"Active"),0,IF($H334&lt;&gt;"",$H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</f>
        <v/>
      </c>
      <c r="J334" s="23">
        <f>IF($C334="",0,IFERROR(INDEX(Deals!$H$2:$H$355,MATCH($C334,Deals!$A$2:$A$355,0)),0))</f>
        <v/>
      </c>
      <c r="K334" s="20">
        <f>IF(Settings!$B$4="Yes",$I334*$J334,$I334)</f>
        <v/>
      </c>
      <c r="L334" s="31">
        <f>IF($C334="","",IFERROR(IF(INDEX(Deals!$I$2:$I$355,MATCH($C334,Deals!$A$2:$A$355,0))=0,"",INDEX(Deals!$I$2:$I$355,MATCH($C334,Deals!$A$2:$A$355,0))),""))</f>
        <v/>
      </c>
      <c r="M334" s="31">
        <f>IF($C334="","",IFERROR(IF(INDEX(Deals!$J$2:$J$355,MATCH($C334,Deals!$A$2:$A$355,0))=0,"",INDEX(Deals!$J$2:$J$355,MATCH($C334,Deals!$A$2:$A$355,0))),""))</f>
        <v/>
      </c>
      <c r="N334" s="24">
        <f>IF($L334="",DATE(1900,1,1),$L334)</f>
        <v/>
      </c>
      <c r="O334" s="24">
        <f>IF($M334="",DATE(2100,12,31),$M334)</f>
        <v/>
      </c>
      <c r="P334" s="16" t="inlineStr">
        <is>
          <t>Dead</t>
        </is>
      </c>
      <c r="Q334" s="16" t="inlineStr"/>
      <c r="R334" s="29">
        <f>IF($C334="","",IFERROR(IF(INDEX(Deals!$U$2:$U$355,MATCH($C334,Deals!$A$2:$A$355,0))=0,"",INDEX(Deals!$U$2:$U$355,MATCH($C334,Deals!$A$2:$A$355,0))),""))</f>
        <v/>
      </c>
      <c r="S334" s="22">
        <f>IFERROR(IF($U334="",1,INDEX(Deals!$V$2:$V$355,MATCH($C334,Deals!$A$2:$A$355,0))),1)</f>
        <v/>
      </c>
      <c r="T334" s="22">
        <f>IFERROR(IF($U334="",1,INDEX(Deals!$W$2:$W$355,MATCH($C334,Deals!$A$2:$A$355,0))),1)</f>
        <v/>
      </c>
      <c r="U334" s="31">
        <f>IF($C334="","",IFERROR(IF(INDEX(Deals!$Y$2:$Y$355,MATCH($C334,Deals!$A$2:$A$355,0))=0,"",INDEX(Deals!$Y$2:$Y$355,MATCH($C334,Deals!$A$2:$A$355,0))),""))</f>
        <v/>
      </c>
      <c r="V334" s="24">
        <f>IF($U334="",DATE(1900,1,1),$N334)</f>
        <v/>
      </c>
      <c r="W334" s="24">
        <f>IF($U334="",DATE(2100,12,31),$U334)</f>
        <v/>
      </c>
      <c r="X334" s="20">
        <f>IF($U334="",$K334,$K334*$S334)</f>
        <v/>
      </c>
      <c r="Y334" s="24">
        <f>IF($U334="",DATE(2100,12,31),$U334+1)</f>
        <v/>
      </c>
      <c r="Z334" s="24">
        <f>IF($U334="",DATE(1900,1,1),$O334)</f>
        <v/>
      </c>
      <c r="AA334" s="20">
        <f>IF($U334="",0,$K334*$T334)</f>
        <v/>
      </c>
    </row>
    <row r="335">
      <c r="A335" s="15" t="inlineStr">
        <is>
          <t>George</t>
        </is>
      </c>
      <c r="B335" s="29">
        <f>IF($A335="","",IFERROR(INDEX(Roster!$B$2:$B$40,MATCH($A335,Roster!$A$2:$A$40,0)),"?"))</f>
        <v/>
      </c>
      <c r="C335" s="15" t="inlineStr">
        <is>
          <t>Instinct_1</t>
        </is>
      </c>
      <c r="D335" s="29">
        <f>IF($C335="","",IFERROR(IF(INDEX(Deals!$C$2:$C$355,MATCH($C335,Deals!$A$2:$A$355,0))=0,"",INDEX(Deals!$C$2:$C$355,MATCH($C335,Deals!$A$2:$A$355,0))),"?"))</f>
        <v/>
      </c>
      <c r="E335" s="29">
        <f>IF($C335="","",IFERROR(INDEX(Deals!$F$2:$F$355,MATCH($C335,Deals!$A$2:$A$355,0)),"?"))</f>
        <v/>
      </c>
      <c r="F335" s="15" t="inlineStr">
        <is>
          <t>VP</t>
        </is>
      </c>
      <c r="G335" s="15" t="inlineStr">
        <is>
          <t>Active</t>
        </is>
      </c>
      <c r="H335" s="27" t="n"/>
      <c r="I335" s="20">
        <f>IF(OR($A335="",$G335&lt;&gt;"Active"),0,IF($H335&lt;&gt;"",$H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</f>
        <v/>
      </c>
      <c r="J335" s="23">
        <f>IF($C335="",0,IFERROR(INDEX(Deals!$H$2:$H$355,MATCH($C335,Deals!$A$2:$A$355,0)),0))</f>
        <v/>
      </c>
      <c r="K335" s="20">
        <f>IF(Settings!$B$4="Yes",$I335*$J335,$I335)</f>
        <v/>
      </c>
      <c r="L335" s="31">
        <f>IF($C335="","",IFERROR(IF(INDEX(Deals!$I$2:$I$355,MATCH($C335,Deals!$A$2:$A$355,0))=0,"",INDEX(Deals!$I$2:$I$355,MATCH($C335,Deals!$A$2:$A$355,0))),""))</f>
        <v/>
      </c>
      <c r="M335" s="31">
        <f>IF($C335="","",IFERROR(IF(INDEX(Deals!$J$2:$J$355,MATCH($C335,Deals!$A$2:$A$355,0))=0,"",INDEX(Deals!$J$2:$J$355,MATCH($C335,Deals!$A$2:$A$355,0))),""))</f>
        <v/>
      </c>
      <c r="N335" s="24">
        <f>IF($L335="",DATE(1900,1,1),$L335)</f>
        <v/>
      </c>
      <c r="O335" s="24">
        <f>IF($M335="",DATE(2100,12,31),$M335)</f>
        <v/>
      </c>
      <c r="P335" s="16" t="inlineStr">
        <is>
          <t>Ongoing</t>
        </is>
      </c>
      <c r="Q335" s="16" t="inlineStr">
        <is>
          <t>Added from Summary tab</t>
        </is>
      </c>
      <c r="R335" s="29">
        <f>IF($C335="","",IFERROR(IF(INDEX(Deals!$U$2:$U$355,MATCH($C335,Deals!$A$2:$A$355,0))=0,"",INDEX(Deals!$U$2:$U$355,MATCH($C335,Deals!$A$2:$A$355,0))),""))</f>
        <v/>
      </c>
      <c r="S335" s="22">
        <f>IFERROR(IF($U335="",1,INDEX(Deals!$V$2:$V$355,MATCH($C335,Deals!$A$2:$A$355,0))),1)</f>
        <v/>
      </c>
      <c r="T335" s="22">
        <f>IFERROR(IF($U335="",1,INDEX(Deals!$W$2:$W$355,MATCH($C335,Deals!$A$2:$A$355,0))),1)</f>
        <v/>
      </c>
      <c r="U335" s="31">
        <f>IF($C335="","",IFERROR(IF(INDEX(Deals!$Y$2:$Y$355,MATCH($C335,Deals!$A$2:$A$355,0))=0,"",INDEX(Deals!$Y$2:$Y$355,MATCH($C335,Deals!$A$2:$A$355,0))),""))</f>
        <v/>
      </c>
      <c r="V335" s="24">
        <f>IF($U335="",DATE(1900,1,1),$N335)</f>
        <v/>
      </c>
      <c r="W335" s="24">
        <f>IF($U335="",DATE(2100,12,31),$U335)</f>
        <v/>
      </c>
      <c r="X335" s="20">
        <f>IF($U335="",$K335,$K335*$S335)</f>
        <v/>
      </c>
      <c r="Y335" s="24">
        <f>IF($U335="",DATE(2100,12,31),$U335+1)</f>
        <v/>
      </c>
      <c r="Z335" s="24">
        <f>IF($U335="",DATE(1900,1,1),$O335)</f>
        <v/>
      </c>
      <c r="AA335" s="20">
        <f>IF($U335="",0,$K335*$T335)</f>
        <v/>
      </c>
    </row>
    <row r="336">
      <c r="A336" s="15" t="inlineStr">
        <is>
          <t>George</t>
        </is>
      </c>
      <c r="B336" s="29">
        <f>IF($A336="","",IFERROR(INDEX(Roster!$B$2:$B$40,MATCH($A336,Roster!$A$2:$A$40,0)),"?"))</f>
        <v/>
      </c>
      <c r="C336" s="15" t="inlineStr">
        <is>
          <t>Manchester_1</t>
        </is>
      </c>
      <c r="D336" s="29">
        <f>IF($C336="","",IFERROR(IF(INDEX(Deals!$C$2:$C$355,MATCH($C336,Deals!$A$2:$A$355,0))=0,"",INDEX(Deals!$C$2:$C$355,MATCH($C336,Deals!$A$2:$A$355,0))),"?"))</f>
        <v/>
      </c>
      <c r="E336" s="29">
        <f>IF($C336="","",IFERROR(INDEX(Deals!$F$2:$F$355,MATCH($C336,Deals!$A$2:$A$355,0)),"?"))</f>
        <v/>
      </c>
      <c r="F336" s="15" t="inlineStr">
        <is>
          <t>VP</t>
        </is>
      </c>
      <c r="G336" s="15" t="inlineStr">
        <is>
          <t>Active</t>
        </is>
      </c>
      <c r="H336" s="27" t="n"/>
      <c r="I336" s="20">
        <f>IF(OR($A336="",$G336&lt;&gt;"Active"),0,IF($H336&lt;&gt;"",$H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</f>
        <v/>
      </c>
      <c r="J336" s="23">
        <f>IF($C336="",0,IFERROR(INDEX(Deals!$H$2:$H$355,MATCH($C336,Deals!$A$2:$A$355,0)),0))</f>
        <v/>
      </c>
      <c r="K336" s="20">
        <f>IF(Settings!$B$4="Yes",$I336*$J336,$I336)</f>
        <v/>
      </c>
      <c r="L336" s="31">
        <f>IF($C336="","",IFERROR(IF(INDEX(Deals!$I$2:$I$355,MATCH($C336,Deals!$A$2:$A$355,0))=0,"",INDEX(Deals!$I$2:$I$355,MATCH($C336,Deals!$A$2:$A$355,0))),""))</f>
        <v/>
      </c>
      <c r="M336" s="31">
        <f>IF($C336="","",IFERROR(IF(INDEX(Deals!$J$2:$J$355,MATCH($C336,Deals!$A$2:$A$355,0))=0,"",INDEX(Deals!$J$2:$J$355,MATCH($C336,Deals!$A$2:$A$355,0))),""))</f>
        <v/>
      </c>
      <c r="N336" s="24">
        <f>IF($L336="",DATE(1900,1,1),$L336)</f>
        <v/>
      </c>
      <c r="O336" s="24">
        <f>IF($M336="",DATE(2100,12,31),$M336)</f>
        <v/>
      </c>
      <c r="P336" s="16" t="inlineStr">
        <is>
          <t>Ongoing</t>
        </is>
      </c>
      <c r="Q336" s="16" t="inlineStr">
        <is>
          <t>Added from Summary tab</t>
        </is>
      </c>
      <c r="R336" s="29">
        <f>IF($C336="","",IFERROR(IF(INDEX(Deals!$U$2:$U$355,MATCH($C336,Deals!$A$2:$A$355,0))=0,"",INDEX(Deals!$U$2:$U$355,MATCH($C336,Deals!$A$2:$A$355,0))),""))</f>
        <v/>
      </c>
      <c r="S336" s="22">
        <f>IFERROR(IF($U336="",1,INDEX(Deals!$V$2:$V$355,MATCH($C336,Deals!$A$2:$A$355,0))),1)</f>
        <v/>
      </c>
      <c r="T336" s="22">
        <f>IFERROR(IF($U336="",1,INDEX(Deals!$W$2:$W$355,MATCH($C336,Deals!$A$2:$A$355,0))),1)</f>
        <v/>
      </c>
      <c r="U336" s="31">
        <f>IF($C336="","",IFERROR(IF(INDEX(Deals!$Y$2:$Y$355,MATCH($C336,Deals!$A$2:$A$355,0))=0,"",INDEX(Deals!$Y$2:$Y$355,MATCH($C336,Deals!$A$2:$A$355,0))),""))</f>
        <v/>
      </c>
      <c r="V336" s="24">
        <f>IF($U336="",DATE(1900,1,1),$N336)</f>
        <v/>
      </c>
      <c r="W336" s="24">
        <f>IF($U336="",DATE(2100,12,31),$U336)</f>
        <v/>
      </c>
      <c r="X336" s="20">
        <f>IF($U336="",$K336,$K336*$S336)</f>
        <v/>
      </c>
      <c r="Y336" s="24">
        <f>IF($U336="",DATE(2100,12,31),$U336+1)</f>
        <v/>
      </c>
      <c r="Z336" s="24">
        <f>IF($U336="",DATE(1900,1,1),$O336)</f>
        <v/>
      </c>
      <c r="AA336" s="20">
        <f>IF($U336="",0,$K336*$T336)</f>
        <v/>
      </c>
    </row>
    <row r="337">
      <c r="A337" s="15" t="inlineStr">
        <is>
          <t>George</t>
        </is>
      </c>
      <c r="B337" s="29">
        <f>IF($A337="","",IFERROR(INDEX(Roster!$B$2:$B$40,MATCH($A337,Roster!$A$2:$A$40,0)),"?"))</f>
        <v/>
      </c>
      <c r="C337" s="15" t="inlineStr">
        <is>
          <t>MIF_1</t>
        </is>
      </c>
      <c r="D337" s="29">
        <f>IF($C337="","",IFERROR(IF(INDEX(Deals!$C$2:$C$355,MATCH($C337,Deals!$A$2:$A$355,0))=0,"",INDEX(Deals!$C$2:$C$355,MATCH($C337,Deals!$A$2:$A$355,0))),"?"))</f>
        <v/>
      </c>
      <c r="E337" s="29">
        <f>IF($C337="","",IFERROR(INDEX(Deals!$F$2:$F$355,MATCH($C337,Deals!$A$2:$A$355,0)),"?"))</f>
        <v/>
      </c>
      <c r="F337" s="15" t="inlineStr">
        <is>
          <t>VP</t>
        </is>
      </c>
      <c r="G337" s="15" t="inlineStr">
        <is>
          <t>Active</t>
        </is>
      </c>
      <c r="H337" s="27" t="n"/>
      <c r="I337" s="20">
        <f>IF(OR($A337="",$G337&lt;&gt;"Active"),0,IF($H337&lt;&gt;"",$H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</f>
        <v/>
      </c>
      <c r="J337" s="23">
        <f>IF($C337="",0,IFERROR(INDEX(Deals!$H$2:$H$355,MATCH($C337,Deals!$A$2:$A$355,0)),0))</f>
        <v/>
      </c>
      <c r="K337" s="20">
        <f>IF(Settings!$B$4="Yes",$I337*$J337,$I337)</f>
        <v/>
      </c>
      <c r="L337" s="31">
        <f>IF($C337="","",IFERROR(IF(INDEX(Deals!$I$2:$I$355,MATCH($C337,Deals!$A$2:$A$355,0))=0,"",INDEX(Deals!$I$2:$I$355,MATCH($C337,Deals!$A$2:$A$355,0))),""))</f>
        <v/>
      </c>
      <c r="M337" s="31">
        <f>IF($C337="","",IFERROR(IF(INDEX(Deals!$J$2:$J$355,MATCH($C337,Deals!$A$2:$A$355,0))=0,"",INDEX(Deals!$J$2:$J$355,MATCH($C337,Deals!$A$2:$A$355,0))),""))</f>
        <v/>
      </c>
      <c r="N337" s="24">
        <f>IF($L337="",DATE(1900,1,1),$L337)</f>
        <v/>
      </c>
      <c r="O337" s="24">
        <f>IF($M337="",DATE(2100,12,31),$M337)</f>
        <v/>
      </c>
      <c r="P337" s="16" t="inlineStr">
        <is>
          <t>Closing</t>
        </is>
      </c>
      <c r="Q337" s="16" t="inlineStr"/>
      <c r="R337" s="29">
        <f>IF($C337="","",IFERROR(IF(INDEX(Deals!$U$2:$U$355,MATCH($C337,Deals!$A$2:$A$355,0))=0,"",INDEX(Deals!$U$2:$U$355,MATCH($C337,Deals!$A$2:$A$355,0))),""))</f>
        <v/>
      </c>
      <c r="S337" s="22">
        <f>IFERROR(IF($U337="",1,INDEX(Deals!$V$2:$V$355,MATCH($C337,Deals!$A$2:$A$355,0))),1)</f>
        <v/>
      </c>
      <c r="T337" s="22">
        <f>IFERROR(IF($U337="",1,INDEX(Deals!$W$2:$W$355,MATCH($C337,Deals!$A$2:$A$355,0))),1)</f>
        <v/>
      </c>
      <c r="U337" s="31">
        <f>IF($C337="","",IFERROR(IF(INDEX(Deals!$Y$2:$Y$355,MATCH($C337,Deals!$A$2:$A$355,0))=0,"",INDEX(Deals!$Y$2:$Y$355,MATCH($C337,Deals!$A$2:$A$355,0))),""))</f>
        <v/>
      </c>
      <c r="V337" s="24">
        <f>IF($U337="",DATE(1900,1,1),$N337)</f>
        <v/>
      </c>
      <c r="W337" s="24">
        <f>IF($U337="",DATE(2100,12,31),$U337)</f>
        <v/>
      </c>
      <c r="X337" s="20">
        <f>IF($U337="",$K337,$K337*$S337)</f>
        <v/>
      </c>
      <c r="Y337" s="24">
        <f>IF($U337="",DATE(2100,12,31),$U337+1)</f>
        <v/>
      </c>
      <c r="Z337" s="24">
        <f>IF($U337="",DATE(1900,1,1),$O337)</f>
        <v/>
      </c>
      <c r="AA337" s="20">
        <f>IF($U337="",0,$K337*$T337)</f>
        <v/>
      </c>
    </row>
    <row r="338">
      <c r="A338" s="15" t="inlineStr">
        <is>
          <t>George</t>
        </is>
      </c>
      <c r="B338" s="29">
        <f>IF($A338="","",IFERROR(INDEX(Roster!$B$2:$B$40,MATCH($A338,Roster!$A$2:$A$40,0)),"?"))</f>
        <v/>
      </c>
      <c r="C338" s="15" t="inlineStr">
        <is>
          <t>MIP_1</t>
        </is>
      </c>
      <c r="D338" s="29">
        <f>IF($C338="","",IFERROR(IF(INDEX(Deals!$C$2:$C$355,MATCH($C338,Deals!$A$2:$A$355,0))=0,"",INDEX(Deals!$C$2:$C$355,MATCH($C338,Deals!$A$2:$A$355,0))),"?"))</f>
        <v/>
      </c>
      <c r="E338" s="29">
        <f>IF($C338="","",IFERROR(INDEX(Deals!$F$2:$F$355,MATCH($C338,Deals!$A$2:$A$355,0)),"?"))</f>
        <v/>
      </c>
      <c r="F338" s="15" t="inlineStr">
        <is>
          <t>VP</t>
        </is>
      </c>
      <c r="G338" s="15" t="inlineStr">
        <is>
          <t>Active</t>
        </is>
      </c>
      <c r="H338" s="27" t="n"/>
      <c r="I338" s="20">
        <f>IF(OR($A338="",$G338&lt;&gt;"Active"),0,IF($H338&lt;&gt;"",$H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</f>
        <v/>
      </c>
      <c r="J338" s="23">
        <f>IF($C338="",0,IFERROR(INDEX(Deals!$H$2:$H$355,MATCH($C338,Deals!$A$2:$A$355,0)),0))</f>
        <v/>
      </c>
      <c r="K338" s="20">
        <f>IF(Settings!$B$4="Yes",$I338*$J338,$I338)</f>
        <v/>
      </c>
      <c r="L338" s="31">
        <f>IF($C338="","",IFERROR(IF(INDEX(Deals!$I$2:$I$355,MATCH($C338,Deals!$A$2:$A$355,0))=0,"",INDEX(Deals!$I$2:$I$355,MATCH($C338,Deals!$A$2:$A$355,0))),""))</f>
        <v/>
      </c>
      <c r="M338" s="31">
        <f>IF($C338="","",IFERROR(IF(INDEX(Deals!$J$2:$J$355,MATCH($C338,Deals!$A$2:$A$355,0))=0,"",INDEX(Deals!$J$2:$J$355,MATCH($C338,Deals!$A$2:$A$355,0))),""))</f>
        <v/>
      </c>
      <c r="N338" s="24">
        <f>IF($L338="",DATE(1900,1,1),$L338)</f>
        <v/>
      </c>
      <c r="O338" s="24">
        <f>IF($M338="",DATE(2100,12,31),$M338)</f>
        <v/>
      </c>
      <c r="P338" s="16" t="inlineStr">
        <is>
          <t>Ongoing</t>
        </is>
      </c>
      <c r="Q338" s="16" t="inlineStr"/>
      <c r="R338" s="29">
        <f>IF($C338="","",IFERROR(IF(INDEX(Deals!$U$2:$U$355,MATCH($C338,Deals!$A$2:$A$355,0))=0,"",INDEX(Deals!$U$2:$U$355,MATCH($C338,Deals!$A$2:$A$355,0))),""))</f>
        <v/>
      </c>
      <c r="S338" s="22">
        <f>IFERROR(IF($U338="",1,INDEX(Deals!$V$2:$V$355,MATCH($C338,Deals!$A$2:$A$355,0))),1)</f>
        <v/>
      </c>
      <c r="T338" s="22">
        <f>IFERROR(IF($U338="",1,INDEX(Deals!$W$2:$W$355,MATCH($C338,Deals!$A$2:$A$355,0))),1)</f>
        <v/>
      </c>
      <c r="U338" s="31">
        <f>IF($C338="","",IFERROR(IF(INDEX(Deals!$Y$2:$Y$355,MATCH($C338,Deals!$A$2:$A$355,0))=0,"",INDEX(Deals!$Y$2:$Y$355,MATCH($C338,Deals!$A$2:$A$355,0))),""))</f>
        <v/>
      </c>
      <c r="V338" s="24">
        <f>IF($U338="",DATE(1900,1,1),$N338)</f>
        <v/>
      </c>
      <c r="W338" s="24">
        <f>IF($U338="",DATE(2100,12,31),$U338)</f>
        <v/>
      </c>
      <c r="X338" s="20">
        <f>IF($U338="",$K338,$K338*$S338)</f>
        <v/>
      </c>
      <c r="Y338" s="24">
        <f>IF($U338="",DATE(2100,12,31),$U338+1)</f>
        <v/>
      </c>
      <c r="Z338" s="24">
        <f>IF($U338="",DATE(1900,1,1),$O338)</f>
        <v/>
      </c>
      <c r="AA338" s="20">
        <f>IF($U338="",0,$K338*$T338)</f>
        <v/>
      </c>
    </row>
    <row r="339">
      <c r="A339" s="15" t="inlineStr">
        <is>
          <t>George</t>
        </is>
      </c>
      <c r="B339" s="29">
        <f>IF($A339="","",IFERROR(INDEX(Roster!$B$2:$B$40,MATCH($A339,Roster!$A$2:$A$40,0)),"?"))</f>
        <v/>
      </c>
      <c r="C339" s="15" t="inlineStr">
        <is>
          <t>Orca_1</t>
        </is>
      </c>
      <c r="D339" s="29">
        <f>IF($C339="","",IFERROR(IF(INDEX(Deals!$C$2:$C$355,MATCH($C339,Deals!$A$2:$A$355,0))=0,"",INDEX(Deals!$C$2:$C$355,MATCH($C339,Deals!$A$2:$A$355,0))),"?"))</f>
        <v/>
      </c>
      <c r="E339" s="29">
        <f>IF($C339="","",IFERROR(INDEX(Deals!$F$2:$F$355,MATCH($C339,Deals!$A$2:$A$355,0)),"?"))</f>
        <v/>
      </c>
      <c r="F339" s="15" t="inlineStr">
        <is>
          <t>VP</t>
        </is>
      </c>
      <c r="G339" s="15" t="inlineStr">
        <is>
          <t>Inactive</t>
        </is>
      </c>
      <c r="H339" s="27" t="n"/>
      <c r="I339" s="20">
        <f>IF(OR($A339="",$G339&lt;&gt;"Active"),0,IF($H339&lt;&gt;"",$H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</f>
        <v/>
      </c>
      <c r="J339" s="23">
        <f>IF($C339="",0,IFERROR(INDEX(Deals!$H$2:$H$355,MATCH($C339,Deals!$A$2:$A$355,0)),0))</f>
        <v/>
      </c>
      <c r="K339" s="20">
        <f>IF(Settings!$B$4="Yes",$I339*$J339,$I339)</f>
        <v/>
      </c>
      <c r="L339" s="31">
        <f>IF($C339="","",IFERROR(IF(INDEX(Deals!$I$2:$I$355,MATCH($C339,Deals!$A$2:$A$355,0))=0,"",INDEX(Deals!$I$2:$I$355,MATCH($C339,Deals!$A$2:$A$355,0))),""))</f>
        <v/>
      </c>
      <c r="M339" s="31">
        <f>IF($C339="","",IFERROR(IF(INDEX(Deals!$J$2:$J$355,MATCH($C339,Deals!$A$2:$A$355,0))=0,"",INDEX(Deals!$J$2:$J$355,MATCH($C339,Deals!$A$2:$A$355,0))),""))</f>
        <v/>
      </c>
      <c r="N339" s="24">
        <f>IF($L339="",DATE(1900,1,1),$L339)</f>
        <v/>
      </c>
      <c r="O339" s="24">
        <f>IF($M339="",DATE(2100,12,31),$M339)</f>
        <v/>
      </c>
      <c r="P339" s="16" t="inlineStr">
        <is>
          <t>Dead</t>
        </is>
      </c>
      <c r="Q339" s="16" t="inlineStr"/>
      <c r="R339" s="29">
        <f>IF($C339="","",IFERROR(IF(INDEX(Deals!$U$2:$U$355,MATCH($C339,Deals!$A$2:$A$355,0))=0,"",INDEX(Deals!$U$2:$U$355,MATCH($C339,Deals!$A$2:$A$355,0))),""))</f>
        <v/>
      </c>
      <c r="S339" s="22">
        <f>IFERROR(IF($U339="",1,INDEX(Deals!$V$2:$V$355,MATCH($C339,Deals!$A$2:$A$355,0))),1)</f>
        <v/>
      </c>
      <c r="T339" s="22">
        <f>IFERROR(IF($U339="",1,INDEX(Deals!$W$2:$W$355,MATCH($C339,Deals!$A$2:$A$355,0))),1)</f>
        <v/>
      </c>
      <c r="U339" s="31">
        <f>IF($C339="","",IFERROR(IF(INDEX(Deals!$Y$2:$Y$355,MATCH($C339,Deals!$A$2:$A$355,0))=0,"",INDEX(Deals!$Y$2:$Y$355,MATCH($C339,Deals!$A$2:$A$355,0))),""))</f>
        <v/>
      </c>
      <c r="V339" s="24">
        <f>IF($U339="",DATE(1900,1,1),$N339)</f>
        <v/>
      </c>
      <c r="W339" s="24">
        <f>IF($U339="",DATE(2100,12,31),$U339)</f>
        <v/>
      </c>
      <c r="X339" s="20">
        <f>IF($U339="",$K339,$K339*$S339)</f>
        <v/>
      </c>
      <c r="Y339" s="24">
        <f>IF($U339="",DATE(2100,12,31),$U339+1)</f>
        <v/>
      </c>
      <c r="Z339" s="24">
        <f>IF($U339="",DATE(1900,1,1),$O339)</f>
        <v/>
      </c>
      <c r="AA339" s="20">
        <f>IF($U339="",0,$K339*$T339)</f>
        <v/>
      </c>
    </row>
    <row r="340">
      <c r="A340" s="15" t="inlineStr">
        <is>
          <t>George</t>
        </is>
      </c>
      <c r="B340" s="29">
        <f>IF($A340="","",IFERROR(INDEX(Roster!$B$2:$B$40,MATCH($A340,Roster!$A$2:$A$40,0)),"?"))</f>
        <v/>
      </c>
      <c r="C340" s="15" t="inlineStr">
        <is>
          <t>Papago_1</t>
        </is>
      </c>
      <c r="D340" s="29">
        <f>IF($C340="","",IFERROR(IF(INDEX(Deals!$C$2:$C$355,MATCH($C340,Deals!$A$2:$A$355,0))=0,"",INDEX(Deals!$C$2:$C$355,MATCH($C340,Deals!$A$2:$A$355,0))),"?"))</f>
        <v/>
      </c>
      <c r="E340" s="29">
        <f>IF($C340="","",IFERROR(INDEX(Deals!$F$2:$F$355,MATCH($C340,Deals!$A$2:$A$355,0)),"?"))</f>
        <v/>
      </c>
      <c r="F340" s="15" t="inlineStr">
        <is>
          <t>VP</t>
        </is>
      </c>
      <c r="G340" s="15" t="inlineStr">
        <is>
          <t>Inactive</t>
        </is>
      </c>
      <c r="H340" s="27" t="n"/>
      <c r="I340" s="20">
        <f>IF(OR($A340="",$G340&lt;&gt;"Active"),0,IF($H340&lt;&gt;"",$H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</f>
        <v/>
      </c>
      <c r="J340" s="23">
        <f>IF($C340="",0,IFERROR(INDEX(Deals!$H$2:$H$355,MATCH($C340,Deals!$A$2:$A$355,0)),0))</f>
        <v/>
      </c>
      <c r="K340" s="20">
        <f>IF(Settings!$B$4="Yes",$I340*$J340,$I340)</f>
        <v/>
      </c>
      <c r="L340" s="31">
        <f>IF($C340="","",IFERROR(IF(INDEX(Deals!$I$2:$I$355,MATCH($C340,Deals!$A$2:$A$355,0))=0,"",INDEX(Deals!$I$2:$I$355,MATCH($C340,Deals!$A$2:$A$355,0))),""))</f>
        <v/>
      </c>
      <c r="M340" s="31">
        <f>IF($C340="","",IFERROR(IF(INDEX(Deals!$J$2:$J$355,MATCH($C340,Deals!$A$2:$A$355,0))=0,"",INDEX(Deals!$J$2:$J$355,MATCH($C340,Deals!$A$2:$A$355,0))),""))</f>
        <v/>
      </c>
      <c r="N340" s="24">
        <f>IF($L340="",DATE(1900,1,1),$L340)</f>
        <v/>
      </c>
      <c r="O340" s="24">
        <f>IF($M340="",DATE(2100,12,31),$M340)</f>
        <v/>
      </c>
      <c r="P340" s="16" t="inlineStr">
        <is>
          <t>Closed</t>
        </is>
      </c>
      <c r="Q340" s="16" t="inlineStr"/>
      <c r="R340" s="29">
        <f>IF($C340="","",IFERROR(IF(INDEX(Deals!$U$2:$U$355,MATCH($C340,Deals!$A$2:$A$355,0))=0,"",INDEX(Deals!$U$2:$U$355,MATCH($C340,Deals!$A$2:$A$355,0))),""))</f>
        <v/>
      </c>
      <c r="S340" s="22">
        <f>IFERROR(IF($U340="",1,INDEX(Deals!$V$2:$V$355,MATCH($C340,Deals!$A$2:$A$355,0))),1)</f>
        <v/>
      </c>
      <c r="T340" s="22">
        <f>IFERROR(IF($U340="",1,INDEX(Deals!$W$2:$W$355,MATCH($C340,Deals!$A$2:$A$355,0))),1)</f>
        <v/>
      </c>
      <c r="U340" s="31">
        <f>IF($C340="","",IFERROR(IF(INDEX(Deals!$Y$2:$Y$355,MATCH($C340,Deals!$A$2:$A$355,0))=0,"",INDEX(Deals!$Y$2:$Y$355,MATCH($C340,Deals!$A$2:$A$355,0))),""))</f>
        <v/>
      </c>
      <c r="V340" s="24">
        <f>IF($U340="",DATE(1900,1,1),$N340)</f>
        <v/>
      </c>
      <c r="W340" s="24">
        <f>IF($U340="",DATE(2100,12,31),$U340)</f>
        <v/>
      </c>
      <c r="X340" s="20">
        <f>IF($U340="",$K340,$K340*$S340)</f>
        <v/>
      </c>
      <c r="Y340" s="24">
        <f>IF($U340="",DATE(2100,12,31),$U340+1)</f>
        <v/>
      </c>
      <c r="Z340" s="24">
        <f>IF($U340="",DATE(1900,1,1),$O340)</f>
        <v/>
      </c>
      <c r="AA340" s="20">
        <f>IF($U340="",0,$K340*$T340)</f>
        <v/>
      </c>
    </row>
    <row r="341">
      <c r="A341" s="15" t="inlineStr">
        <is>
          <t>George</t>
        </is>
      </c>
      <c r="B341" s="29">
        <f>IF($A341="","",IFERROR(INDEX(Roster!$B$2:$B$40,MATCH($A341,Roster!$A$2:$A$40,0)),"?"))</f>
        <v/>
      </c>
      <c r="C341" s="15" t="inlineStr">
        <is>
          <t>Pisces 2_1</t>
        </is>
      </c>
      <c r="D341" s="29">
        <f>IF($C341="","",IFERROR(IF(INDEX(Deals!$C$2:$C$355,MATCH($C341,Deals!$A$2:$A$355,0))=0,"",INDEX(Deals!$C$2:$C$355,MATCH($C341,Deals!$A$2:$A$355,0))),"?"))</f>
        <v/>
      </c>
      <c r="E341" s="29">
        <f>IF($C341="","",IFERROR(INDEX(Deals!$F$2:$F$355,MATCH($C341,Deals!$A$2:$A$355,0)),"?"))</f>
        <v/>
      </c>
      <c r="F341" s="15" t="inlineStr">
        <is>
          <t>VP</t>
        </is>
      </c>
      <c r="G341" s="15" t="inlineStr">
        <is>
          <t>Inactive</t>
        </is>
      </c>
      <c r="H341" s="27" t="n"/>
      <c r="I341" s="20">
        <f>IF(OR($A341="",$G341&lt;&gt;"Active"),0,IF($H341&lt;&gt;"",$H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</f>
        <v/>
      </c>
      <c r="J341" s="23">
        <f>IF($C341="",0,IFERROR(INDEX(Deals!$H$2:$H$355,MATCH($C341,Deals!$A$2:$A$355,0)),0))</f>
        <v/>
      </c>
      <c r="K341" s="20">
        <f>IF(Settings!$B$4="Yes",$I341*$J341,$I341)</f>
        <v/>
      </c>
      <c r="L341" s="31">
        <f>IF($C341="","",IFERROR(IF(INDEX(Deals!$I$2:$I$355,MATCH($C341,Deals!$A$2:$A$355,0))=0,"",INDEX(Deals!$I$2:$I$355,MATCH($C341,Deals!$A$2:$A$355,0))),""))</f>
        <v/>
      </c>
      <c r="M341" s="31">
        <f>IF($C341="","",IFERROR(IF(INDEX(Deals!$J$2:$J$355,MATCH($C341,Deals!$A$2:$A$355,0))=0,"",INDEX(Deals!$J$2:$J$355,MATCH($C341,Deals!$A$2:$A$355,0))),""))</f>
        <v/>
      </c>
      <c r="N341" s="24">
        <f>IF($L341="",DATE(1900,1,1),$L341)</f>
        <v/>
      </c>
      <c r="O341" s="24">
        <f>IF($M341="",DATE(2100,12,31),$M341)</f>
        <v/>
      </c>
      <c r="P341" s="16" t="inlineStr">
        <is>
          <t>Closed</t>
        </is>
      </c>
      <c r="Q341" s="16" t="inlineStr"/>
      <c r="R341" s="29">
        <f>IF($C341="","",IFERROR(IF(INDEX(Deals!$U$2:$U$355,MATCH($C341,Deals!$A$2:$A$355,0))=0,"",INDEX(Deals!$U$2:$U$355,MATCH($C341,Deals!$A$2:$A$355,0))),""))</f>
        <v/>
      </c>
      <c r="S341" s="22">
        <f>IFERROR(IF($U341="",1,INDEX(Deals!$V$2:$V$355,MATCH($C341,Deals!$A$2:$A$355,0))),1)</f>
        <v/>
      </c>
      <c r="T341" s="22">
        <f>IFERROR(IF($U341="",1,INDEX(Deals!$W$2:$W$355,MATCH($C341,Deals!$A$2:$A$355,0))),1)</f>
        <v/>
      </c>
      <c r="U341" s="31">
        <f>IF($C341="","",IFERROR(IF(INDEX(Deals!$Y$2:$Y$355,MATCH($C341,Deals!$A$2:$A$355,0))=0,"",INDEX(Deals!$Y$2:$Y$355,MATCH($C341,Deals!$A$2:$A$355,0))),""))</f>
        <v/>
      </c>
      <c r="V341" s="24">
        <f>IF($U341="",DATE(1900,1,1),$N341)</f>
        <v/>
      </c>
      <c r="W341" s="24">
        <f>IF($U341="",DATE(2100,12,31),$U341)</f>
        <v/>
      </c>
      <c r="X341" s="20">
        <f>IF($U341="",$K341,$K341*$S341)</f>
        <v/>
      </c>
      <c r="Y341" s="24">
        <f>IF($U341="",DATE(2100,12,31),$U341+1)</f>
        <v/>
      </c>
      <c r="Z341" s="24">
        <f>IF($U341="",DATE(1900,1,1),$O341)</f>
        <v/>
      </c>
      <c r="AA341" s="20">
        <f>IF($U341="",0,$K341*$T341)</f>
        <v/>
      </c>
    </row>
    <row r="342">
      <c r="A342" s="15" t="inlineStr">
        <is>
          <t>George</t>
        </is>
      </c>
      <c r="B342" s="29">
        <f>IF($A342="","",IFERROR(INDEX(Roster!$B$2:$B$40,MATCH($A342,Roster!$A$2:$A$40,0)),"?"))</f>
        <v/>
      </c>
      <c r="C342" s="15" t="inlineStr">
        <is>
          <t>Pythagoras_1</t>
        </is>
      </c>
      <c r="D342" s="29">
        <f>IF($C342="","",IFERROR(IF(INDEX(Deals!$C$2:$C$355,MATCH($C342,Deals!$A$2:$A$355,0))=0,"",INDEX(Deals!$C$2:$C$355,MATCH($C342,Deals!$A$2:$A$355,0))),"?"))</f>
        <v/>
      </c>
      <c r="E342" s="29">
        <f>IF($C342="","",IFERROR(INDEX(Deals!$F$2:$F$355,MATCH($C342,Deals!$A$2:$A$355,0)),"?"))</f>
        <v/>
      </c>
      <c r="F342" s="15" t="inlineStr">
        <is>
          <t>VP</t>
        </is>
      </c>
      <c r="G342" s="15" t="inlineStr">
        <is>
          <t>Inactive</t>
        </is>
      </c>
      <c r="H342" s="27" t="n"/>
      <c r="I342" s="20">
        <f>IF(OR($A342="",$G342&lt;&gt;"Active"),0,IF($H342&lt;&gt;"",$H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</f>
        <v/>
      </c>
      <c r="J342" s="23">
        <f>IF($C342="",0,IFERROR(INDEX(Deals!$H$2:$H$355,MATCH($C342,Deals!$A$2:$A$355,0)),0))</f>
        <v/>
      </c>
      <c r="K342" s="20">
        <f>IF(Settings!$B$4="Yes",$I342*$J342,$I342)</f>
        <v/>
      </c>
      <c r="L342" s="31">
        <f>IF($C342="","",IFERROR(IF(INDEX(Deals!$I$2:$I$355,MATCH($C342,Deals!$A$2:$A$355,0))=0,"",INDEX(Deals!$I$2:$I$355,MATCH($C342,Deals!$A$2:$A$355,0))),""))</f>
        <v/>
      </c>
      <c r="M342" s="31">
        <f>IF($C342="","",IFERROR(IF(INDEX(Deals!$J$2:$J$355,MATCH($C342,Deals!$A$2:$A$355,0))=0,"",INDEX(Deals!$J$2:$J$355,MATCH($C342,Deals!$A$2:$A$355,0))),""))</f>
        <v/>
      </c>
      <c r="N342" s="24">
        <f>IF($L342="",DATE(1900,1,1),$L342)</f>
        <v/>
      </c>
      <c r="O342" s="24">
        <f>IF($M342="",DATE(2100,12,31),$M342)</f>
        <v/>
      </c>
      <c r="P342" s="16" t="inlineStr">
        <is>
          <t>Closed</t>
        </is>
      </c>
      <c r="Q342" s="16" t="inlineStr"/>
      <c r="R342" s="29">
        <f>IF($C342="","",IFERROR(IF(INDEX(Deals!$U$2:$U$355,MATCH($C342,Deals!$A$2:$A$355,0))=0,"",INDEX(Deals!$U$2:$U$355,MATCH($C342,Deals!$A$2:$A$355,0))),""))</f>
        <v/>
      </c>
      <c r="S342" s="22">
        <f>IFERROR(IF($U342="",1,INDEX(Deals!$V$2:$V$355,MATCH($C342,Deals!$A$2:$A$355,0))),1)</f>
        <v/>
      </c>
      <c r="T342" s="22">
        <f>IFERROR(IF($U342="",1,INDEX(Deals!$W$2:$W$355,MATCH($C342,Deals!$A$2:$A$355,0))),1)</f>
        <v/>
      </c>
      <c r="U342" s="31">
        <f>IF($C342="","",IFERROR(IF(INDEX(Deals!$Y$2:$Y$355,MATCH($C342,Deals!$A$2:$A$355,0))=0,"",INDEX(Deals!$Y$2:$Y$355,MATCH($C342,Deals!$A$2:$A$355,0))),""))</f>
        <v/>
      </c>
      <c r="V342" s="24">
        <f>IF($U342="",DATE(1900,1,1),$N342)</f>
        <v/>
      </c>
      <c r="W342" s="24">
        <f>IF($U342="",DATE(2100,12,31),$U342)</f>
        <v/>
      </c>
      <c r="X342" s="20">
        <f>IF($U342="",$K342,$K342*$S342)</f>
        <v/>
      </c>
      <c r="Y342" s="24">
        <f>IF($U342="",DATE(2100,12,31),$U342+1)</f>
        <v/>
      </c>
      <c r="Z342" s="24">
        <f>IF($U342="",DATE(1900,1,1),$O342)</f>
        <v/>
      </c>
      <c r="AA342" s="20">
        <f>IF($U342="",0,$K342*$T342)</f>
        <v/>
      </c>
    </row>
    <row r="343">
      <c r="A343" s="15" t="inlineStr">
        <is>
          <t>George</t>
        </is>
      </c>
      <c r="B343" s="29">
        <f>IF($A343="","",IFERROR(INDEX(Roster!$B$2:$B$40,MATCH($A343,Roster!$A$2:$A$40,0)),"?"))</f>
        <v/>
      </c>
      <c r="C343" s="15" t="inlineStr">
        <is>
          <t>Sunshine_4</t>
        </is>
      </c>
      <c r="D343" s="29">
        <f>IF($C343="","",IFERROR(IF(INDEX(Deals!$C$2:$C$355,MATCH($C343,Deals!$A$2:$A$355,0))=0,"",INDEX(Deals!$C$2:$C$355,MATCH($C343,Deals!$A$2:$A$355,0))),"?"))</f>
        <v/>
      </c>
      <c r="E343" s="29">
        <f>IF($C343="","",IFERROR(INDEX(Deals!$F$2:$F$355,MATCH($C343,Deals!$A$2:$A$355,0)),"?"))</f>
        <v/>
      </c>
      <c r="F343" s="15" t="inlineStr">
        <is>
          <t>VP</t>
        </is>
      </c>
      <c r="G343" s="15" t="inlineStr">
        <is>
          <t>Active</t>
        </is>
      </c>
      <c r="H343" s="27" t="n"/>
      <c r="I343" s="20">
        <f>IF(OR($A343="",$G343&lt;&gt;"Active"),0,IF($H343&lt;&gt;"",$H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</f>
        <v/>
      </c>
      <c r="J343" s="23">
        <f>IF($C343="",0,IFERROR(INDEX(Deals!$H$2:$H$355,MATCH($C343,Deals!$A$2:$A$355,0)),0))</f>
        <v/>
      </c>
      <c r="K343" s="20">
        <f>IF(Settings!$B$4="Yes",$I343*$J343,$I343)</f>
        <v/>
      </c>
      <c r="L343" s="31">
        <f>IF($C343="","",IFERROR(IF(INDEX(Deals!$I$2:$I$355,MATCH($C343,Deals!$A$2:$A$355,0))=0,"",INDEX(Deals!$I$2:$I$355,MATCH($C343,Deals!$A$2:$A$355,0))),""))</f>
        <v/>
      </c>
      <c r="M343" s="31">
        <f>IF($C343="","",IFERROR(IF(INDEX(Deals!$J$2:$J$355,MATCH($C343,Deals!$A$2:$A$355,0))=0,"",INDEX(Deals!$J$2:$J$355,MATCH($C343,Deals!$A$2:$A$355,0))),""))</f>
        <v/>
      </c>
      <c r="N343" s="24">
        <f>IF($L343="",DATE(1900,1,1),$L343)</f>
        <v/>
      </c>
      <c r="O343" s="24">
        <f>IF($M343="",DATE(2100,12,31),$M343)</f>
        <v/>
      </c>
      <c r="P343" s="16" t="inlineStr">
        <is>
          <t>Ongoing</t>
        </is>
      </c>
      <c r="Q343" s="16" t="inlineStr"/>
      <c r="R343" s="29">
        <f>IF($C343="","",IFERROR(IF(INDEX(Deals!$U$2:$U$355,MATCH($C343,Deals!$A$2:$A$355,0))=0,"",INDEX(Deals!$U$2:$U$355,MATCH($C343,Deals!$A$2:$A$355,0))),""))</f>
        <v/>
      </c>
      <c r="S343" s="22">
        <f>IFERROR(IF($U343="",1,INDEX(Deals!$V$2:$V$355,MATCH($C343,Deals!$A$2:$A$355,0))),1)</f>
        <v/>
      </c>
      <c r="T343" s="22">
        <f>IFERROR(IF($U343="",1,INDEX(Deals!$W$2:$W$355,MATCH($C343,Deals!$A$2:$A$355,0))),1)</f>
        <v/>
      </c>
      <c r="U343" s="31">
        <f>IF($C343="","",IFERROR(IF(INDEX(Deals!$Y$2:$Y$355,MATCH($C343,Deals!$A$2:$A$355,0))=0,"",INDEX(Deals!$Y$2:$Y$355,MATCH($C343,Deals!$A$2:$A$355,0))),""))</f>
        <v/>
      </c>
      <c r="V343" s="24">
        <f>IF($U343="",DATE(1900,1,1),$N343)</f>
        <v/>
      </c>
      <c r="W343" s="24">
        <f>IF($U343="",DATE(2100,12,31),$U343)</f>
        <v/>
      </c>
      <c r="X343" s="20">
        <f>IF($U343="",$K343,$K343*$S343)</f>
        <v/>
      </c>
      <c r="Y343" s="24">
        <f>IF($U343="",DATE(2100,12,31),$U343+1)</f>
        <v/>
      </c>
      <c r="Z343" s="24">
        <f>IF($U343="",DATE(1900,1,1),$O343)</f>
        <v/>
      </c>
      <c r="AA343" s="20">
        <f>IF($U343="",0,$K343*$T343)</f>
        <v/>
      </c>
    </row>
    <row r="344">
      <c r="A344" s="15" t="inlineStr">
        <is>
          <t>George</t>
        </is>
      </c>
      <c r="B344" s="29">
        <f>IF($A344="","",IFERROR(INDEX(Roster!$B$2:$B$40,MATCH($A344,Roster!$A$2:$A$40,0)),"?"))</f>
        <v/>
      </c>
      <c r="C344" s="15" t="inlineStr">
        <is>
          <t>UPS_1</t>
        </is>
      </c>
      <c r="D344" s="29">
        <f>IF($C344="","",IFERROR(IF(INDEX(Deals!$C$2:$C$355,MATCH($C344,Deals!$A$2:$A$355,0))=0,"",INDEX(Deals!$C$2:$C$355,MATCH($C344,Deals!$A$2:$A$355,0))),"?"))</f>
        <v/>
      </c>
      <c r="E344" s="29">
        <f>IF($C344="","",IFERROR(INDEX(Deals!$F$2:$F$355,MATCH($C344,Deals!$A$2:$A$355,0)),"?"))</f>
        <v/>
      </c>
      <c r="F344" s="15" t="inlineStr">
        <is>
          <t>VP</t>
        </is>
      </c>
      <c r="G344" s="15" t="inlineStr">
        <is>
          <t>Inactive</t>
        </is>
      </c>
      <c r="H344" s="27" t="n"/>
      <c r="I344" s="20">
        <f>IF(OR($A344="",$G344&lt;&gt;"Active"),0,IF($H344&lt;&gt;"",$H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</f>
        <v/>
      </c>
      <c r="J344" s="23">
        <f>IF($C344="",0,IFERROR(INDEX(Deals!$H$2:$H$355,MATCH($C344,Deals!$A$2:$A$355,0)),0))</f>
        <v/>
      </c>
      <c r="K344" s="20">
        <f>IF(Settings!$B$4="Yes",$I344*$J344,$I344)</f>
        <v/>
      </c>
      <c r="L344" s="31">
        <f>IF($C344="","",IFERROR(IF(INDEX(Deals!$I$2:$I$355,MATCH($C344,Deals!$A$2:$A$355,0))=0,"",INDEX(Deals!$I$2:$I$355,MATCH($C344,Deals!$A$2:$A$355,0))),""))</f>
        <v/>
      </c>
      <c r="M344" s="31">
        <f>IF($C344="","",IFERROR(IF(INDEX(Deals!$J$2:$J$355,MATCH($C344,Deals!$A$2:$A$355,0))=0,"",INDEX(Deals!$J$2:$J$355,MATCH($C344,Deals!$A$2:$A$355,0))),""))</f>
        <v/>
      </c>
      <c r="N344" s="24">
        <f>IF($L344="",DATE(1900,1,1),$L344)</f>
        <v/>
      </c>
      <c r="O344" s="24">
        <f>IF($M344="",DATE(2100,12,31),$M344)</f>
        <v/>
      </c>
      <c r="P344" s="16" t="inlineStr">
        <is>
          <t>Dead</t>
        </is>
      </c>
      <c r="Q344" s="16" t="inlineStr"/>
      <c r="R344" s="29">
        <f>IF($C344="","",IFERROR(IF(INDEX(Deals!$U$2:$U$355,MATCH($C344,Deals!$A$2:$A$355,0))=0,"",INDEX(Deals!$U$2:$U$355,MATCH($C344,Deals!$A$2:$A$355,0))),""))</f>
        <v/>
      </c>
      <c r="S344" s="22">
        <f>IFERROR(IF($U344="",1,INDEX(Deals!$V$2:$V$355,MATCH($C344,Deals!$A$2:$A$355,0))),1)</f>
        <v/>
      </c>
      <c r="T344" s="22">
        <f>IFERROR(IF($U344="",1,INDEX(Deals!$W$2:$W$355,MATCH($C344,Deals!$A$2:$A$355,0))),1)</f>
        <v/>
      </c>
      <c r="U344" s="31">
        <f>IF($C344="","",IFERROR(IF(INDEX(Deals!$Y$2:$Y$355,MATCH($C344,Deals!$A$2:$A$355,0))=0,"",INDEX(Deals!$Y$2:$Y$355,MATCH($C344,Deals!$A$2:$A$355,0))),""))</f>
        <v/>
      </c>
      <c r="V344" s="24">
        <f>IF($U344="",DATE(1900,1,1),$N344)</f>
        <v/>
      </c>
      <c r="W344" s="24">
        <f>IF($U344="",DATE(2100,12,31),$U344)</f>
        <v/>
      </c>
      <c r="X344" s="20">
        <f>IF($U344="",$K344,$K344*$S344)</f>
        <v/>
      </c>
      <c r="Y344" s="24">
        <f>IF($U344="",DATE(2100,12,31),$U344+1)</f>
        <v/>
      </c>
      <c r="Z344" s="24">
        <f>IF($U344="",DATE(1900,1,1),$O344)</f>
        <v/>
      </c>
      <c r="AA344" s="20">
        <f>IF($U344="",0,$K344*$T344)</f>
        <v/>
      </c>
    </row>
    <row r="345">
      <c r="A345" s="15" t="inlineStr">
        <is>
          <t>George</t>
        </is>
      </c>
      <c r="B345" s="29">
        <f>IF($A345="","",IFERROR(INDEX(Roster!$B$2:$B$40,MATCH($A345,Roster!$A$2:$A$40,0)),"?"))</f>
        <v/>
      </c>
      <c r="C345" s="15" t="inlineStr">
        <is>
          <t>Voltaire_1</t>
        </is>
      </c>
      <c r="D345" s="29">
        <f>IF($C345="","",IFERROR(IF(INDEX(Deals!$C$2:$C$355,MATCH($C345,Deals!$A$2:$A$355,0))=0,"",INDEX(Deals!$C$2:$C$355,MATCH($C345,Deals!$A$2:$A$355,0))),"?"))</f>
        <v/>
      </c>
      <c r="E345" s="29">
        <f>IF($C345="","",IFERROR(INDEX(Deals!$F$2:$F$355,MATCH($C345,Deals!$A$2:$A$355,0)),"?"))</f>
        <v/>
      </c>
      <c r="F345" s="15" t="inlineStr">
        <is>
          <t>VP</t>
        </is>
      </c>
      <c r="G345" s="15" t="inlineStr">
        <is>
          <t>Active</t>
        </is>
      </c>
      <c r="H345" s="27" t="n"/>
      <c r="I345" s="20">
        <f>IF(OR($A345="",$G345&lt;&gt;"Active"),0,IF($H345&lt;&gt;"",$H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</f>
        <v/>
      </c>
      <c r="J345" s="23">
        <f>IF($C345="",0,IFERROR(INDEX(Deals!$H$2:$H$355,MATCH($C345,Deals!$A$2:$A$355,0)),0))</f>
        <v/>
      </c>
      <c r="K345" s="20">
        <f>IF(Settings!$B$4="Yes",$I345*$J345,$I345)</f>
        <v/>
      </c>
      <c r="L345" s="31">
        <f>IF($C345="","",IFERROR(IF(INDEX(Deals!$I$2:$I$355,MATCH($C345,Deals!$A$2:$A$355,0))=0,"",INDEX(Deals!$I$2:$I$355,MATCH($C345,Deals!$A$2:$A$355,0))),""))</f>
        <v/>
      </c>
      <c r="M345" s="31">
        <f>IF($C345="","",IFERROR(IF(INDEX(Deals!$J$2:$J$355,MATCH($C345,Deals!$A$2:$A$355,0))=0,"",INDEX(Deals!$J$2:$J$355,MATCH($C345,Deals!$A$2:$A$355,0))),""))</f>
        <v/>
      </c>
      <c r="N345" s="24">
        <f>IF($L345="",DATE(1900,1,1),$L345)</f>
        <v/>
      </c>
      <c r="O345" s="24">
        <f>IF($M345="",DATE(2100,12,31),$M345)</f>
        <v/>
      </c>
      <c r="P345" s="16" t="inlineStr">
        <is>
          <t>Ongoing</t>
        </is>
      </c>
      <c r="Q345" s="16" t="inlineStr"/>
      <c r="R345" s="29">
        <f>IF($C345="","",IFERROR(IF(INDEX(Deals!$U$2:$U$355,MATCH($C345,Deals!$A$2:$A$355,0))=0,"",INDEX(Deals!$U$2:$U$355,MATCH($C345,Deals!$A$2:$A$355,0))),""))</f>
        <v/>
      </c>
      <c r="S345" s="22">
        <f>IFERROR(IF($U345="",1,INDEX(Deals!$V$2:$V$355,MATCH($C345,Deals!$A$2:$A$355,0))),1)</f>
        <v/>
      </c>
      <c r="T345" s="22">
        <f>IFERROR(IF($U345="",1,INDEX(Deals!$W$2:$W$355,MATCH($C345,Deals!$A$2:$A$355,0))),1)</f>
        <v/>
      </c>
      <c r="U345" s="31">
        <f>IF($C345="","",IFERROR(IF(INDEX(Deals!$Y$2:$Y$355,MATCH($C345,Deals!$A$2:$A$355,0))=0,"",INDEX(Deals!$Y$2:$Y$355,MATCH($C345,Deals!$A$2:$A$355,0))),""))</f>
        <v/>
      </c>
      <c r="V345" s="24">
        <f>IF($U345="",DATE(1900,1,1),$N345)</f>
        <v/>
      </c>
      <c r="W345" s="24">
        <f>IF($U345="",DATE(2100,12,31),$U345)</f>
        <v/>
      </c>
      <c r="X345" s="20">
        <f>IF($U345="",$K345,$K345*$S345)</f>
        <v/>
      </c>
      <c r="Y345" s="24">
        <f>IF($U345="",DATE(2100,12,31),$U345+1)</f>
        <v/>
      </c>
      <c r="Z345" s="24">
        <f>IF($U345="",DATE(1900,1,1),$O345)</f>
        <v/>
      </c>
      <c r="AA345" s="20">
        <f>IF($U345="",0,$K345*$T345)</f>
        <v/>
      </c>
    </row>
    <row r="346">
      <c r="A346" s="15" t="inlineStr">
        <is>
          <t>George</t>
        </is>
      </c>
      <c r="B346" s="29">
        <f>IF($A346="","",IFERROR(INDEX(Roster!$B$2:$B$40,MATCH($A346,Roster!$A$2:$A$40,0)),"?"))</f>
        <v/>
      </c>
      <c r="C346" s="15" t="inlineStr">
        <is>
          <t>Zora_1</t>
        </is>
      </c>
      <c r="D346" s="29">
        <f>IF($C346="","",IFERROR(IF(INDEX(Deals!$C$2:$C$355,MATCH($C346,Deals!$A$2:$A$355,0))=0,"",INDEX(Deals!$C$2:$C$355,MATCH($C346,Deals!$A$2:$A$355,0))),"?"))</f>
        <v/>
      </c>
      <c r="E346" s="29">
        <f>IF($C346="","",IFERROR(INDEX(Deals!$F$2:$F$355,MATCH($C346,Deals!$A$2:$A$355,0)),"?"))</f>
        <v/>
      </c>
      <c r="F346" s="15" t="inlineStr">
        <is>
          <t>VP</t>
        </is>
      </c>
      <c r="G346" s="15" t="inlineStr">
        <is>
          <t>Inactive</t>
        </is>
      </c>
      <c r="H346" s="27" t="n"/>
      <c r="I346" s="20">
        <f>IF(OR($A346="",$G346&lt;&gt;"Active"),0,IF($H346&lt;&gt;"",$H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</f>
        <v/>
      </c>
      <c r="J346" s="23">
        <f>IF($C346="",0,IFERROR(INDEX(Deals!$H$2:$H$355,MATCH($C346,Deals!$A$2:$A$355,0)),0))</f>
        <v/>
      </c>
      <c r="K346" s="20">
        <f>IF(Settings!$B$4="Yes",$I346*$J346,$I346)</f>
        <v/>
      </c>
      <c r="L346" s="31">
        <f>IF($C346="","",IFERROR(IF(INDEX(Deals!$I$2:$I$355,MATCH($C346,Deals!$A$2:$A$355,0))=0,"",INDEX(Deals!$I$2:$I$355,MATCH($C346,Deals!$A$2:$A$355,0))),""))</f>
        <v/>
      </c>
      <c r="M346" s="31">
        <f>IF($C346="","",IFERROR(IF(INDEX(Deals!$J$2:$J$355,MATCH($C346,Deals!$A$2:$A$355,0))=0,"",INDEX(Deals!$J$2:$J$355,MATCH($C346,Deals!$A$2:$A$355,0))),""))</f>
        <v/>
      </c>
      <c r="N346" s="24">
        <f>IF($L346="",DATE(1900,1,1),$L346)</f>
        <v/>
      </c>
      <c r="O346" s="24">
        <f>IF($M346="",DATE(2100,12,31),$M346)</f>
        <v/>
      </c>
      <c r="P346" s="16" t="inlineStr">
        <is>
          <t>Pens Down</t>
        </is>
      </c>
      <c r="Q346" s="16" t="inlineStr"/>
      <c r="R346" s="29">
        <f>IF($C346="","",IFERROR(IF(INDEX(Deals!$U$2:$U$355,MATCH($C346,Deals!$A$2:$A$355,0))=0,"",INDEX(Deals!$U$2:$U$355,MATCH($C346,Deals!$A$2:$A$355,0))),""))</f>
        <v/>
      </c>
      <c r="S346" s="22">
        <f>IFERROR(IF($U346="",1,INDEX(Deals!$V$2:$V$355,MATCH($C346,Deals!$A$2:$A$355,0))),1)</f>
        <v/>
      </c>
      <c r="T346" s="22">
        <f>IFERROR(IF($U346="",1,INDEX(Deals!$W$2:$W$355,MATCH($C346,Deals!$A$2:$A$355,0))),1)</f>
        <v/>
      </c>
      <c r="U346" s="31">
        <f>IF($C346="","",IFERROR(IF(INDEX(Deals!$Y$2:$Y$355,MATCH($C346,Deals!$A$2:$A$355,0))=0,"",INDEX(Deals!$Y$2:$Y$355,MATCH($C346,Deals!$A$2:$A$355,0))),""))</f>
        <v/>
      </c>
      <c r="V346" s="24">
        <f>IF($U346="",DATE(1900,1,1),$N346)</f>
        <v/>
      </c>
      <c r="W346" s="24">
        <f>IF($U346="",DATE(2100,12,31),$U346)</f>
        <v/>
      </c>
      <c r="X346" s="20">
        <f>IF($U346="",$K346,$K346*$S346)</f>
        <v/>
      </c>
      <c r="Y346" s="24">
        <f>IF($U346="",DATE(2100,12,31),$U346+1)</f>
        <v/>
      </c>
      <c r="Z346" s="24">
        <f>IF($U346="",DATE(1900,1,1),$O346)</f>
        <v/>
      </c>
      <c r="AA346" s="20">
        <f>IF($U346="",0,$K346*$T346)</f>
        <v/>
      </c>
    </row>
    <row r="347">
      <c r="A347" s="15" t="inlineStr">
        <is>
          <t>Spencer</t>
        </is>
      </c>
      <c r="B347" s="29">
        <f>IF($A347="","",IFERROR(INDEX(Roster!$B$2:$B$40,MATCH($A347,Roster!$A$2:$A$40,0)),"?"))</f>
        <v/>
      </c>
      <c r="C347" s="15" t="inlineStr">
        <is>
          <t>Ace_2</t>
        </is>
      </c>
      <c r="D347" s="29">
        <f>IF($C347="","",IFERROR(IF(INDEX(Deals!$C$2:$C$355,MATCH($C347,Deals!$A$2:$A$355,0))=0,"",INDEX(Deals!$C$2:$C$355,MATCH($C347,Deals!$A$2:$A$355,0))),"?"))</f>
        <v/>
      </c>
      <c r="E347" s="29">
        <f>IF($C347="","",IFERROR(INDEX(Deals!$F$2:$F$355,MATCH($C347,Deals!$A$2:$A$355,0)),"?"))</f>
        <v/>
      </c>
      <c r="F347" s="15" t="inlineStr">
        <is>
          <t>VP</t>
        </is>
      </c>
      <c r="G347" s="15" t="inlineStr">
        <is>
          <t>Active</t>
        </is>
      </c>
      <c r="H347" s="27" t="n"/>
      <c r="I347" s="20">
        <f>IF(OR($A347="",$G347&lt;&gt;"Active"),0,IF($H347&lt;&gt;"",$H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</f>
        <v/>
      </c>
      <c r="J347" s="23">
        <f>IF($C347="",0,IFERROR(INDEX(Deals!$H$2:$H$355,MATCH($C347,Deals!$A$2:$A$355,0)),0))</f>
        <v/>
      </c>
      <c r="K347" s="20">
        <f>IF(Settings!$B$4="Yes",$I347*$J347,$I347)</f>
        <v/>
      </c>
      <c r="L347" s="31">
        <f>IF($C347="","",IFERROR(IF(INDEX(Deals!$I$2:$I$355,MATCH($C347,Deals!$A$2:$A$355,0))=0,"",INDEX(Deals!$I$2:$I$355,MATCH($C347,Deals!$A$2:$A$355,0))),""))</f>
        <v/>
      </c>
      <c r="M347" s="31">
        <f>IF($C347="","",IFERROR(IF(INDEX(Deals!$J$2:$J$355,MATCH($C347,Deals!$A$2:$A$355,0))=0,"",INDEX(Deals!$J$2:$J$355,MATCH($C347,Deals!$A$2:$A$355,0))),""))</f>
        <v/>
      </c>
      <c r="N347" s="24">
        <f>IF($L347="",DATE(1900,1,1),$L347)</f>
        <v/>
      </c>
      <c r="O347" s="24">
        <f>IF($M347="",DATE(2100,12,31),$M347)</f>
        <v/>
      </c>
      <c r="P347" s="16" t="inlineStr">
        <is>
          <t>Ongoing</t>
        </is>
      </c>
      <c r="Q347" s="16" t="inlineStr"/>
      <c r="R347" s="29">
        <f>IF($C347="","",IFERROR(IF(INDEX(Deals!$U$2:$U$355,MATCH($C347,Deals!$A$2:$A$355,0))=0,"",INDEX(Deals!$U$2:$U$355,MATCH($C347,Deals!$A$2:$A$355,0))),""))</f>
        <v/>
      </c>
      <c r="S347" s="22">
        <f>IFERROR(IF($U347="",1,INDEX(Deals!$V$2:$V$355,MATCH($C347,Deals!$A$2:$A$355,0))),1)</f>
        <v/>
      </c>
      <c r="T347" s="22">
        <f>IFERROR(IF($U347="",1,INDEX(Deals!$W$2:$W$355,MATCH($C347,Deals!$A$2:$A$355,0))),1)</f>
        <v/>
      </c>
      <c r="U347" s="31">
        <f>IF($C347="","",IFERROR(IF(INDEX(Deals!$Y$2:$Y$355,MATCH($C347,Deals!$A$2:$A$355,0))=0,"",INDEX(Deals!$Y$2:$Y$355,MATCH($C347,Deals!$A$2:$A$355,0))),""))</f>
        <v/>
      </c>
      <c r="V347" s="24">
        <f>IF($U347="",DATE(1900,1,1),$N347)</f>
        <v/>
      </c>
      <c r="W347" s="24">
        <f>IF($U347="",DATE(2100,12,31),$U347)</f>
        <v/>
      </c>
      <c r="X347" s="20">
        <f>IF($U347="",$K347,$K347*$S347)</f>
        <v/>
      </c>
      <c r="Y347" s="24">
        <f>IF($U347="",DATE(2100,12,31),$U347+1)</f>
        <v/>
      </c>
      <c r="Z347" s="24">
        <f>IF($U347="",DATE(1900,1,1),$O347)</f>
        <v/>
      </c>
      <c r="AA347" s="20">
        <f>IF($U347="",0,$K347*$T347)</f>
        <v/>
      </c>
    </row>
    <row r="348">
      <c r="A348" s="15" t="inlineStr">
        <is>
          <t>Spencer</t>
        </is>
      </c>
      <c r="B348" s="29">
        <f>IF($A348="","",IFERROR(INDEX(Roster!$B$2:$B$40,MATCH($A348,Roster!$A$2:$A$40,0)),"?"))</f>
        <v/>
      </c>
      <c r="C348" s="15" t="inlineStr">
        <is>
          <t>Blue_6</t>
        </is>
      </c>
      <c r="D348" s="29">
        <f>IF($C348="","",IFERROR(IF(INDEX(Deals!$C$2:$C$355,MATCH($C348,Deals!$A$2:$A$355,0))=0,"",INDEX(Deals!$C$2:$C$355,MATCH($C348,Deals!$A$2:$A$355,0))),"?"))</f>
        <v/>
      </c>
      <c r="E348" s="29">
        <f>IF($C348="","",IFERROR(INDEX(Deals!$F$2:$F$355,MATCH($C348,Deals!$A$2:$A$355,0)),"?"))</f>
        <v/>
      </c>
      <c r="F348" s="15" t="inlineStr">
        <is>
          <t>VP</t>
        </is>
      </c>
      <c r="G348" s="15" t="inlineStr">
        <is>
          <t>Active</t>
        </is>
      </c>
      <c r="H348" s="27" t="n"/>
      <c r="I348" s="20">
        <f>IF(OR($A348="",$G348&lt;&gt;"Active"),0,IF($H348&lt;&gt;"",$H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</f>
        <v/>
      </c>
      <c r="J348" s="23">
        <f>IF($C348="",0,IFERROR(INDEX(Deals!$H$2:$H$355,MATCH($C348,Deals!$A$2:$A$355,0)),0))</f>
        <v/>
      </c>
      <c r="K348" s="20">
        <f>IF(Settings!$B$4="Yes",$I348*$J348,$I348)</f>
        <v/>
      </c>
      <c r="L348" s="31">
        <f>IF($C348="","",IFERROR(IF(INDEX(Deals!$I$2:$I$355,MATCH($C348,Deals!$A$2:$A$355,0))=0,"",INDEX(Deals!$I$2:$I$355,MATCH($C348,Deals!$A$2:$A$355,0))),""))</f>
        <v/>
      </c>
      <c r="M348" s="31">
        <f>IF($C348="","",IFERROR(IF(INDEX(Deals!$J$2:$J$355,MATCH($C348,Deals!$A$2:$A$355,0))=0,"",INDEX(Deals!$J$2:$J$355,MATCH($C348,Deals!$A$2:$A$355,0))),""))</f>
        <v/>
      </c>
      <c r="N348" s="24">
        <f>IF($L348="",DATE(1900,1,1),$L348)</f>
        <v/>
      </c>
      <c r="O348" s="24">
        <f>IF($M348="",DATE(2100,12,31),$M348)</f>
        <v/>
      </c>
      <c r="P348" s="16" t="inlineStr">
        <is>
          <t>Ongoing</t>
        </is>
      </c>
      <c r="Q348" s="16" t="inlineStr"/>
      <c r="R348" s="29">
        <f>IF($C348="","",IFERROR(IF(INDEX(Deals!$U$2:$U$355,MATCH($C348,Deals!$A$2:$A$355,0))=0,"",INDEX(Deals!$U$2:$U$355,MATCH($C348,Deals!$A$2:$A$355,0))),""))</f>
        <v/>
      </c>
      <c r="S348" s="22">
        <f>IFERROR(IF($U348="",1,INDEX(Deals!$V$2:$V$355,MATCH($C348,Deals!$A$2:$A$355,0))),1)</f>
        <v/>
      </c>
      <c r="T348" s="22">
        <f>IFERROR(IF($U348="",1,INDEX(Deals!$W$2:$W$355,MATCH($C348,Deals!$A$2:$A$355,0))),1)</f>
        <v/>
      </c>
      <c r="U348" s="31">
        <f>IF($C348="","",IFERROR(IF(INDEX(Deals!$Y$2:$Y$355,MATCH($C348,Deals!$A$2:$A$355,0))=0,"",INDEX(Deals!$Y$2:$Y$355,MATCH($C348,Deals!$A$2:$A$355,0))),""))</f>
        <v/>
      </c>
      <c r="V348" s="24">
        <f>IF($U348="",DATE(1900,1,1),$N348)</f>
        <v/>
      </c>
      <c r="W348" s="24">
        <f>IF($U348="",DATE(2100,12,31),$U348)</f>
        <v/>
      </c>
      <c r="X348" s="20">
        <f>IF($U348="",$K348,$K348*$S348)</f>
        <v/>
      </c>
      <c r="Y348" s="24">
        <f>IF($U348="",DATE(2100,12,31),$U348+1)</f>
        <v/>
      </c>
      <c r="Z348" s="24">
        <f>IF($U348="",DATE(1900,1,1),$O348)</f>
        <v/>
      </c>
      <c r="AA348" s="20">
        <f>IF($U348="",0,$K348*$T348)</f>
        <v/>
      </c>
    </row>
    <row r="349">
      <c r="A349" s="15" t="inlineStr">
        <is>
          <t>Spencer</t>
        </is>
      </c>
      <c r="B349" s="29">
        <f>IF($A349="","",IFERROR(INDEX(Roster!$B$2:$B$40,MATCH($A349,Roster!$A$2:$A$40,0)),"?"))</f>
        <v/>
      </c>
      <c r="C349" s="15" t="inlineStr">
        <is>
          <t>Care_1</t>
        </is>
      </c>
      <c r="D349" s="29">
        <f>IF($C349="","",IFERROR(IF(INDEX(Deals!$C$2:$C$355,MATCH($C349,Deals!$A$2:$A$355,0))=0,"",INDEX(Deals!$C$2:$C$355,MATCH($C349,Deals!$A$2:$A$355,0))),"?"))</f>
        <v/>
      </c>
      <c r="E349" s="29">
        <f>IF($C349="","",IFERROR(INDEX(Deals!$F$2:$F$355,MATCH($C349,Deals!$A$2:$A$355,0)),"?"))</f>
        <v/>
      </c>
      <c r="F349" s="15" t="inlineStr">
        <is>
          <t>VP</t>
        </is>
      </c>
      <c r="G349" s="15" t="inlineStr">
        <is>
          <t>Inactive</t>
        </is>
      </c>
      <c r="H349" s="27" t="n"/>
      <c r="I349" s="20">
        <f>IF(OR($A349="",$G349&lt;&gt;"Active"),0,IF($H349&lt;&gt;"",$H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</f>
        <v/>
      </c>
      <c r="J349" s="23">
        <f>IF($C349="",0,IFERROR(INDEX(Deals!$H$2:$H$355,MATCH($C349,Deals!$A$2:$A$355,0)),0))</f>
        <v/>
      </c>
      <c r="K349" s="20">
        <f>IF(Settings!$B$4="Yes",$I349*$J349,$I349)</f>
        <v/>
      </c>
      <c r="L349" s="31">
        <f>IF($C349="","",IFERROR(IF(INDEX(Deals!$I$2:$I$355,MATCH($C349,Deals!$A$2:$A$355,0))=0,"",INDEX(Deals!$I$2:$I$355,MATCH($C349,Deals!$A$2:$A$355,0))),""))</f>
        <v/>
      </c>
      <c r="M349" s="31">
        <f>IF($C349="","",IFERROR(IF(INDEX(Deals!$J$2:$J$355,MATCH($C349,Deals!$A$2:$A$355,0))=0,"",INDEX(Deals!$J$2:$J$355,MATCH($C349,Deals!$A$2:$A$355,0))),""))</f>
        <v/>
      </c>
      <c r="N349" s="24">
        <f>IF($L349="",DATE(1900,1,1),$L349)</f>
        <v/>
      </c>
      <c r="O349" s="24">
        <f>IF($M349="",DATE(2100,12,31),$M349)</f>
        <v/>
      </c>
      <c r="P349" s="16" t="inlineStr">
        <is>
          <t>On pause</t>
        </is>
      </c>
      <c r="Q349" s="16" t="inlineStr"/>
      <c r="R349" s="29">
        <f>IF($C349="","",IFERROR(IF(INDEX(Deals!$U$2:$U$355,MATCH($C349,Deals!$A$2:$A$355,0))=0,"",INDEX(Deals!$U$2:$U$355,MATCH($C349,Deals!$A$2:$A$355,0))),""))</f>
        <v/>
      </c>
      <c r="S349" s="22">
        <f>IFERROR(IF($U349="",1,INDEX(Deals!$V$2:$V$355,MATCH($C349,Deals!$A$2:$A$355,0))),1)</f>
        <v/>
      </c>
      <c r="T349" s="22">
        <f>IFERROR(IF($U349="",1,INDEX(Deals!$W$2:$W$355,MATCH($C349,Deals!$A$2:$A$355,0))),1)</f>
        <v/>
      </c>
      <c r="U349" s="31">
        <f>IF($C349="","",IFERROR(IF(INDEX(Deals!$Y$2:$Y$355,MATCH($C349,Deals!$A$2:$A$355,0))=0,"",INDEX(Deals!$Y$2:$Y$355,MATCH($C349,Deals!$A$2:$A$355,0))),""))</f>
        <v/>
      </c>
      <c r="V349" s="24">
        <f>IF($U349="",DATE(1900,1,1),$N349)</f>
        <v/>
      </c>
      <c r="W349" s="24">
        <f>IF($U349="",DATE(2100,12,31),$U349)</f>
        <v/>
      </c>
      <c r="X349" s="20">
        <f>IF($U349="",$K349,$K349*$S349)</f>
        <v/>
      </c>
      <c r="Y349" s="24">
        <f>IF($U349="",DATE(2100,12,31),$U349+1)</f>
        <v/>
      </c>
      <c r="Z349" s="24">
        <f>IF($U349="",DATE(1900,1,1),$O349)</f>
        <v/>
      </c>
      <c r="AA349" s="20">
        <f>IF($U349="",0,$K349*$T349)</f>
        <v/>
      </c>
    </row>
    <row r="350">
      <c r="A350" s="15" t="inlineStr">
        <is>
          <t>Spencer</t>
        </is>
      </c>
      <c r="B350" s="29">
        <f>IF($A350="","",IFERROR(INDEX(Roster!$B$2:$B$40,MATCH($A350,Roster!$A$2:$A$40,0)),"?"))</f>
        <v/>
      </c>
      <c r="C350" s="15" t="inlineStr">
        <is>
          <t>Craft_1</t>
        </is>
      </c>
      <c r="D350" s="29">
        <f>IF($C350="","",IFERROR(IF(INDEX(Deals!$C$2:$C$355,MATCH($C350,Deals!$A$2:$A$355,0))=0,"",INDEX(Deals!$C$2:$C$355,MATCH($C350,Deals!$A$2:$A$355,0))),"?"))</f>
        <v/>
      </c>
      <c r="E350" s="29">
        <f>IF($C350="","",IFERROR(INDEX(Deals!$F$2:$F$355,MATCH($C350,Deals!$A$2:$A$355,0)),"?"))</f>
        <v/>
      </c>
      <c r="F350" s="15" t="inlineStr">
        <is>
          <t>VP</t>
        </is>
      </c>
      <c r="G350" s="15" t="inlineStr">
        <is>
          <t>Active</t>
        </is>
      </c>
      <c r="H350" s="27" t="n"/>
      <c r="I350" s="20">
        <f>IF(OR($A350="",$G350&lt;&gt;"Active"),0,IF($H350&lt;&gt;"",$H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</f>
        <v/>
      </c>
      <c r="J350" s="23">
        <f>IF($C350="",0,IFERROR(INDEX(Deals!$H$2:$H$355,MATCH($C350,Deals!$A$2:$A$355,0)),0))</f>
        <v/>
      </c>
      <c r="K350" s="20">
        <f>IF(Settings!$B$4="Yes",$I350*$J350,$I350)</f>
        <v/>
      </c>
      <c r="L350" s="31">
        <f>IF($C350="","",IFERROR(IF(INDEX(Deals!$I$2:$I$355,MATCH($C350,Deals!$A$2:$A$355,0))=0,"",INDEX(Deals!$I$2:$I$355,MATCH($C350,Deals!$A$2:$A$355,0))),""))</f>
        <v/>
      </c>
      <c r="M350" s="31">
        <f>IF($C350="","",IFERROR(IF(INDEX(Deals!$J$2:$J$355,MATCH($C350,Deals!$A$2:$A$355,0))=0,"",INDEX(Deals!$J$2:$J$355,MATCH($C350,Deals!$A$2:$A$355,0))),""))</f>
        <v/>
      </c>
      <c r="N350" s="24">
        <f>IF($L350="",DATE(1900,1,1),$L350)</f>
        <v/>
      </c>
      <c r="O350" s="24">
        <f>IF($M350="",DATE(2100,12,31),$M350)</f>
        <v/>
      </c>
      <c r="P350" s="16" t="inlineStr">
        <is>
          <t>Proposal</t>
        </is>
      </c>
      <c r="Q350" s="16" t="inlineStr"/>
      <c r="R350" s="29">
        <f>IF($C350="","",IFERROR(IF(INDEX(Deals!$U$2:$U$355,MATCH($C350,Deals!$A$2:$A$355,0))=0,"",INDEX(Deals!$U$2:$U$355,MATCH($C350,Deals!$A$2:$A$355,0))),""))</f>
        <v/>
      </c>
      <c r="S350" s="22">
        <f>IFERROR(IF($U350="",1,INDEX(Deals!$V$2:$V$355,MATCH($C350,Deals!$A$2:$A$355,0))),1)</f>
        <v/>
      </c>
      <c r="T350" s="22">
        <f>IFERROR(IF($U350="",1,INDEX(Deals!$W$2:$W$355,MATCH($C350,Deals!$A$2:$A$355,0))),1)</f>
        <v/>
      </c>
      <c r="U350" s="31">
        <f>IF($C350="","",IFERROR(IF(INDEX(Deals!$Y$2:$Y$355,MATCH($C350,Deals!$A$2:$A$355,0))=0,"",INDEX(Deals!$Y$2:$Y$355,MATCH($C350,Deals!$A$2:$A$355,0))),""))</f>
        <v/>
      </c>
      <c r="V350" s="24">
        <f>IF($U350="",DATE(1900,1,1),$N350)</f>
        <v/>
      </c>
      <c r="W350" s="24">
        <f>IF($U350="",DATE(2100,12,31),$U350)</f>
        <v/>
      </c>
      <c r="X350" s="20">
        <f>IF($U350="",$K350,$K350*$S350)</f>
        <v/>
      </c>
      <c r="Y350" s="24">
        <f>IF($U350="",DATE(2100,12,31),$U350+1)</f>
        <v/>
      </c>
      <c r="Z350" s="24">
        <f>IF($U350="",DATE(1900,1,1),$O350)</f>
        <v/>
      </c>
      <c r="AA350" s="20">
        <f>IF($U350="",0,$K350*$T350)</f>
        <v/>
      </c>
    </row>
    <row r="351">
      <c r="A351" s="15" t="inlineStr">
        <is>
          <t>Spencer</t>
        </is>
      </c>
      <c r="B351" s="29">
        <f>IF($A351="","",IFERROR(INDEX(Roster!$B$2:$B$40,MATCH($A351,Roster!$A$2:$A$40,0)),"?"))</f>
        <v/>
      </c>
      <c r="C351" s="15" t="inlineStr">
        <is>
          <t>Diploma_1</t>
        </is>
      </c>
      <c r="D351" s="29">
        <f>IF($C351="","",IFERROR(IF(INDEX(Deals!$C$2:$C$355,MATCH($C351,Deals!$A$2:$A$355,0))=0,"",INDEX(Deals!$C$2:$C$355,MATCH($C351,Deals!$A$2:$A$355,0))),"?"))</f>
        <v/>
      </c>
      <c r="E351" s="29">
        <f>IF($C351="","",IFERROR(INDEX(Deals!$F$2:$F$355,MATCH($C351,Deals!$A$2:$A$355,0)),"?"))</f>
        <v/>
      </c>
      <c r="F351" s="15" t="inlineStr">
        <is>
          <t>VP</t>
        </is>
      </c>
      <c r="G351" s="15" t="inlineStr">
        <is>
          <t>Inactive</t>
        </is>
      </c>
      <c r="H351" s="27" t="n"/>
      <c r="I351" s="20">
        <f>IF(OR($A351="",$G351&lt;&gt;"Active"),0,IF($H351&lt;&gt;"",$H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</f>
        <v/>
      </c>
      <c r="J351" s="23">
        <f>IF($C351="",0,IFERROR(INDEX(Deals!$H$2:$H$355,MATCH($C351,Deals!$A$2:$A$355,0)),0))</f>
        <v/>
      </c>
      <c r="K351" s="20">
        <f>IF(Settings!$B$4="Yes",$I351*$J351,$I351)</f>
        <v/>
      </c>
      <c r="L351" s="31">
        <f>IF($C351="","",IFERROR(IF(INDEX(Deals!$I$2:$I$355,MATCH($C351,Deals!$A$2:$A$355,0))=0,"",INDEX(Deals!$I$2:$I$355,MATCH($C351,Deals!$A$2:$A$355,0))),""))</f>
        <v/>
      </c>
      <c r="M351" s="31">
        <f>IF($C351="","",IFERROR(IF(INDEX(Deals!$J$2:$J$355,MATCH($C351,Deals!$A$2:$A$355,0))=0,"",INDEX(Deals!$J$2:$J$355,MATCH($C351,Deals!$A$2:$A$355,0))),""))</f>
        <v/>
      </c>
      <c r="N351" s="24">
        <f>IF($L351="",DATE(1900,1,1),$L351)</f>
        <v/>
      </c>
      <c r="O351" s="24">
        <f>IF($M351="",DATE(2100,12,31),$M351)</f>
        <v/>
      </c>
      <c r="P351" s="16" t="inlineStr">
        <is>
          <t>On pause</t>
        </is>
      </c>
      <c r="Q351" s="16" t="inlineStr"/>
      <c r="R351" s="29">
        <f>IF($C351="","",IFERROR(IF(INDEX(Deals!$U$2:$U$355,MATCH($C351,Deals!$A$2:$A$355,0))=0,"",INDEX(Deals!$U$2:$U$355,MATCH($C351,Deals!$A$2:$A$355,0))),""))</f>
        <v/>
      </c>
      <c r="S351" s="22">
        <f>IFERROR(IF($U351="",1,INDEX(Deals!$V$2:$V$355,MATCH($C351,Deals!$A$2:$A$355,0))),1)</f>
        <v/>
      </c>
      <c r="T351" s="22">
        <f>IFERROR(IF($U351="",1,INDEX(Deals!$W$2:$W$355,MATCH($C351,Deals!$A$2:$A$355,0))),1)</f>
        <v/>
      </c>
      <c r="U351" s="31">
        <f>IF($C351="","",IFERROR(IF(INDEX(Deals!$Y$2:$Y$355,MATCH($C351,Deals!$A$2:$A$355,0))=0,"",INDEX(Deals!$Y$2:$Y$355,MATCH($C351,Deals!$A$2:$A$355,0))),""))</f>
        <v/>
      </c>
      <c r="V351" s="24">
        <f>IF($U351="",DATE(1900,1,1),$N351)</f>
        <v/>
      </c>
      <c r="W351" s="24">
        <f>IF($U351="",DATE(2100,12,31),$U351)</f>
        <v/>
      </c>
      <c r="X351" s="20">
        <f>IF($U351="",$K351,$K351*$S351)</f>
        <v/>
      </c>
      <c r="Y351" s="24">
        <f>IF($U351="",DATE(2100,12,31),$U351+1)</f>
        <v/>
      </c>
      <c r="Z351" s="24">
        <f>IF($U351="",DATE(1900,1,1),$O351)</f>
        <v/>
      </c>
      <c r="AA351" s="20">
        <f>IF($U351="",0,$K351*$T351)</f>
        <v/>
      </c>
    </row>
    <row r="352">
      <c r="A352" s="15" t="inlineStr">
        <is>
          <t>Spencer</t>
        </is>
      </c>
      <c r="B352" s="29">
        <f>IF($A352="","",IFERROR(INDEX(Roster!$B$2:$B$40,MATCH($A352,Roster!$A$2:$A$40,0)),"?"))</f>
        <v/>
      </c>
      <c r="C352" s="15" t="inlineStr">
        <is>
          <t>Emerald_6</t>
        </is>
      </c>
      <c r="D352" s="29">
        <f>IF($C352="","",IFERROR(IF(INDEX(Deals!$C$2:$C$355,MATCH($C352,Deals!$A$2:$A$355,0))=0,"",INDEX(Deals!$C$2:$C$355,MATCH($C352,Deals!$A$2:$A$355,0))),"?"))</f>
        <v/>
      </c>
      <c r="E352" s="29">
        <f>IF($C352="","",IFERROR(INDEX(Deals!$F$2:$F$355,MATCH($C352,Deals!$A$2:$A$355,0)),"?"))</f>
        <v/>
      </c>
      <c r="F352" s="15" t="inlineStr">
        <is>
          <t>VP</t>
        </is>
      </c>
      <c r="G352" s="15" t="inlineStr">
        <is>
          <t>Active</t>
        </is>
      </c>
      <c r="H352" s="27" t="n"/>
      <c r="I352" s="20">
        <f>IF(OR($A352="",$G352&lt;&gt;"Active"),0,IF($H352&lt;&gt;"",$H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</f>
        <v/>
      </c>
      <c r="J352" s="23">
        <f>IF($C352="",0,IFERROR(INDEX(Deals!$H$2:$H$355,MATCH($C352,Deals!$A$2:$A$355,0)),0))</f>
        <v/>
      </c>
      <c r="K352" s="20">
        <f>IF(Settings!$B$4="Yes",$I352*$J352,$I352)</f>
        <v/>
      </c>
      <c r="L352" s="31">
        <f>IF($C352="","",IFERROR(IF(INDEX(Deals!$I$2:$I$355,MATCH($C352,Deals!$A$2:$A$355,0))=0,"",INDEX(Deals!$I$2:$I$355,MATCH($C352,Deals!$A$2:$A$355,0))),""))</f>
        <v/>
      </c>
      <c r="M352" s="31">
        <f>IF($C352="","",IFERROR(IF(INDEX(Deals!$J$2:$J$355,MATCH($C352,Deals!$A$2:$A$355,0))=0,"",INDEX(Deals!$J$2:$J$355,MATCH($C352,Deals!$A$2:$A$355,0))),""))</f>
        <v/>
      </c>
      <c r="N352" s="24">
        <f>IF($L352="",DATE(1900,1,1),$L352)</f>
        <v/>
      </c>
      <c r="O352" s="24">
        <f>IF($M352="",DATE(2100,12,31),$M352)</f>
        <v/>
      </c>
      <c r="P352" s="16" t="inlineStr">
        <is>
          <t>Ongoing</t>
        </is>
      </c>
      <c r="Q352" s="16" t="inlineStr"/>
      <c r="R352" s="29">
        <f>IF($C352="","",IFERROR(IF(INDEX(Deals!$U$2:$U$355,MATCH($C352,Deals!$A$2:$A$355,0))=0,"",INDEX(Deals!$U$2:$U$355,MATCH($C352,Deals!$A$2:$A$355,0))),""))</f>
        <v/>
      </c>
      <c r="S352" s="22">
        <f>IFERROR(IF($U352="",1,INDEX(Deals!$V$2:$V$355,MATCH($C352,Deals!$A$2:$A$355,0))),1)</f>
        <v/>
      </c>
      <c r="T352" s="22">
        <f>IFERROR(IF($U352="",1,INDEX(Deals!$W$2:$W$355,MATCH($C352,Deals!$A$2:$A$355,0))),1)</f>
        <v/>
      </c>
      <c r="U352" s="31">
        <f>IF($C352="","",IFERROR(IF(INDEX(Deals!$Y$2:$Y$355,MATCH($C352,Deals!$A$2:$A$355,0))=0,"",INDEX(Deals!$Y$2:$Y$355,MATCH($C352,Deals!$A$2:$A$355,0))),""))</f>
        <v/>
      </c>
      <c r="V352" s="24">
        <f>IF($U352="",DATE(1900,1,1),$N352)</f>
        <v/>
      </c>
      <c r="W352" s="24">
        <f>IF($U352="",DATE(2100,12,31),$U352)</f>
        <v/>
      </c>
      <c r="X352" s="20">
        <f>IF($U352="",$K352,$K352*$S352)</f>
        <v/>
      </c>
      <c r="Y352" s="24">
        <f>IF($U352="",DATE(2100,12,31),$U352+1)</f>
        <v/>
      </c>
      <c r="Z352" s="24">
        <f>IF($U352="",DATE(1900,1,1),$O352)</f>
        <v/>
      </c>
      <c r="AA352" s="20">
        <f>IF($U352="",0,$K352*$T352)</f>
        <v/>
      </c>
    </row>
    <row r="353">
      <c r="A353" s="15" t="inlineStr">
        <is>
          <t>Spencer</t>
        </is>
      </c>
      <c r="B353" s="29">
        <f>IF($A353="","",IFERROR(INDEX(Roster!$B$2:$B$40,MATCH($A353,Roster!$A$2:$A$40,0)),"?"))</f>
        <v/>
      </c>
      <c r="C353" s="15" t="inlineStr">
        <is>
          <t>Galaxy_1</t>
        </is>
      </c>
      <c r="D353" s="29">
        <f>IF($C353="","",IFERROR(IF(INDEX(Deals!$C$2:$C$355,MATCH($C353,Deals!$A$2:$A$355,0))=0,"",INDEX(Deals!$C$2:$C$355,MATCH($C353,Deals!$A$2:$A$355,0))),"?"))</f>
        <v/>
      </c>
      <c r="E353" s="29">
        <f>IF($C353="","",IFERROR(INDEX(Deals!$F$2:$F$355,MATCH($C353,Deals!$A$2:$A$355,0)),"?"))</f>
        <v/>
      </c>
      <c r="F353" s="15" t="inlineStr">
        <is>
          <t>VP</t>
        </is>
      </c>
      <c r="G353" s="15" t="inlineStr">
        <is>
          <t>Inactive</t>
        </is>
      </c>
      <c r="H353" s="27" t="n"/>
      <c r="I353" s="20">
        <f>IF(OR($A353="",$G353&lt;&gt;"Active"),0,IF($H353&lt;&gt;"",$H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</f>
        <v/>
      </c>
      <c r="J353" s="23">
        <f>IF($C353="",0,IFERROR(INDEX(Deals!$H$2:$H$355,MATCH($C353,Deals!$A$2:$A$355,0)),0))</f>
        <v/>
      </c>
      <c r="K353" s="20">
        <f>IF(Settings!$B$4="Yes",$I353*$J353,$I353)</f>
        <v/>
      </c>
      <c r="L353" s="31">
        <f>IF($C353="","",IFERROR(IF(INDEX(Deals!$I$2:$I$355,MATCH($C353,Deals!$A$2:$A$355,0))=0,"",INDEX(Deals!$I$2:$I$355,MATCH($C353,Deals!$A$2:$A$355,0))),""))</f>
        <v/>
      </c>
      <c r="M353" s="31">
        <f>IF($C353="","",IFERROR(IF(INDEX(Deals!$J$2:$J$355,MATCH($C353,Deals!$A$2:$A$355,0))=0,"",INDEX(Deals!$J$2:$J$355,MATCH($C353,Deals!$A$2:$A$355,0))),""))</f>
        <v/>
      </c>
      <c r="N353" s="24">
        <f>IF($L353="",DATE(1900,1,1),$L353)</f>
        <v/>
      </c>
      <c r="O353" s="24">
        <f>IF($M353="",DATE(2100,12,31),$M353)</f>
        <v/>
      </c>
      <c r="P353" s="16" t="inlineStr">
        <is>
          <t>On pause</t>
        </is>
      </c>
      <c r="Q353" s="16" t="inlineStr"/>
      <c r="R353" s="29">
        <f>IF($C353="","",IFERROR(IF(INDEX(Deals!$U$2:$U$355,MATCH($C353,Deals!$A$2:$A$355,0))=0,"",INDEX(Deals!$U$2:$U$355,MATCH($C353,Deals!$A$2:$A$355,0))),""))</f>
        <v/>
      </c>
      <c r="S353" s="22">
        <f>IFERROR(IF($U353="",1,INDEX(Deals!$V$2:$V$355,MATCH($C353,Deals!$A$2:$A$355,0))),1)</f>
        <v/>
      </c>
      <c r="T353" s="22">
        <f>IFERROR(IF($U353="",1,INDEX(Deals!$W$2:$W$355,MATCH($C353,Deals!$A$2:$A$355,0))),1)</f>
        <v/>
      </c>
      <c r="U353" s="31">
        <f>IF($C353="","",IFERROR(IF(INDEX(Deals!$Y$2:$Y$355,MATCH($C353,Deals!$A$2:$A$355,0))=0,"",INDEX(Deals!$Y$2:$Y$355,MATCH($C353,Deals!$A$2:$A$355,0))),""))</f>
        <v/>
      </c>
      <c r="V353" s="24">
        <f>IF($U353="",DATE(1900,1,1),$N353)</f>
        <v/>
      </c>
      <c r="W353" s="24">
        <f>IF($U353="",DATE(2100,12,31),$U353)</f>
        <v/>
      </c>
      <c r="X353" s="20">
        <f>IF($U353="",$K353,$K353*$S353)</f>
        <v/>
      </c>
      <c r="Y353" s="24">
        <f>IF($U353="",DATE(2100,12,31),$U353+1)</f>
        <v/>
      </c>
      <c r="Z353" s="24">
        <f>IF($U353="",DATE(1900,1,1),$O353)</f>
        <v/>
      </c>
      <c r="AA353" s="20">
        <f>IF($U353="",0,$K353*$T353)</f>
        <v/>
      </c>
    </row>
    <row r="354">
      <c r="A354" s="15" t="inlineStr">
        <is>
          <t>Spencer</t>
        </is>
      </c>
      <c r="B354" s="29">
        <f>IF($A354="","",IFERROR(INDEX(Roster!$B$2:$B$40,MATCH($A354,Roster!$A$2:$A$40,0)),"?"))</f>
        <v/>
      </c>
      <c r="C354" s="15" t="inlineStr">
        <is>
          <t>Geneseo_1</t>
        </is>
      </c>
      <c r="D354" s="29">
        <f>IF($C354="","",IFERROR(IF(INDEX(Deals!$C$2:$C$355,MATCH($C354,Deals!$A$2:$A$355,0))=0,"",INDEX(Deals!$C$2:$C$355,MATCH($C354,Deals!$A$2:$A$355,0))),"?"))</f>
        <v/>
      </c>
      <c r="E354" s="29">
        <f>IF($C354="","",IFERROR(INDEX(Deals!$F$2:$F$355,MATCH($C354,Deals!$A$2:$A$355,0)),"?"))</f>
        <v/>
      </c>
      <c r="F354" s="15" t="inlineStr">
        <is>
          <t>VP</t>
        </is>
      </c>
      <c r="G354" s="15" t="inlineStr">
        <is>
          <t>Active</t>
        </is>
      </c>
      <c r="H354" s="27" t="n"/>
      <c r="I354" s="20">
        <f>IF(OR($A354="",$G354&lt;&gt;"Active"),0,IF($H354&lt;&gt;"",$H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</f>
        <v/>
      </c>
      <c r="J354" s="23">
        <f>IF($C354="",0,IFERROR(INDEX(Deals!$H$2:$H$355,MATCH($C354,Deals!$A$2:$A$355,0)),0))</f>
        <v/>
      </c>
      <c r="K354" s="20">
        <f>IF(Settings!$B$4="Yes",$I354*$J354,$I354)</f>
        <v/>
      </c>
      <c r="L354" s="31">
        <f>IF($C354="","",IFERROR(IF(INDEX(Deals!$I$2:$I$355,MATCH($C354,Deals!$A$2:$A$355,0))=0,"",INDEX(Deals!$I$2:$I$355,MATCH($C354,Deals!$A$2:$A$355,0))),""))</f>
        <v/>
      </c>
      <c r="M354" s="31">
        <f>IF($C354="","",IFERROR(IF(INDEX(Deals!$J$2:$J$355,MATCH($C354,Deals!$A$2:$A$355,0))=0,"",INDEX(Deals!$J$2:$J$355,MATCH($C354,Deals!$A$2:$A$355,0))),""))</f>
        <v/>
      </c>
      <c r="N354" s="24">
        <f>IF($L354="",DATE(1900,1,1),$L354)</f>
        <v/>
      </c>
      <c r="O354" s="24">
        <f>IF($M354="",DATE(2100,12,31),$M354)</f>
        <v/>
      </c>
      <c r="P354" s="16" t="inlineStr">
        <is>
          <t>Ongoing</t>
        </is>
      </c>
      <c r="Q354" s="16" t="inlineStr"/>
      <c r="R354" s="29">
        <f>IF($C354="","",IFERROR(IF(INDEX(Deals!$U$2:$U$355,MATCH($C354,Deals!$A$2:$A$355,0))=0,"",INDEX(Deals!$U$2:$U$355,MATCH($C354,Deals!$A$2:$A$355,0))),""))</f>
        <v/>
      </c>
      <c r="S354" s="22">
        <f>IFERROR(IF($U354="",1,INDEX(Deals!$V$2:$V$355,MATCH($C354,Deals!$A$2:$A$355,0))),1)</f>
        <v/>
      </c>
      <c r="T354" s="22">
        <f>IFERROR(IF($U354="",1,INDEX(Deals!$W$2:$W$355,MATCH($C354,Deals!$A$2:$A$355,0))),1)</f>
        <v/>
      </c>
      <c r="U354" s="31">
        <f>IF($C354="","",IFERROR(IF(INDEX(Deals!$Y$2:$Y$355,MATCH($C354,Deals!$A$2:$A$355,0))=0,"",INDEX(Deals!$Y$2:$Y$355,MATCH($C354,Deals!$A$2:$A$355,0))),""))</f>
        <v/>
      </c>
      <c r="V354" s="24">
        <f>IF($U354="",DATE(1900,1,1),$N354)</f>
        <v/>
      </c>
      <c r="W354" s="24">
        <f>IF($U354="",DATE(2100,12,31),$U354)</f>
        <v/>
      </c>
      <c r="X354" s="20">
        <f>IF($U354="",$K354,$K354*$S354)</f>
        <v/>
      </c>
      <c r="Y354" s="24">
        <f>IF($U354="",DATE(2100,12,31),$U354+1)</f>
        <v/>
      </c>
      <c r="Z354" s="24">
        <f>IF($U354="",DATE(1900,1,1),$O354)</f>
        <v/>
      </c>
      <c r="AA354" s="20">
        <f>IF($U354="",0,$K354*$T354)</f>
        <v/>
      </c>
    </row>
    <row r="355">
      <c r="A355" s="15" t="inlineStr">
        <is>
          <t>Spencer</t>
        </is>
      </c>
      <c r="B355" s="29">
        <f>IF($A355="","",IFERROR(INDEX(Roster!$B$2:$B$40,MATCH($A355,Roster!$A$2:$A$40,0)),"?"))</f>
        <v/>
      </c>
      <c r="C355" s="15" t="inlineStr">
        <is>
          <t>Helios_2</t>
        </is>
      </c>
      <c r="D355" s="29">
        <f>IF($C355="","",IFERROR(IF(INDEX(Deals!$C$2:$C$355,MATCH($C355,Deals!$A$2:$A$355,0))=0,"",INDEX(Deals!$C$2:$C$355,MATCH($C355,Deals!$A$2:$A$355,0))),"?"))</f>
        <v/>
      </c>
      <c r="E355" s="29">
        <f>IF($C355="","",IFERROR(INDEX(Deals!$F$2:$F$355,MATCH($C355,Deals!$A$2:$A$355,0)),"?"))</f>
        <v/>
      </c>
      <c r="F355" s="15" t="inlineStr">
        <is>
          <t>VP</t>
        </is>
      </c>
      <c r="G355" s="15" t="inlineStr">
        <is>
          <t>Inactive</t>
        </is>
      </c>
      <c r="H355" s="27" t="n"/>
      <c r="I355" s="20">
        <f>IF(OR($A355="",$G355&lt;&gt;"Active"),0,IF($H355&lt;&gt;"",$H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</f>
        <v/>
      </c>
      <c r="J355" s="23">
        <f>IF($C355="",0,IFERROR(INDEX(Deals!$H$2:$H$355,MATCH($C355,Deals!$A$2:$A$355,0)),0))</f>
        <v/>
      </c>
      <c r="K355" s="20">
        <f>IF(Settings!$B$4="Yes",$I355*$J355,$I355)</f>
        <v/>
      </c>
      <c r="L355" s="31">
        <f>IF($C355="","",IFERROR(IF(INDEX(Deals!$I$2:$I$355,MATCH($C355,Deals!$A$2:$A$355,0))=0,"",INDEX(Deals!$I$2:$I$355,MATCH($C355,Deals!$A$2:$A$355,0))),""))</f>
        <v/>
      </c>
      <c r="M355" s="31">
        <f>IF($C355="","",IFERROR(IF(INDEX(Deals!$J$2:$J$355,MATCH($C355,Deals!$A$2:$A$355,0))=0,"",INDEX(Deals!$J$2:$J$355,MATCH($C355,Deals!$A$2:$A$355,0))),""))</f>
        <v/>
      </c>
      <c r="N355" s="24">
        <f>IF($L355="",DATE(1900,1,1),$L355)</f>
        <v/>
      </c>
      <c r="O355" s="24">
        <f>IF($M355="",DATE(2100,12,31),$M355)</f>
        <v/>
      </c>
      <c r="P355" s="16" t="inlineStr">
        <is>
          <t>Ongoing but not involved with</t>
        </is>
      </c>
      <c r="Q355" s="16" t="inlineStr"/>
      <c r="R355" s="29">
        <f>IF($C355="","",IFERROR(IF(INDEX(Deals!$U$2:$U$355,MATCH($C355,Deals!$A$2:$A$355,0))=0,"",INDEX(Deals!$U$2:$U$355,MATCH($C355,Deals!$A$2:$A$355,0))),""))</f>
        <v/>
      </c>
      <c r="S355" s="22">
        <f>IFERROR(IF($U355="",1,INDEX(Deals!$V$2:$V$355,MATCH($C355,Deals!$A$2:$A$355,0))),1)</f>
        <v/>
      </c>
      <c r="T355" s="22">
        <f>IFERROR(IF($U355="",1,INDEX(Deals!$W$2:$W$355,MATCH($C355,Deals!$A$2:$A$355,0))),1)</f>
        <v/>
      </c>
      <c r="U355" s="31">
        <f>IF($C355="","",IFERROR(IF(INDEX(Deals!$Y$2:$Y$355,MATCH($C355,Deals!$A$2:$A$355,0))=0,"",INDEX(Deals!$Y$2:$Y$355,MATCH($C355,Deals!$A$2:$A$355,0))),""))</f>
        <v/>
      </c>
      <c r="V355" s="24">
        <f>IF($U355="",DATE(1900,1,1),$N355)</f>
        <v/>
      </c>
      <c r="W355" s="24">
        <f>IF($U355="",DATE(2100,12,31),$U355)</f>
        <v/>
      </c>
      <c r="X355" s="20">
        <f>IF($U355="",$K355,$K355*$S355)</f>
        <v/>
      </c>
      <c r="Y355" s="24">
        <f>IF($U355="",DATE(2100,12,31),$U355+1)</f>
        <v/>
      </c>
      <c r="Z355" s="24">
        <f>IF($U355="",DATE(1900,1,1),$O355)</f>
        <v/>
      </c>
      <c r="AA355" s="20">
        <f>IF($U355="",0,$K355*$T355)</f>
        <v/>
      </c>
    </row>
    <row r="356">
      <c r="A356" s="15" t="inlineStr">
        <is>
          <t>Spencer</t>
        </is>
      </c>
      <c r="B356" s="29">
        <f>IF($A356="","",IFERROR(INDEX(Roster!$B$2:$B$40,MATCH($A356,Roster!$A$2:$A$40,0)),"?"))</f>
        <v/>
      </c>
      <c r="C356" s="15" t="inlineStr">
        <is>
          <t>Human_1</t>
        </is>
      </c>
      <c r="D356" s="29">
        <f>IF($C356="","",IFERROR(IF(INDEX(Deals!$C$2:$C$355,MATCH($C356,Deals!$A$2:$A$355,0))=0,"",INDEX(Deals!$C$2:$C$355,MATCH($C356,Deals!$A$2:$A$355,0))),"?"))</f>
        <v/>
      </c>
      <c r="E356" s="29">
        <f>IF($C356="","",IFERROR(INDEX(Deals!$F$2:$F$355,MATCH($C356,Deals!$A$2:$A$355,0)),"?"))</f>
        <v/>
      </c>
      <c r="F356" s="15" t="inlineStr">
        <is>
          <t>VP</t>
        </is>
      </c>
      <c r="G356" s="15" t="inlineStr">
        <is>
          <t>Active</t>
        </is>
      </c>
      <c r="H356" s="27" t="n"/>
      <c r="I356" s="20">
        <f>IF(OR($A356="",$G356&lt;&gt;"Active"),0,IF($H356&lt;&gt;"",$H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</f>
        <v/>
      </c>
      <c r="J356" s="23">
        <f>IF($C356="",0,IFERROR(INDEX(Deals!$H$2:$H$355,MATCH($C356,Deals!$A$2:$A$355,0)),0))</f>
        <v/>
      </c>
      <c r="K356" s="20">
        <f>IF(Settings!$B$4="Yes",$I356*$J356,$I356)</f>
        <v/>
      </c>
      <c r="L356" s="31">
        <f>IF($C356="","",IFERROR(IF(INDEX(Deals!$I$2:$I$355,MATCH($C356,Deals!$A$2:$A$355,0))=0,"",INDEX(Deals!$I$2:$I$355,MATCH($C356,Deals!$A$2:$A$355,0))),""))</f>
        <v/>
      </c>
      <c r="M356" s="31">
        <f>IF($C356="","",IFERROR(IF(INDEX(Deals!$J$2:$J$355,MATCH($C356,Deals!$A$2:$A$355,0))=0,"",INDEX(Deals!$J$2:$J$355,MATCH($C356,Deals!$A$2:$A$355,0))),""))</f>
        <v/>
      </c>
      <c r="N356" s="24">
        <f>IF($L356="",DATE(1900,1,1),$L356)</f>
        <v/>
      </c>
      <c r="O356" s="24">
        <f>IF($M356="",DATE(2100,12,31),$M356)</f>
        <v/>
      </c>
      <c r="P356" s="16" t="inlineStr">
        <is>
          <t>Ongoing</t>
        </is>
      </c>
      <c r="Q356" s="16" t="inlineStr"/>
      <c r="R356" s="29">
        <f>IF($C356="","",IFERROR(IF(INDEX(Deals!$U$2:$U$355,MATCH($C356,Deals!$A$2:$A$355,0))=0,"",INDEX(Deals!$U$2:$U$355,MATCH($C356,Deals!$A$2:$A$355,0))),""))</f>
        <v/>
      </c>
      <c r="S356" s="22">
        <f>IFERROR(IF($U356="",1,INDEX(Deals!$V$2:$V$355,MATCH($C356,Deals!$A$2:$A$355,0))),1)</f>
        <v/>
      </c>
      <c r="T356" s="22">
        <f>IFERROR(IF($U356="",1,INDEX(Deals!$W$2:$W$355,MATCH($C356,Deals!$A$2:$A$355,0))),1)</f>
        <v/>
      </c>
      <c r="U356" s="31">
        <f>IF($C356="","",IFERROR(IF(INDEX(Deals!$Y$2:$Y$355,MATCH($C356,Deals!$A$2:$A$355,0))=0,"",INDEX(Deals!$Y$2:$Y$355,MATCH($C356,Deals!$A$2:$A$355,0))),""))</f>
        <v/>
      </c>
      <c r="V356" s="24">
        <f>IF($U356="",DATE(1900,1,1),$N356)</f>
        <v/>
      </c>
      <c r="W356" s="24">
        <f>IF($U356="",DATE(2100,12,31),$U356)</f>
        <v/>
      </c>
      <c r="X356" s="20">
        <f>IF($U356="",$K356,$K356*$S356)</f>
        <v/>
      </c>
      <c r="Y356" s="24">
        <f>IF($U356="",DATE(2100,12,31),$U356+1)</f>
        <v/>
      </c>
      <c r="Z356" s="24">
        <f>IF($U356="",DATE(1900,1,1),$O356)</f>
        <v/>
      </c>
      <c r="AA356" s="20">
        <f>IF($U356="",0,$K356*$T356)</f>
        <v/>
      </c>
    </row>
    <row r="357">
      <c r="A357" s="15" t="inlineStr">
        <is>
          <t>Spencer</t>
        </is>
      </c>
      <c r="B357" s="29">
        <f>IF($A357="","",IFERROR(INDEX(Roster!$B$2:$B$40,MATCH($A357,Roster!$A$2:$A$40,0)),"?"))</f>
        <v/>
      </c>
      <c r="C357" s="15" t="inlineStr">
        <is>
          <t>Lockup</t>
        </is>
      </c>
      <c r="D357" s="29">
        <f>IF($C357="","",IFERROR(IF(INDEX(Deals!$C$2:$C$355,MATCH($C357,Deals!$A$2:$A$355,0))=0,"",INDEX(Deals!$C$2:$C$355,MATCH($C357,Deals!$A$2:$A$355,0))),"?"))</f>
        <v/>
      </c>
      <c r="E357" s="29">
        <f>IF($C357="","",IFERROR(INDEX(Deals!$F$2:$F$355,MATCH($C357,Deals!$A$2:$A$355,0)),"?"))</f>
        <v/>
      </c>
      <c r="F357" s="15" t="inlineStr">
        <is>
          <t>VP</t>
        </is>
      </c>
      <c r="G357" s="15" t="inlineStr">
        <is>
          <t>Active</t>
        </is>
      </c>
      <c r="H357" s="27" t="n"/>
      <c r="I357" s="20">
        <f>IF(OR($A357="",$G357&lt;&gt;"Active"),0,IF($H357&lt;&gt;"",$H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</f>
        <v/>
      </c>
      <c r="J357" s="23">
        <f>IF($C357="",0,IFERROR(INDEX(Deals!$H$2:$H$355,MATCH($C357,Deals!$A$2:$A$355,0)),0))</f>
        <v/>
      </c>
      <c r="K357" s="20">
        <f>IF(Settings!$B$4="Yes",$I357*$J357,$I357)</f>
        <v/>
      </c>
      <c r="L357" s="31">
        <f>IF($C357="","",IFERROR(IF(INDEX(Deals!$I$2:$I$355,MATCH($C357,Deals!$A$2:$A$355,0))=0,"",INDEX(Deals!$I$2:$I$355,MATCH($C357,Deals!$A$2:$A$355,0))),""))</f>
        <v/>
      </c>
      <c r="M357" s="31">
        <f>IF($C357="","",IFERROR(IF(INDEX(Deals!$J$2:$J$355,MATCH($C357,Deals!$A$2:$A$355,0))=0,"",INDEX(Deals!$J$2:$J$355,MATCH($C357,Deals!$A$2:$A$355,0))),""))</f>
        <v/>
      </c>
      <c r="N357" s="24">
        <f>IF($L357="",DATE(1900,1,1),$L357)</f>
        <v/>
      </c>
      <c r="O357" s="24">
        <f>IF($M357="",DATE(2100,12,31),$M357)</f>
        <v/>
      </c>
      <c r="P357" s="16" t="inlineStr">
        <is>
          <t>Proposal</t>
        </is>
      </c>
      <c r="Q357" s="16" t="inlineStr">
        <is>
          <t>Added from Summary tab</t>
        </is>
      </c>
      <c r="R357" s="29">
        <f>IF($C357="","",IFERROR(IF(INDEX(Deals!$U$2:$U$355,MATCH($C357,Deals!$A$2:$A$355,0))=0,"",INDEX(Deals!$U$2:$U$355,MATCH($C357,Deals!$A$2:$A$355,0))),""))</f>
        <v/>
      </c>
      <c r="S357" s="22">
        <f>IFERROR(IF($U357="",1,INDEX(Deals!$V$2:$V$355,MATCH($C357,Deals!$A$2:$A$355,0))),1)</f>
        <v/>
      </c>
      <c r="T357" s="22">
        <f>IFERROR(IF($U357="",1,INDEX(Deals!$W$2:$W$355,MATCH($C357,Deals!$A$2:$A$355,0))),1)</f>
        <v/>
      </c>
      <c r="U357" s="31">
        <f>IF($C357="","",IFERROR(IF(INDEX(Deals!$Y$2:$Y$355,MATCH($C357,Deals!$A$2:$A$355,0))=0,"",INDEX(Deals!$Y$2:$Y$355,MATCH($C357,Deals!$A$2:$A$355,0))),""))</f>
        <v/>
      </c>
      <c r="V357" s="24">
        <f>IF($U357="",DATE(1900,1,1),$N357)</f>
        <v/>
      </c>
      <c r="W357" s="24">
        <f>IF($U357="",DATE(2100,12,31),$U357)</f>
        <v/>
      </c>
      <c r="X357" s="20">
        <f>IF($U357="",$K357,$K357*$S357)</f>
        <v/>
      </c>
      <c r="Y357" s="24">
        <f>IF($U357="",DATE(2100,12,31),$U357+1)</f>
        <v/>
      </c>
      <c r="Z357" s="24">
        <f>IF($U357="",DATE(1900,1,1),$O357)</f>
        <v/>
      </c>
      <c r="AA357" s="20">
        <f>IF($U357="",0,$K357*$T357)</f>
        <v/>
      </c>
    </row>
    <row r="358">
      <c r="A358" s="15" t="inlineStr">
        <is>
          <t>Spencer</t>
        </is>
      </c>
      <c r="B358" s="29">
        <f>IF($A358="","",IFERROR(INDEX(Roster!$B$2:$B$40,MATCH($A358,Roster!$A$2:$A$40,0)),"?"))</f>
        <v/>
      </c>
      <c r="C358" s="15" t="inlineStr">
        <is>
          <t>Lumenad_1</t>
        </is>
      </c>
      <c r="D358" s="29">
        <f>IF($C358="","",IFERROR(IF(INDEX(Deals!$C$2:$C$355,MATCH($C358,Deals!$A$2:$A$355,0))=0,"",INDEX(Deals!$C$2:$C$355,MATCH($C358,Deals!$A$2:$A$355,0))),"?"))</f>
        <v/>
      </c>
      <c r="E358" s="29">
        <f>IF($C358="","",IFERROR(INDEX(Deals!$F$2:$F$355,MATCH($C358,Deals!$A$2:$A$355,0)),"?"))</f>
        <v/>
      </c>
      <c r="F358" s="15" t="inlineStr">
        <is>
          <t>VP</t>
        </is>
      </c>
      <c r="G358" s="15" t="inlineStr">
        <is>
          <t>Active</t>
        </is>
      </c>
      <c r="H358" s="27" t="n"/>
      <c r="I358" s="20">
        <f>IF(OR($A358="",$G358&lt;&gt;"Active"),0,IF($H358&lt;&gt;"",$H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</f>
        <v/>
      </c>
      <c r="J358" s="23">
        <f>IF($C358="",0,IFERROR(INDEX(Deals!$H$2:$H$355,MATCH($C358,Deals!$A$2:$A$355,0)),0))</f>
        <v/>
      </c>
      <c r="K358" s="20">
        <f>IF(Settings!$B$4="Yes",$I358*$J358,$I358)</f>
        <v/>
      </c>
      <c r="L358" s="31">
        <f>IF($C358="","",IFERROR(IF(INDEX(Deals!$I$2:$I$355,MATCH($C358,Deals!$A$2:$A$355,0))=0,"",INDEX(Deals!$I$2:$I$355,MATCH($C358,Deals!$A$2:$A$355,0))),""))</f>
        <v/>
      </c>
      <c r="M358" s="31">
        <f>IF($C358="","",IFERROR(IF(INDEX(Deals!$J$2:$J$355,MATCH($C358,Deals!$A$2:$A$355,0))=0,"",INDEX(Deals!$J$2:$J$355,MATCH($C358,Deals!$A$2:$A$355,0))),""))</f>
        <v/>
      </c>
      <c r="N358" s="24">
        <f>IF($L358="",DATE(1900,1,1),$L358)</f>
        <v/>
      </c>
      <c r="O358" s="24">
        <f>IF($M358="",DATE(2100,12,31),$M358)</f>
        <v/>
      </c>
      <c r="P358" s="16" t="inlineStr">
        <is>
          <t>Ongoing</t>
        </is>
      </c>
      <c r="Q358" s="16" t="inlineStr"/>
      <c r="R358" s="29">
        <f>IF($C358="","",IFERROR(IF(INDEX(Deals!$U$2:$U$355,MATCH($C358,Deals!$A$2:$A$355,0))=0,"",INDEX(Deals!$U$2:$U$355,MATCH($C358,Deals!$A$2:$A$355,0))),""))</f>
        <v/>
      </c>
      <c r="S358" s="22">
        <f>IFERROR(IF($U358="",1,INDEX(Deals!$V$2:$V$355,MATCH($C358,Deals!$A$2:$A$355,0))),1)</f>
        <v/>
      </c>
      <c r="T358" s="22">
        <f>IFERROR(IF($U358="",1,INDEX(Deals!$W$2:$W$355,MATCH($C358,Deals!$A$2:$A$355,0))),1)</f>
        <v/>
      </c>
      <c r="U358" s="31">
        <f>IF($C358="","",IFERROR(IF(INDEX(Deals!$Y$2:$Y$355,MATCH($C358,Deals!$A$2:$A$355,0))=0,"",INDEX(Deals!$Y$2:$Y$355,MATCH($C358,Deals!$A$2:$A$355,0))),""))</f>
        <v/>
      </c>
      <c r="V358" s="24">
        <f>IF($U358="",DATE(1900,1,1),$N358)</f>
        <v/>
      </c>
      <c r="W358" s="24">
        <f>IF($U358="",DATE(2100,12,31),$U358)</f>
        <v/>
      </c>
      <c r="X358" s="20">
        <f>IF($U358="",$K358,$K358*$S358)</f>
        <v/>
      </c>
      <c r="Y358" s="24">
        <f>IF($U358="",DATE(2100,12,31),$U358+1)</f>
        <v/>
      </c>
      <c r="Z358" s="24">
        <f>IF($U358="",DATE(1900,1,1),$O358)</f>
        <v/>
      </c>
      <c r="AA358" s="20">
        <f>IF($U358="",0,$K358*$T358)</f>
        <v/>
      </c>
    </row>
    <row r="359">
      <c r="A359" s="15" t="inlineStr">
        <is>
          <t>Spencer</t>
        </is>
      </c>
      <c r="B359" s="29">
        <f>IF($A359="","",IFERROR(INDEX(Roster!$B$2:$B$40,MATCH($A359,Roster!$A$2:$A$40,0)),"?"))</f>
        <v/>
      </c>
      <c r="C359" s="15" t="inlineStr">
        <is>
          <t>Mont_1</t>
        </is>
      </c>
      <c r="D359" s="29">
        <f>IF($C359="","",IFERROR(IF(INDEX(Deals!$C$2:$C$355,MATCH($C359,Deals!$A$2:$A$355,0))=0,"",INDEX(Deals!$C$2:$C$355,MATCH($C359,Deals!$A$2:$A$355,0))),"?"))</f>
        <v/>
      </c>
      <c r="E359" s="29">
        <f>IF($C359="","",IFERROR(INDEX(Deals!$F$2:$F$355,MATCH($C359,Deals!$A$2:$A$355,0)),"?"))</f>
        <v/>
      </c>
      <c r="F359" s="15" t="inlineStr">
        <is>
          <t>VP</t>
        </is>
      </c>
      <c r="G359" s="15" t="inlineStr">
        <is>
          <t>Inactive</t>
        </is>
      </c>
      <c r="H359" s="27" t="n"/>
      <c r="I359" s="20">
        <f>IF(OR($A359="",$G359&lt;&gt;"Active"),0,IF($H359&lt;&gt;"",$H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</f>
        <v/>
      </c>
      <c r="J359" s="23">
        <f>IF($C359="",0,IFERROR(INDEX(Deals!$H$2:$H$355,MATCH($C359,Deals!$A$2:$A$355,0)),0))</f>
        <v/>
      </c>
      <c r="K359" s="20">
        <f>IF(Settings!$B$4="Yes",$I359*$J359,$I359)</f>
        <v/>
      </c>
      <c r="L359" s="31">
        <f>IF($C359="","",IFERROR(IF(INDEX(Deals!$I$2:$I$355,MATCH($C359,Deals!$A$2:$A$355,0))=0,"",INDEX(Deals!$I$2:$I$355,MATCH($C359,Deals!$A$2:$A$355,0))),""))</f>
        <v/>
      </c>
      <c r="M359" s="31">
        <f>IF($C359="","",IFERROR(IF(INDEX(Deals!$J$2:$J$355,MATCH($C359,Deals!$A$2:$A$355,0))=0,"",INDEX(Deals!$J$2:$J$355,MATCH($C359,Deals!$A$2:$A$355,0))),""))</f>
        <v/>
      </c>
      <c r="N359" s="24">
        <f>IF($L359="",DATE(1900,1,1),$L359)</f>
        <v/>
      </c>
      <c r="O359" s="24">
        <f>IF($M359="",DATE(2100,12,31),$M359)</f>
        <v/>
      </c>
      <c r="P359" s="16" t="inlineStr">
        <is>
          <t>Closed</t>
        </is>
      </c>
      <c r="Q359" s="16" t="inlineStr"/>
      <c r="R359" s="29">
        <f>IF($C359="","",IFERROR(IF(INDEX(Deals!$U$2:$U$355,MATCH($C359,Deals!$A$2:$A$355,0))=0,"",INDEX(Deals!$U$2:$U$355,MATCH($C359,Deals!$A$2:$A$355,0))),""))</f>
        <v/>
      </c>
      <c r="S359" s="22">
        <f>IFERROR(IF($U359="",1,INDEX(Deals!$V$2:$V$355,MATCH($C359,Deals!$A$2:$A$355,0))),1)</f>
        <v/>
      </c>
      <c r="T359" s="22">
        <f>IFERROR(IF($U359="",1,INDEX(Deals!$W$2:$W$355,MATCH($C359,Deals!$A$2:$A$355,0))),1)</f>
        <v/>
      </c>
      <c r="U359" s="31">
        <f>IF($C359="","",IFERROR(IF(INDEX(Deals!$Y$2:$Y$355,MATCH($C359,Deals!$A$2:$A$355,0))=0,"",INDEX(Deals!$Y$2:$Y$355,MATCH($C359,Deals!$A$2:$A$355,0))),""))</f>
        <v/>
      </c>
      <c r="V359" s="24">
        <f>IF($U359="",DATE(1900,1,1),$N359)</f>
        <v/>
      </c>
      <c r="W359" s="24">
        <f>IF($U359="",DATE(2100,12,31),$U359)</f>
        <v/>
      </c>
      <c r="X359" s="20">
        <f>IF($U359="",$K359,$K359*$S359)</f>
        <v/>
      </c>
      <c r="Y359" s="24">
        <f>IF($U359="",DATE(2100,12,31),$U359+1)</f>
        <v/>
      </c>
      <c r="Z359" s="24">
        <f>IF($U359="",DATE(1900,1,1),$O359)</f>
        <v/>
      </c>
      <c r="AA359" s="20">
        <f>IF($U359="",0,$K359*$T359)</f>
        <v/>
      </c>
    </row>
    <row r="360">
      <c r="A360" s="15" t="inlineStr">
        <is>
          <t>Spencer</t>
        </is>
      </c>
      <c r="B360" s="29">
        <f>IF($A360="","",IFERROR(INDEX(Roster!$B$2:$B$40,MATCH($A360,Roster!$A$2:$A$40,0)),"?"))</f>
        <v/>
      </c>
      <c r="C360" s="15" t="inlineStr">
        <is>
          <t>Naples_2</t>
        </is>
      </c>
      <c r="D360" s="29">
        <f>IF($C360="","",IFERROR(IF(INDEX(Deals!$C$2:$C$355,MATCH($C360,Deals!$A$2:$A$355,0))=0,"",INDEX(Deals!$C$2:$C$355,MATCH($C360,Deals!$A$2:$A$355,0))),"?"))</f>
        <v/>
      </c>
      <c r="E360" s="29">
        <f>IF($C360="","",IFERROR(INDEX(Deals!$F$2:$F$355,MATCH($C360,Deals!$A$2:$A$355,0)),"?"))</f>
        <v/>
      </c>
      <c r="F360" s="15" t="inlineStr">
        <is>
          <t>VP</t>
        </is>
      </c>
      <c r="G360" s="15" t="inlineStr">
        <is>
          <t>Inactive</t>
        </is>
      </c>
      <c r="H360" s="27" t="n"/>
      <c r="I360" s="20">
        <f>IF(OR($A360="",$G360&lt;&gt;"Active"),0,IF($H360&lt;&gt;"",$H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</f>
        <v/>
      </c>
      <c r="J360" s="23">
        <f>IF($C360="",0,IFERROR(INDEX(Deals!$H$2:$H$355,MATCH($C360,Deals!$A$2:$A$355,0)),0))</f>
        <v/>
      </c>
      <c r="K360" s="20">
        <f>IF(Settings!$B$4="Yes",$I360*$J360,$I360)</f>
        <v/>
      </c>
      <c r="L360" s="31">
        <f>IF($C360="","",IFERROR(IF(INDEX(Deals!$I$2:$I$355,MATCH($C360,Deals!$A$2:$A$355,0))=0,"",INDEX(Deals!$I$2:$I$355,MATCH($C360,Deals!$A$2:$A$355,0))),""))</f>
        <v/>
      </c>
      <c r="M360" s="31">
        <f>IF($C360="","",IFERROR(IF(INDEX(Deals!$J$2:$J$355,MATCH($C360,Deals!$A$2:$A$355,0))=0,"",INDEX(Deals!$J$2:$J$355,MATCH($C360,Deals!$A$2:$A$355,0))),""))</f>
        <v/>
      </c>
      <c r="N360" s="24">
        <f>IF($L360="",DATE(1900,1,1),$L360)</f>
        <v/>
      </c>
      <c r="O360" s="24">
        <f>IF($M360="",DATE(2100,12,31),$M360)</f>
        <v/>
      </c>
      <c r="P360" s="16" t="inlineStr">
        <is>
          <t>Closed</t>
        </is>
      </c>
      <c r="Q360" s="16" t="inlineStr"/>
      <c r="R360" s="29">
        <f>IF($C360="","",IFERROR(IF(INDEX(Deals!$U$2:$U$355,MATCH($C360,Deals!$A$2:$A$355,0))=0,"",INDEX(Deals!$U$2:$U$355,MATCH($C360,Deals!$A$2:$A$355,0))),""))</f>
        <v/>
      </c>
      <c r="S360" s="22">
        <f>IFERROR(IF($U360="",1,INDEX(Deals!$V$2:$V$355,MATCH($C360,Deals!$A$2:$A$355,0))),1)</f>
        <v/>
      </c>
      <c r="T360" s="22">
        <f>IFERROR(IF($U360="",1,INDEX(Deals!$W$2:$W$355,MATCH($C360,Deals!$A$2:$A$355,0))),1)</f>
        <v/>
      </c>
      <c r="U360" s="31">
        <f>IF($C360="","",IFERROR(IF(INDEX(Deals!$Y$2:$Y$355,MATCH($C360,Deals!$A$2:$A$355,0))=0,"",INDEX(Deals!$Y$2:$Y$355,MATCH($C360,Deals!$A$2:$A$355,0))),""))</f>
        <v/>
      </c>
      <c r="V360" s="24">
        <f>IF($U360="",DATE(1900,1,1),$N360)</f>
        <v/>
      </c>
      <c r="W360" s="24">
        <f>IF($U360="",DATE(2100,12,31),$U360)</f>
        <v/>
      </c>
      <c r="X360" s="20">
        <f>IF($U360="",$K360,$K360*$S360)</f>
        <v/>
      </c>
      <c r="Y360" s="24">
        <f>IF($U360="",DATE(2100,12,31),$U360+1)</f>
        <v/>
      </c>
      <c r="Z360" s="24">
        <f>IF($U360="",DATE(1900,1,1),$O360)</f>
        <v/>
      </c>
      <c r="AA360" s="20">
        <f>IF($U360="",0,$K360*$T360)</f>
        <v/>
      </c>
    </row>
    <row r="361">
      <c r="A361" s="15" t="inlineStr">
        <is>
          <t>Spencer</t>
        </is>
      </c>
      <c r="B361" s="29">
        <f>IF($A361="","",IFERROR(INDEX(Roster!$B$2:$B$40,MATCH($A361,Roster!$A$2:$A$40,0)),"?"))</f>
        <v/>
      </c>
      <c r="C361" s="15" t="inlineStr">
        <is>
          <t>Pet_1</t>
        </is>
      </c>
      <c r="D361" s="29">
        <f>IF($C361="","",IFERROR(IF(INDEX(Deals!$C$2:$C$355,MATCH($C361,Deals!$A$2:$A$355,0))=0,"",INDEX(Deals!$C$2:$C$355,MATCH($C361,Deals!$A$2:$A$355,0))),"?"))</f>
        <v/>
      </c>
      <c r="E361" s="29">
        <f>IF($C361="","",IFERROR(INDEX(Deals!$F$2:$F$355,MATCH($C361,Deals!$A$2:$A$355,0)),"?"))</f>
        <v/>
      </c>
      <c r="F361" s="15" t="inlineStr">
        <is>
          <t>VP</t>
        </is>
      </c>
      <c r="G361" s="15" t="inlineStr">
        <is>
          <t>Active</t>
        </is>
      </c>
      <c r="H361" s="27" t="n"/>
      <c r="I361" s="20">
        <f>IF(OR($A361="",$G361&lt;&gt;"Active"),0,IF($H361&lt;&gt;"",$H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</f>
        <v/>
      </c>
      <c r="J361" s="23">
        <f>IF($C361="",0,IFERROR(INDEX(Deals!$H$2:$H$355,MATCH($C361,Deals!$A$2:$A$355,0)),0))</f>
        <v/>
      </c>
      <c r="K361" s="20">
        <f>IF(Settings!$B$4="Yes",$I361*$J361,$I361)</f>
        <v/>
      </c>
      <c r="L361" s="31">
        <f>IF($C361="","",IFERROR(IF(INDEX(Deals!$I$2:$I$355,MATCH($C361,Deals!$A$2:$A$355,0))=0,"",INDEX(Deals!$I$2:$I$355,MATCH($C361,Deals!$A$2:$A$355,0))),""))</f>
        <v/>
      </c>
      <c r="M361" s="31">
        <f>IF($C361="","",IFERROR(IF(INDEX(Deals!$J$2:$J$355,MATCH($C361,Deals!$A$2:$A$355,0))=0,"",INDEX(Deals!$J$2:$J$355,MATCH($C361,Deals!$A$2:$A$355,0))),""))</f>
        <v/>
      </c>
      <c r="N361" s="24">
        <f>IF($L361="",DATE(1900,1,1),$L361)</f>
        <v/>
      </c>
      <c r="O361" s="24">
        <f>IF($M361="",DATE(2100,12,31),$M361)</f>
        <v/>
      </c>
      <c r="P361" s="16" t="inlineStr">
        <is>
          <t>Ongoing</t>
        </is>
      </c>
      <c r="Q361" s="16" t="inlineStr"/>
      <c r="R361" s="29">
        <f>IF($C361="","",IFERROR(IF(INDEX(Deals!$U$2:$U$355,MATCH($C361,Deals!$A$2:$A$355,0))=0,"",INDEX(Deals!$U$2:$U$355,MATCH($C361,Deals!$A$2:$A$355,0))),""))</f>
        <v/>
      </c>
      <c r="S361" s="22">
        <f>IFERROR(IF($U361="",1,INDEX(Deals!$V$2:$V$355,MATCH($C361,Deals!$A$2:$A$355,0))),1)</f>
        <v/>
      </c>
      <c r="T361" s="22">
        <f>IFERROR(IF($U361="",1,INDEX(Deals!$W$2:$W$355,MATCH($C361,Deals!$A$2:$A$355,0))),1)</f>
        <v/>
      </c>
      <c r="U361" s="31">
        <f>IF($C361="","",IFERROR(IF(INDEX(Deals!$Y$2:$Y$355,MATCH($C361,Deals!$A$2:$A$355,0))=0,"",INDEX(Deals!$Y$2:$Y$355,MATCH($C361,Deals!$A$2:$A$355,0))),""))</f>
        <v/>
      </c>
      <c r="V361" s="24">
        <f>IF($U361="",DATE(1900,1,1),$N361)</f>
        <v/>
      </c>
      <c r="W361" s="24">
        <f>IF($U361="",DATE(2100,12,31),$U361)</f>
        <v/>
      </c>
      <c r="X361" s="20">
        <f>IF($U361="",$K361,$K361*$S361)</f>
        <v/>
      </c>
      <c r="Y361" s="24">
        <f>IF($U361="",DATE(2100,12,31),$U361+1)</f>
        <v/>
      </c>
      <c r="Z361" s="24">
        <f>IF($U361="",DATE(1900,1,1),$O361)</f>
        <v/>
      </c>
      <c r="AA361" s="20">
        <f>IF($U361="",0,$K361*$T361)</f>
        <v/>
      </c>
    </row>
    <row r="362">
      <c r="A362" s="15" t="inlineStr">
        <is>
          <t>Spencer</t>
        </is>
      </c>
      <c r="B362" s="29">
        <f>IF($A362="","",IFERROR(INDEX(Roster!$B$2:$B$40,MATCH($A362,Roster!$A$2:$A$40,0)),"?"))</f>
        <v/>
      </c>
      <c r="C362" s="15" t="inlineStr">
        <is>
          <t>Prince_3</t>
        </is>
      </c>
      <c r="D362" s="29">
        <f>IF($C362="","",IFERROR(IF(INDEX(Deals!$C$2:$C$355,MATCH($C362,Deals!$A$2:$A$355,0))=0,"",INDEX(Deals!$C$2:$C$355,MATCH($C362,Deals!$A$2:$A$355,0))),"?"))</f>
        <v/>
      </c>
      <c r="E362" s="29">
        <f>IF($C362="","",IFERROR(INDEX(Deals!$F$2:$F$355,MATCH($C362,Deals!$A$2:$A$355,0)),"?"))</f>
        <v/>
      </c>
      <c r="F362" s="15" t="inlineStr">
        <is>
          <t>VP</t>
        </is>
      </c>
      <c r="G362" s="15" t="inlineStr">
        <is>
          <t>Active</t>
        </is>
      </c>
      <c r="H362" s="27" t="n"/>
      <c r="I362" s="20">
        <f>IF(OR($A362="",$G362&lt;&gt;"Active"),0,IF($H362&lt;&gt;"",$H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</f>
        <v/>
      </c>
      <c r="J362" s="23">
        <f>IF($C362="",0,IFERROR(INDEX(Deals!$H$2:$H$355,MATCH($C362,Deals!$A$2:$A$355,0)),0))</f>
        <v/>
      </c>
      <c r="K362" s="20">
        <f>IF(Settings!$B$4="Yes",$I362*$J362,$I362)</f>
        <v/>
      </c>
      <c r="L362" s="31">
        <f>IF($C362="","",IFERROR(IF(INDEX(Deals!$I$2:$I$355,MATCH($C362,Deals!$A$2:$A$355,0))=0,"",INDEX(Deals!$I$2:$I$355,MATCH($C362,Deals!$A$2:$A$355,0))),""))</f>
        <v/>
      </c>
      <c r="M362" s="31">
        <f>IF($C362="","",IFERROR(IF(INDEX(Deals!$J$2:$J$355,MATCH($C362,Deals!$A$2:$A$355,0))=0,"",INDEX(Deals!$J$2:$J$355,MATCH($C362,Deals!$A$2:$A$355,0))),""))</f>
        <v/>
      </c>
      <c r="N362" s="24">
        <f>IF($L362="",DATE(1900,1,1),$L362)</f>
        <v/>
      </c>
      <c r="O362" s="24">
        <f>IF($M362="",DATE(2100,12,31),$M362)</f>
        <v/>
      </c>
      <c r="P362" s="16" t="inlineStr">
        <is>
          <t>Ongoing</t>
        </is>
      </c>
      <c r="Q362" s="16" t="inlineStr"/>
      <c r="R362" s="29">
        <f>IF($C362="","",IFERROR(IF(INDEX(Deals!$U$2:$U$355,MATCH($C362,Deals!$A$2:$A$355,0))=0,"",INDEX(Deals!$U$2:$U$355,MATCH($C362,Deals!$A$2:$A$355,0))),""))</f>
        <v/>
      </c>
      <c r="S362" s="22">
        <f>IFERROR(IF($U362="",1,INDEX(Deals!$V$2:$V$355,MATCH($C362,Deals!$A$2:$A$355,0))),1)</f>
        <v/>
      </c>
      <c r="T362" s="22">
        <f>IFERROR(IF($U362="",1,INDEX(Deals!$W$2:$W$355,MATCH($C362,Deals!$A$2:$A$355,0))),1)</f>
        <v/>
      </c>
      <c r="U362" s="31">
        <f>IF($C362="","",IFERROR(IF(INDEX(Deals!$Y$2:$Y$355,MATCH($C362,Deals!$A$2:$A$355,0))=0,"",INDEX(Deals!$Y$2:$Y$355,MATCH($C362,Deals!$A$2:$A$355,0))),""))</f>
        <v/>
      </c>
      <c r="V362" s="24">
        <f>IF($U362="",DATE(1900,1,1),$N362)</f>
        <v/>
      </c>
      <c r="W362" s="24">
        <f>IF($U362="",DATE(2100,12,31),$U362)</f>
        <v/>
      </c>
      <c r="X362" s="20">
        <f>IF($U362="",$K362,$K362*$S362)</f>
        <v/>
      </c>
      <c r="Y362" s="24">
        <f>IF($U362="",DATE(2100,12,31),$U362+1)</f>
        <v/>
      </c>
      <c r="Z362" s="24">
        <f>IF($U362="",DATE(1900,1,1),$O362)</f>
        <v/>
      </c>
      <c r="AA362" s="20">
        <f>IF($U362="",0,$K362*$T362)</f>
        <v/>
      </c>
    </row>
    <row r="363">
      <c r="A363" s="15" t="inlineStr">
        <is>
          <t>Spencer</t>
        </is>
      </c>
      <c r="B363" s="29">
        <f>IF($A363="","",IFERROR(INDEX(Roster!$B$2:$B$40,MATCH($A363,Roster!$A$2:$A$40,0)),"?"))</f>
        <v/>
      </c>
      <c r="C363" s="15" t="inlineStr">
        <is>
          <t>Rover_3</t>
        </is>
      </c>
      <c r="D363" s="29">
        <f>IF($C363="","",IFERROR(IF(INDEX(Deals!$C$2:$C$355,MATCH($C363,Deals!$A$2:$A$355,0))=0,"",INDEX(Deals!$C$2:$C$355,MATCH($C363,Deals!$A$2:$A$355,0))),"?"))</f>
        <v/>
      </c>
      <c r="E363" s="29">
        <f>IF($C363="","",IFERROR(INDEX(Deals!$F$2:$F$355,MATCH($C363,Deals!$A$2:$A$355,0)),"?"))</f>
        <v/>
      </c>
      <c r="F363" s="15" t="inlineStr">
        <is>
          <t>VP</t>
        </is>
      </c>
      <c r="G363" s="15" t="inlineStr">
        <is>
          <t>Inactive</t>
        </is>
      </c>
      <c r="H363" s="27" t="n"/>
      <c r="I363" s="20">
        <f>IF(OR($A363="",$G363&lt;&gt;"Active"),0,IF($H363&lt;&gt;"",$H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</f>
        <v/>
      </c>
      <c r="J363" s="23">
        <f>IF($C363="",0,IFERROR(INDEX(Deals!$H$2:$H$355,MATCH($C363,Deals!$A$2:$A$355,0)),0))</f>
        <v/>
      </c>
      <c r="K363" s="20">
        <f>IF(Settings!$B$4="Yes",$I363*$J363,$I363)</f>
        <v/>
      </c>
      <c r="L363" s="31">
        <f>IF($C363="","",IFERROR(IF(INDEX(Deals!$I$2:$I$355,MATCH($C363,Deals!$A$2:$A$355,0))=0,"",INDEX(Deals!$I$2:$I$355,MATCH($C363,Deals!$A$2:$A$355,0))),""))</f>
        <v/>
      </c>
      <c r="M363" s="31">
        <f>IF($C363="","",IFERROR(IF(INDEX(Deals!$J$2:$J$355,MATCH($C363,Deals!$A$2:$A$355,0))=0,"",INDEX(Deals!$J$2:$J$355,MATCH($C363,Deals!$A$2:$A$355,0))),""))</f>
        <v/>
      </c>
      <c r="N363" s="24">
        <f>IF($L363="",DATE(1900,1,1),$L363)</f>
        <v/>
      </c>
      <c r="O363" s="24">
        <f>IF($M363="",DATE(2100,12,31),$M363)</f>
        <v/>
      </c>
      <c r="P363" s="16" t="inlineStr">
        <is>
          <t>Closed--wire for payment should have been already sent</t>
        </is>
      </c>
      <c r="Q363" s="16" t="inlineStr"/>
      <c r="R363" s="29">
        <f>IF($C363="","",IFERROR(IF(INDEX(Deals!$U$2:$U$355,MATCH($C363,Deals!$A$2:$A$355,0))=0,"",INDEX(Deals!$U$2:$U$355,MATCH($C363,Deals!$A$2:$A$355,0))),""))</f>
        <v/>
      </c>
      <c r="S363" s="22">
        <f>IFERROR(IF($U363="",1,INDEX(Deals!$V$2:$V$355,MATCH($C363,Deals!$A$2:$A$355,0))),1)</f>
        <v/>
      </c>
      <c r="T363" s="22">
        <f>IFERROR(IF($U363="",1,INDEX(Deals!$W$2:$W$355,MATCH($C363,Deals!$A$2:$A$355,0))),1)</f>
        <v/>
      </c>
      <c r="U363" s="31">
        <f>IF($C363="","",IFERROR(IF(INDEX(Deals!$Y$2:$Y$355,MATCH($C363,Deals!$A$2:$A$355,0))=0,"",INDEX(Deals!$Y$2:$Y$355,MATCH($C363,Deals!$A$2:$A$355,0))),""))</f>
        <v/>
      </c>
      <c r="V363" s="24">
        <f>IF($U363="",DATE(1900,1,1),$N363)</f>
        <v/>
      </c>
      <c r="W363" s="24">
        <f>IF($U363="",DATE(2100,12,31),$U363)</f>
        <v/>
      </c>
      <c r="X363" s="20">
        <f>IF($U363="",$K363,$K363*$S363)</f>
        <v/>
      </c>
      <c r="Y363" s="24">
        <f>IF($U363="",DATE(2100,12,31),$U363+1)</f>
        <v/>
      </c>
      <c r="Z363" s="24">
        <f>IF($U363="",DATE(1900,1,1),$O363)</f>
        <v/>
      </c>
      <c r="AA363" s="20">
        <f>IF($U363="",0,$K363*$T363)</f>
        <v/>
      </c>
    </row>
    <row r="364">
      <c r="A364" s="15" t="inlineStr">
        <is>
          <t>Spencer</t>
        </is>
      </c>
      <c r="B364" s="29">
        <f>IF($A364="","",IFERROR(INDEX(Roster!$B$2:$B$40,MATCH($A364,Roster!$A$2:$A$40,0)),"?"))</f>
        <v/>
      </c>
      <c r="C364" s="15" t="inlineStr">
        <is>
          <t>Shika_1</t>
        </is>
      </c>
      <c r="D364" s="29">
        <f>IF($C364="","",IFERROR(IF(INDEX(Deals!$C$2:$C$355,MATCH($C364,Deals!$A$2:$A$355,0))=0,"",INDEX(Deals!$C$2:$C$355,MATCH($C364,Deals!$A$2:$A$355,0))),"?"))</f>
        <v/>
      </c>
      <c r="E364" s="29">
        <f>IF($C364="","",IFERROR(INDEX(Deals!$F$2:$F$355,MATCH($C364,Deals!$A$2:$A$355,0)),"?"))</f>
        <v/>
      </c>
      <c r="F364" s="15" t="inlineStr">
        <is>
          <t>VP</t>
        </is>
      </c>
      <c r="G364" s="15" t="inlineStr">
        <is>
          <t>Active</t>
        </is>
      </c>
      <c r="H364" s="27" t="n"/>
      <c r="I364" s="20">
        <f>IF(OR($A364="",$G364&lt;&gt;"Active"),0,IF($H364&lt;&gt;"",$H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</f>
        <v/>
      </c>
      <c r="J364" s="23">
        <f>IF($C364="",0,IFERROR(INDEX(Deals!$H$2:$H$355,MATCH($C364,Deals!$A$2:$A$355,0)),0))</f>
        <v/>
      </c>
      <c r="K364" s="20">
        <f>IF(Settings!$B$4="Yes",$I364*$J364,$I364)</f>
        <v/>
      </c>
      <c r="L364" s="31">
        <f>IF($C364="","",IFERROR(IF(INDEX(Deals!$I$2:$I$355,MATCH($C364,Deals!$A$2:$A$355,0))=0,"",INDEX(Deals!$I$2:$I$355,MATCH($C364,Deals!$A$2:$A$355,0))),""))</f>
        <v/>
      </c>
      <c r="M364" s="31">
        <f>IF($C364="","",IFERROR(IF(INDEX(Deals!$J$2:$J$355,MATCH($C364,Deals!$A$2:$A$355,0))=0,"",INDEX(Deals!$J$2:$J$355,MATCH($C364,Deals!$A$2:$A$355,0))),""))</f>
        <v/>
      </c>
      <c r="N364" s="24">
        <f>IF($L364="",DATE(1900,1,1),$L364)</f>
        <v/>
      </c>
      <c r="O364" s="24">
        <f>IF($M364="",DATE(2100,12,31),$M364)</f>
        <v/>
      </c>
      <c r="P364" s="16" t="inlineStr">
        <is>
          <t>Ongoing--close to invoicing</t>
        </is>
      </c>
      <c r="Q364" s="16" t="inlineStr"/>
      <c r="R364" s="29">
        <f>IF($C364="","",IFERROR(IF(INDEX(Deals!$U$2:$U$355,MATCH($C364,Deals!$A$2:$A$355,0))=0,"",INDEX(Deals!$U$2:$U$355,MATCH($C364,Deals!$A$2:$A$355,0))),""))</f>
        <v/>
      </c>
      <c r="S364" s="22">
        <f>IFERROR(IF($U364="",1,INDEX(Deals!$V$2:$V$355,MATCH($C364,Deals!$A$2:$A$355,0))),1)</f>
        <v/>
      </c>
      <c r="T364" s="22">
        <f>IFERROR(IF($U364="",1,INDEX(Deals!$W$2:$W$355,MATCH($C364,Deals!$A$2:$A$355,0))),1)</f>
        <v/>
      </c>
      <c r="U364" s="31">
        <f>IF($C364="","",IFERROR(IF(INDEX(Deals!$Y$2:$Y$355,MATCH($C364,Deals!$A$2:$A$355,0))=0,"",INDEX(Deals!$Y$2:$Y$355,MATCH($C364,Deals!$A$2:$A$355,0))),""))</f>
        <v/>
      </c>
      <c r="V364" s="24">
        <f>IF($U364="",DATE(1900,1,1),$N364)</f>
        <v/>
      </c>
      <c r="W364" s="24">
        <f>IF($U364="",DATE(2100,12,31),$U364)</f>
        <v/>
      </c>
      <c r="X364" s="20">
        <f>IF($U364="",$K364,$K364*$S364)</f>
        <v/>
      </c>
      <c r="Y364" s="24">
        <f>IF($U364="",DATE(2100,12,31),$U364+1)</f>
        <v/>
      </c>
      <c r="Z364" s="24">
        <f>IF($U364="",DATE(1900,1,1),$O364)</f>
        <v/>
      </c>
      <c r="AA364" s="20">
        <f>IF($U364="",0,$K364*$T364)</f>
        <v/>
      </c>
    </row>
    <row r="365">
      <c r="A365" s="15" t="inlineStr">
        <is>
          <t>Spencer</t>
        </is>
      </c>
      <c r="B365" s="29">
        <f>IF($A365="","",IFERROR(INDEX(Roster!$B$2:$B$40,MATCH($A365,Roster!$A$2:$A$40,0)),"?"))</f>
        <v/>
      </c>
      <c r="C365" s="15" t="inlineStr">
        <is>
          <t>Story_1</t>
        </is>
      </c>
      <c r="D365" s="29">
        <f>IF($C365="","",IFERROR(IF(INDEX(Deals!$C$2:$C$355,MATCH($C365,Deals!$A$2:$A$355,0))=0,"",INDEX(Deals!$C$2:$C$355,MATCH($C365,Deals!$A$2:$A$355,0))),"?"))</f>
        <v/>
      </c>
      <c r="E365" s="29">
        <f>IF($C365="","",IFERROR(INDEX(Deals!$F$2:$F$355,MATCH($C365,Deals!$A$2:$A$355,0)),"?"))</f>
        <v/>
      </c>
      <c r="F365" s="15" t="inlineStr">
        <is>
          <t>VP</t>
        </is>
      </c>
      <c r="G365" s="15" t="inlineStr">
        <is>
          <t>Inactive</t>
        </is>
      </c>
      <c r="H365" s="27" t="n"/>
      <c r="I365" s="20">
        <f>IF(OR($A365="",$G365&lt;&gt;"Active"),0,IF($H365&lt;&gt;"",$H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</f>
        <v/>
      </c>
      <c r="J365" s="23">
        <f>IF($C365="",0,IFERROR(INDEX(Deals!$H$2:$H$355,MATCH($C365,Deals!$A$2:$A$355,0)),0))</f>
        <v/>
      </c>
      <c r="K365" s="20">
        <f>IF(Settings!$B$4="Yes",$I365*$J365,$I365)</f>
        <v/>
      </c>
      <c r="L365" s="31">
        <f>IF($C365="","",IFERROR(IF(INDEX(Deals!$I$2:$I$355,MATCH($C365,Deals!$A$2:$A$355,0))=0,"",INDEX(Deals!$I$2:$I$355,MATCH($C365,Deals!$A$2:$A$355,0))),""))</f>
        <v/>
      </c>
      <c r="M365" s="31">
        <f>IF($C365="","",IFERROR(IF(INDEX(Deals!$J$2:$J$355,MATCH($C365,Deals!$A$2:$A$355,0))=0,"",INDEX(Deals!$J$2:$J$355,MATCH($C365,Deals!$A$2:$A$355,0))),""))</f>
        <v/>
      </c>
      <c r="N365" s="24">
        <f>IF($L365="",DATE(1900,1,1),$L365)</f>
        <v/>
      </c>
      <c r="O365" s="24">
        <f>IF($M365="",DATE(2100,12,31),$M365)</f>
        <v/>
      </c>
      <c r="P365" s="16" t="inlineStr">
        <is>
          <t>Died</t>
        </is>
      </c>
      <c r="Q365" s="16" t="inlineStr"/>
      <c r="R365" s="29">
        <f>IF($C365="","",IFERROR(IF(INDEX(Deals!$U$2:$U$355,MATCH($C365,Deals!$A$2:$A$355,0))=0,"",INDEX(Deals!$U$2:$U$355,MATCH($C365,Deals!$A$2:$A$355,0))),""))</f>
        <v/>
      </c>
      <c r="S365" s="22">
        <f>IFERROR(IF($U365="",1,INDEX(Deals!$V$2:$V$355,MATCH($C365,Deals!$A$2:$A$355,0))),1)</f>
        <v/>
      </c>
      <c r="T365" s="22">
        <f>IFERROR(IF($U365="",1,INDEX(Deals!$W$2:$W$355,MATCH($C365,Deals!$A$2:$A$355,0))),1)</f>
        <v/>
      </c>
      <c r="U365" s="31">
        <f>IF($C365="","",IFERROR(IF(INDEX(Deals!$Y$2:$Y$355,MATCH($C365,Deals!$A$2:$A$355,0))=0,"",INDEX(Deals!$Y$2:$Y$355,MATCH($C365,Deals!$A$2:$A$355,0))),""))</f>
        <v/>
      </c>
      <c r="V365" s="24">
        <f>IF($U365="",DATE(1900,1,1),$N365)</f>
        <v/>
      </c>
      <c r="W365" s="24">
        <f>IF($U365="",DATE(2100,12,31),$U365)</f>
        <v/>
      </c>
      <c r="X365" s="20">
        <f>IF($U365="",$K365,$K365*$S365)</f>
        <v/>
      </c>
      <c r="Y365" s="24">
        <f>IF($U365="",DATE(2100,12,31),$U365+1)</f>
        <v/>
      </c>
      <c r="Z365" s="24">
        <f>IF($U365="",DATE(1900,1,1),$O365)</f>
        <v/>
      </c>
      <c r="AA365" s="20">
        <f>IF($U365="",0,$K365*$T365)</f>
        <v/>
      </c>
    </row>
    <row r="366">
      <c r="A366" s="15" t="inlineStr">
        <is>
          <t>Spencer</t>
        </is>
      </c>
      <c r="B366" s="29">
        <f>IF($A366="","",IFERROR(INDEX(Roster!$B$2:$B$40,MATCH($A366,Roster!$A$2:$A$40,0)),"?"))</f>
        <v/>
      </c>
      <c r="C366" s="15" t="inlineStr">
        <is>
          <t>Truman_1</t>
        </is>
      </c>
      <c r="D366" s="29">
        <f>IF($C366="","",IFERROR(IF(INDEX(Deals!$C$2:$C$355,MATCH($C366,Deals!$A$2:$A$355,0))=0,"",INDEX(Deals!$C$2:$C$355,MATCH($C366,Deals!$A$2:$A$355,0))),"?"))</f>
        <v/>
      </c>
      <c r="E366" s="29">
        <f>IF($C366="","",IFERROR(INDEX(Deals!$F$2:$F$355,MATCH($C366,Deals!$A$2:$A$355,0)),"?"))</f>
        <v/>
      </c>
      <c r="F366" s="15" t="inlineStr">
        <is>
          <t>VP</t>
        </is>
      </c>
      <c r="G366" s="15" t="inlineStr">
        <is>
          <t>Inactive</t>
        </is>
      </c>
      <c r="H366" s="27" t="n"/>
      <c r="I366" s="20">
        <f>IF(OR($A366="",$G366&lt;&gt;"Active"),0,IF($H366&lt;&gt;"",$H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</f>
        <v/>
      </c>
      <c r="J366" s="23">
        <f>IF($C366="",0,IFERROR(INDEX(Deals!$H$2:$H$355,MATCH($C366,Deals!$A$2:$A$355,0)),0))</f>
        <v/>
      </c>
      <c r="K366" s="20">
        <f>IF(Settings!$B$4="Yes",$I366*$J366,$I366)</f>
        <v/>
      </c>
      <c r="L366" s="31">
        <f>IF($C366="","",IFERROR(IF(INDEX(Deals!$I$2:$I$355,MATCH($C366,Deals!$A$2:$A$355,0))=0,"",INDEX(Deals!$I$2:$I$355,MATCH($C366,Deals!$A$2:$A$355,0))),""))</f>
        <v/>
      </c>
      <c r="M366" s="31">
        <f>IF($C366="","",IFERROR(IF(INDEX(Deals!$J$2:$J$355,MATCH($C366,Deals!$A$2:$A$355,0))=0,"",INDEX(Deals!$J$2:$J$355,MATCH($C366,Deals!$A$2:$A$355,0))),""))</f>
        <v/>
      </c>
      <c r="N366" s="24">
        <f>IF($L366="",DATE(1900,1,1),$L366)</f>
        <v/>
      </c>
      <c r="O366" s="24">
        <f>IF($M366="",DATE(2100,12,31),$M366)</f>
        <v/>
      </c>
      <c r="P366" s="16" t="inlineStr">
        <is>
          <t>Closed</t>
        </is>
      </c>
      <c r="Q366" s="16" t="inlineStr"/>
      <c r="R366" s="29">
        <f>IF($C366="","",IFERROR(IF(INDEX(Deals!$U$2:$U$355,MATCH($C366,Deals!$A$2:$A$355,0))=0,"",INDEX(Deals!$U$2:$U$355,MATCH($C366,Deals!$A$2:$A$355,0))),""))</f>
        <v/>
      </c>
      <c r="S366" s="22">
        <f>IFERROR(IF($U366="",1,INDEX(Deals!$V$2:$V$355,MATCH($C366,Deals!$A$2:$A$355,0))),1)</f>
        <v/>
      </c>
      <c r="T366" s="22">
        <f>IFERROR(IF($U366="",1,INDEX(Deals!$W$2:$W$355,MATCH($C366,Deals!$A$2:$A$355,0))),1)</f>
        <v/>
      </c>
      <c r="U366" s="31">
        <f>IF($C366="","",IFERROR(IF(INDEX(Deals!$Y$2:$Y$355,MATCH($C366,Deals!$A$2:$A$355,0))=0,"",INDEX(Deals!$Y$2:$Y$355,MATCH($C366,Deals!$A$2:$A$355,0))),""))</f>
        <v/>
      </c>
      <c r="V366" s="24">
        <f>IF($U366="",DATE(1900,1,1),$N366)</f>
        <v/>
      </c>
      <c r="W366" s="24">
        <f>IF($U366="",DATE(2100,12,31),$U366)</f>
        <v/>
      </c>
      <c r="X366" s="20">
        <f>IF($U366="",$K366,$K366*$S366)</f>
        <v/>
      </c>
      <c r="Y366" s="24">
        <f>IF($U366="",DATE(2100,12,31),$U366+1)</f>
        <v/>
      </c>
      <c r="Z366" s="24">
        <f>IF($U366="",DATE(1900,1,1),$O366)</f>
        <v/>
      </c>
      <c r="AA366" s="20">
        <f>IF($U366="",0,$K366*$T366)</f>
        <v/>
      </c>
    </row>
    <row r="367">
      <c r="A367" s="15" t="inlineStr">
        <is>
          <t>Spencer</t>
        </is>
      </c>
      <c r="B367" s="29">
        <f>IF($A367="","",IFERROR(INDEX(Roster!$B$2:$B$40,MATCH($A367,Roster!$A$2:$A$40,0)),"?"))</f>
        <v/>
      </c>
      <c r="C367" s="15" t="inlineStr">
        <is>
          <t>Voltaire_1</t>
        </is>
      </c>
      <c r="D367" s="29">
        <f>IF($C367="","",IFERROR(IF(INDEX(Deals!$C$2:$C$355,MATCH($C367,Deals!$A$2:$A$355,0))=0,"",INDEX(Deals!$C$2:$C$355,MATCH($C367,Deals!$A$2:$A$355,0))),"?"))</f>
        <v/>
      </c>
      <c r="E367" s="29">
        <f>IF($C367="","",IFERROR(INDEX(Deals!$F$2:$F$355,MATCH($C367,Deals!$A$2:$A$355,0)),"?"))</f>
        <v/>
      </c>
      <c r="F367" s="15" t="inlineStr">
        <is>
          <t>VP</t>
        </is>
      </c>
      <c r="G367" s="15" t="inlineStr">
        <is>
          <t>Active</t>
        </is>
      </c>
      <c r="H367" s="27" t="n"/>
      <c r="I367" s="20">
        <f>IF(OR($A367="",$G367&lt;&gt;"Active"),0,IF($H367&lt;&gt;"",$H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</f>
        <v/>
      </c>
      <c r="J367" s="23">
        <f>IF($C367="",0,IFERROR(INDEX(Deals!$H$2:$H$355,MATCH($C367,Deals!$A$2:$A$355,0)),0))</f>
        <v/>
      </c>
      <c r="K367" s="20">
        <f>IF(Settings!$B$4="Yes",$I367*$J367,$I367)</f>
        <v/>
      </c>
      <c r="L367" s="31">
        <f>IF($C367="","",IFERROR(IF(INDEX(Deals!$I$2:$I$355,MATCH($C367,Deals!$A$2:$A$355,0))=0,"",INDEX(Deals!$I$2:$I$355,MATCH($C367,Deals!$A$2:$A$355,0))),""))</f>
        <v/>
      </c>
      <c r="M367" s="31">
        <f>IF($C367="","",IFERROR(IF(INDEX(Deals!$J$2:$J$355,MATCH($C367,Deals!$A$2:$A$355,0))=0,"",INDEX(Deals!$J$2:$J$355,MATCH($C367,Deals!$A$2:$A$355,0))),""))</f>
        <v/>
      </c>
      <c r="N367" s="24">
        <f>IF($L367="",DATE(1900,1,1),$L367)</f>
        <v/>
      </c>
      <c r="O367" s="24">
        <f>IF($M367="",DATE(2100,12,31),$M367)</f>
        <v/>
      </c>
      <c r="P367" s="16" t="inlineStr">
        <is>
          <t>Proposal</t>
        </is>
      </c>
      <c r="Q367" s="16" t="inlineStr"/>
      <c r="R367" s="29">
        <f>IF($C367="","",IFERROR(IF(INDEX(Deals!$U$2:$U$355,MATCH($C367,Deals!$A$2:$A$355,0))=0,"",INDEX(Deals!$U$2:$U$355,MATCH($C367,Deals!$A$2:$A$355,0))),""))</f>
        <v/>
      </c>
      <c r="S367" s="22">
        <f>IFERROR(IF($U367="",1,INDEX(Deals!$V$2:$V$355,MATCH($C367,Deals!$A$2:$A$355,0))),1)</f>
        <v/>
      </c>
      <c r="T367" s="22">
        <f>IFERROR(IF($U367="",1,INDEX(Deals!$W$2:$W$355,MATCH($C367,Deals!$A$2:$A$355,0))),1)</f>
        <v/>
      </c>
      <c r="U367" s="31">
        <f>IF($C367="","",IFERROR(IF(INDEX(Deals!$Y$2:$Y$355,MATCH($C367,Deals!$A$2:$A$355,0))=0,"",INDEX(Deals!$Y$2:$Y$355,MATCH($C367,Deals!$A$2:$A$355,0))),""))</f>
        <v/>
      </c>
      <c r="V367" s="24">
        <f>IF($U367="",DATE(1900,1,1),$N367)</f>
        <v/>
      </c>
      <c r="W367" s="24">
        <f>IF($U367="",DATE(2100,12,31),$U367)</f>
        <v/>
      </c>
      <c r="X367" s="20">
        <f>IF($U367="",$K367,$K367*$S367)</f>
        <v/>
      </c>
      <c r="Y367" s="24">
        <f>IF($U367="",DATE(2100,12,31),$U367+1)</f>
        <v/>
      </c>
      <c r="Z367" s="24">
        <f>IF($U367="",DATE(1900,1,1),$O367)</f>
        <v/>
      </c>
      <c r="AA367" s="20">
        <f>IF($U367="",0,$K367*$T367)</f>
        <v/>
      </c>
    </row>
    <row r="368">
      <c r="A368" s="15" t="inlineStr">
        <is>
          <t>Patch</t>
        </is>
      </c>
      <c r="B368" s="29">
        <f>IF($A368="","",IFERROR(INDEX(Roster!$B$2:$B$40,MATCH($A368,Roster!$A$2:$A$40,0)),"?"))</f>
        <v/>
      </c>
      <c r="C368" s="15" t="inlineStr">
        <is>
          <t>Adanac_1</t>
        </is>
      </c>
      <c r="D368" s="29">
        <f>IF($C368="","",IFERROR(IF(INDEX(Deals!$C$2:$C$355,MATCH($C368,Deals!$A$2:$A$355,0))=0,"",INDEX(Deals!$C$2:$C$355,MATCH($C368,Deals!$A$2:$A$355,0))),"?"))</f>
        <v/>
      </c>
      <c r="E368" s="29">
        <f>IF($C368="","",IFERROR(INDEX(Deals!$F$2:$F$355,MATCH($C368,Deals!$A$2:$A$355,0)),"?"))</f>
        <v/>
      </c>
      <c r="F368" s="15" t="inlineStr">
        <is>
          <t>VP</t>
        </is>
      </c>
      <c r="G368" s="15" t="inlineStr">
        <is>
          <t>Inactive</t>
        </is>
      </c>
      <c r="H368" s="27" t="n"/>
      <c r="I368" s="20">
        <f>IF(OR($A368="",$G368&lt;&gt;"Active"),0,IF($H368&lt;&gt;"",$H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</f>
        <v/>
      </c>
      <c r="J368" s="23">
        <f>IF($C368="",0,IFERROR(INDEX(Deals!$H$2:$H$355,MATCH($C368,Deals!$A$2:$A$355,0)),0))</f>
        <v/>
      </c>
      <c r="K368" s="20">
        <f>IF(Settings!$B$4="Yes",$I368*$J368,$I368)</f>
        <v/>
      </c>
      <c r="L368" s="31">
        <f>IF($C368="","",IFERROR(IF(INDEX(Deals!$I$2:$I$355,MATCH($C368,Deals!$A$2:$A$355,0))=0,"",INDEX(Deals!$I$2:$I$355,MATCH($C368,Deals!$A$2:$A$355,0))),""))</f>
        <v/>
      </c>
      <c r="M368" s="31">
        <f>IF($C368="","",IFERROR(IF(INDEX(Deals!$J$2:$J$355,MATCH($C368,Deals!$A$2:$A$355,0))=0,"",INDEX(Deals!$J$2:$J$355,MATCH($C368,Deals!$A$2:$A$355,0))),""))</f>
        <v/>
      </c>
      <c r="N368" s="24">
        <f>IF($L368="",DATE(1900,1,1),$L368)</f>
        <v/>
      </c>
      <c r="O368" s="24">
        <f>IF($M368="",DATE(2100,12,31),$M368)</f>
        <v/>
      </c>
      <c r="P368" s="16" t="inlineStr">
        <is>
          <t>Invoiced</t>
        </is>
      </c>
      <c r="Q368" s="16" t="inlineStr"/>
      <c r="R368" s="29">
        <f>IF($C368="","",IFERROR(IF(INDEX(Deals!$U$2:$U$355,MATCH($C368,Deals!$A$2:$A$355,0))=0,"",INDEX(Deals!$U$2:$U$355,MATCH($C368,Deals!$A$2:$A$355,0))),""))</f>
        <v/>
      </c>
      <c r="S368" s="22">
        <f>IFERROR(IF($U368="",1,INDEX(Deals!$V$2:$V$355,MATCH($C368,Deals!$A$2:$A$355,0))),1)</f>
        <v/>
      </c>
      <c r="T368" s="22">
        <f>IFERROR(IF($U368="",1,INDEX(Deals!$W$2:$W$355,MATCH($C368,Deals!$A$2:$A$355,0))),1)</f>
        <v/>
      </c>
      <c r="U368" s="31">
        <f>IF($C368="","",IFERROR(IF(INDEX(Deals!$Y$2:$Y$355,MATCH($C368,Deals!$A$2:$A$355,0))=0,"",INDEX(Deals!$Y$2:$Y$355,MATCH($C368,Deals!$A$2:$A$355,0))),""))</f>
        <v/>
      </c>
      <c r="V368" s="24">
        <f>IF($U368="",DATE(1900,1,1),$N368)</f>
        <v/>
      </c>
      <c r="W368" s="24">
        <f>IF($U368="",DATE(2100,12,31),$U368)</f>
        <v/>
      </c>
      <c r="X368" s="20">
        <f>IF($U368="",$K368,$K368*$S368)</f>
        <v/>
      </c>
      <c r="Y368" s="24">
        <f>IF($U368="",DATE(2100,12,31),$U368+1)</f>
        <v/>
      </c>
      <c r="Z368" s="24">
        <f>IF($U368="",DATE(1900,1,1),$O368)</f>
        <v/>
      </c>
      <c r="AA368" s="20">
        <f>IF($U368="",0,$K368*$T368)</f>
        <v/>
      </c>
    </row>
    <row r="369">
      <c r="A369" s="15" t="inlineStr">
        <is>
          <t>Patch</t>
        </is>
      </c>
      <c r="B369" s="29">
        <f>IF($A369="","",IFERROR(INDEX(Roster!$B$2:$B$40,MATCH($A369,Roster!$A$2:$A$40,0)),"?"))</f>
        <v/>
      </c>
      <c r="C369" s="15" t="inlineStr">
        <is>
          <t>AIM_5</t>
        </is>
      </c>
      <c r="D369" s="29">
        <f>IF($C369="","",IFERROR(IF(INDEX(Deals!$C$2:$C$355,MATCH($C369,Deals!$A$2:$A$355,0))=0,"",INDEX(Deals!$C$2:$C$355,MATCH($C369,Deals!$A$2:$A$355,0))),"?"))</f>
        <v/>
      </c>
      <c r="E369" s="29">
        <f>IF($C369="","",IFERROR(INDEX(Deals!$F$2:$F$355,MATCH($C369,Deals!$A$2:$A$355,0)),"?"))</f>
        <v/>
      </c>
      <c r="F369" s="15" t="inlineStr">
        <is>
          <t>VP</t>
        </is>
      </c>
      <c r="G369" s="15" t="inlineStr">
        <is>
          <t>Inactive</t>
        </is>
      </c>
      <c r="H369" s="27" t="n"/>
      <c r="I369" s="20">
        <f>IF(OR($A369="",$G369&lt;&gt;"Active"),0,IF($H369&lt;&gt;"",$H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</f>
        <v/>
      </c>
      <c r="J369" s="23">
        <f>IF($C369="",0,IFERROR(INDEX(Deals!$H$2:$H$355,MATCH($C369,Deals!$A$2:$A$355,0)),0))</f>
        <v/>
      </c>
      <c r="K369" s="20">
        <f>IF(Settings!$B$4="Yes",$I369*$J369,$I369)</f>
        <v/>
      </c>
      <c r="L369" s="31">
        <f>IF($C369="","",IFERROR(IF(INDEX(Deals!$I$2:$I$355,MATCH($C369,Deals!$A$2:$A$355,0))=0,"",INDEX(Deals!$I$2:$I$355,MATCH($C369,Deals!$A$2:$A$355,0))),""))</f>
        <v/>
      </c>
      <c r="M369" s="31">
        <f>IF($C369="","",IFERROR(IF(INDEX(Deals!$J$2:$J$355,MATCH($C369,Deals!$A$2:$A$355,0))=0,"",INDEX(Deals!$J$2:$J$355,MATCH($C369,Deals!$A$2:$A$355,0))),""))</f>
        <v/>
      </c>
      <c r="N369" s="24">
        <f>IF($L369="",DATE(1900,1,1),$L369)</f>
        <v/>
      </c>
      <c r="O369" s="24">
        <f>IF($M369="",DATE(2100,12,31),$M369)</f>
        <v/>
      </c>
      <c r="P369" s="16" t="inlineStr">
        <is>
          <t>Client stopped responding to us re: invoicing.</t>
        </is>
      </c>
      <c r="Q369" s="16" t="inlineStr"/>
      <c r="R369" s="29">
        <f>IF($C369="","",IFERROR(IF(INDEX(Deals!$U$2:$U$355,MATCH($C369,Deals!$A$2:$A$355,0))=0,"",INDEX(Deals!$U$2:$U$355,MATCH($C369,Deals!$A$2:$A$355,0))),""))</f>
        <v/>
      </c>
      <c r="S369" s="22">
        <f>IFERROR(IF($U369="",1,INDEX(Deals!$V$2:$V$355,MATCH($C369,Deals!$A$2:$A$355,0))),1)</f>
        <v/>
      </c>
      <c r="T369" s="22">
        <f>IFERROR(IF($U369="",1,INDEX(Deals!$W$2:$W$355,MATCH($C369,Deals!$A$2:$A$355,0))),1)</f>
        <v/>
      </c>
      <c r="U369" s="31">
        <f>IF($C369="","",IFERROR(IF(INDEX(Deals!$Y$2:$Y$355,MATCH($C369,Deals!$A$2:$A$355,0))=0,"",INDEX(Deals!$Y$2:$Y$355,MATCH($C369,Deals!$A$2:$A$355,0))),""))</f>
        <v/>
      </c>
      <c r="V369" s="24">
        <f>IF($U369="",DATE(1900,1,1),$N369)</f>
        <v/>
      </c>
      <c r="W369" s="24">
        <f>IF($U369="",DATE(2100,12,31),$U369)</f>
        <v/>
      </c>
      <c r="X369" s="20">
        <f>IF($U369="",$K369,$K369*$S369)</f>
        <v/>
      </c>
      <c r="Y369" s="24">
        <f>IF($U369="",DATE(2100,12,31),$U369+1)</f>
        <v/>
      </c>
      <c r="Z369" s="24">
        <f>IF($U369="",DATE(1900,1,1),$O369)</f>
        <v/>
      </c>
      <c r="AA369" s="20">
        <f>IF($U369="",0,$K369*$T369)</f>
        <v/>
      </c>
    </row>
    <row r="370">
      <c r="A370" s="15" t="inlineStr">
        <is>
          <t>Patch</t>
        </is>
      </c>
      <c r="B370" s="29">
        <f>IF($A370="","",IFERROR(INDEX(Roster!$B$2:$B$40,MATCH($A370,Roster!$A$2:$A$40,0)),"?"))</f>
        <v/>
      </c>
      <c r="C370" s="15" t="inlineStr">
        <is>
          <t>Arctic_2</t>
        </is>
      </c>
      <c r="D370" s="29">
        <f>IF($C370="","",IFERROR(IF(INDEX(Deals!$C$2:$C$355,MATCH($C370,Deals!$A$2:$A$355,0))=0,"",INDEX(Deals!$C$2:$C$355,MATCH($C370,Deals!$A$2:$A$355,0))),"?"))</f>
        <v/>
      </c>
      <c r="E370" s="29">
        <f>IF($C370="","",IFERROR(INDEX(Deals!$F$2:$F$355,MATCH($C370,Deals!$A$2:$A$355,0)),"?"))</f>
        <v/>
      </c>
      <c r="F370" s="15" t="inlineStr">
        <is>
          <t>VP</t>
        </is>
      </c>
      <c r="G370" s="15" t="inlineStr">
        <is>
          <t>Inactive</t>
        </is>
      </c>
      <c r="H370" s="27" t="n"/>
      <c r="I370" s="20">
        <f>IF(OR($A370="",$G370&lt;&gt;"Active"),0,IF($H370&lt;&gt;"",$H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</f>
        <v/>
      </c>
      <c r="J370" s="23">
        <f>IF($C370="",0,IFERROR(INDEX(Deals!$H$2:$H$355,MATCH($C370,Deals!$A$2:$A$355,0)),0))</f>
        <v/>
      </c>
      <c r="K370" s="20">
        <f>IF(Settings!$B$4="Yes",$I370*$J370,$I370)</f>
        <v/>
      </c>
      <c r="L370" s="31">
        <f>IF($C370="","",IFERROR(IF(INDEX(Deals!$I$2:$I$355,MATCH($C370,Deals!$A$2:$A$355,0))=0,"",INDEX(Deals!$I$2:$I$355,MATCH($C370,Deals!$A$2:$A$355,0))),""))</f>
        <v/>
      </c>
      <c r="M370" s="31">
        <f>IF($C370="","",IFERROR(IF(INDEX(Deals!$J$2:$J$355,MATCH($C370,Deals!$A$2:$A$355,0))=0,"",INDEX(Deals!$J$2:$J$355,MATCH($C370,Deals!$A$2:$A$355,0))),""))</f>
        <v/>
      </c>
      <c r="N370" s="24">
        <f>IF($L370="",DATE(1900,1,1),$L370)</f>
        <v/>
      </c>
      <c r="O370" s="24">
        <f>IF($M370="",DATE(2100,12,31),$M370)</f>
        <v/>
      </c>
      <c r="P370" s="16" t="inlineStr">
        <is>
          <t>Pencils Down</t>
        </is>
      </c>
      <c r="Q370" s="16" t="inlineStr"/>
      <c r="R370" s="29">
        <f>IF($C370="","",IFERROR(IF(INDEX(Deals!$U$2:$U$355,MATCH($C370,Deals!$A$2:$A$355,0))=0,"",INDEX(Deals!$U$2:$U$355,MATCH($C370,Deals!$A$2:$A$355,0))),""))</f>
        <v/>
      </c>
      <c r="S370" s="22">
        <f>IFERROR(IF($U370="",1,INDEX(Deals!$V$2:$V$355,MATCH($C370,Deals!$A$2:$A$355,0))),1)</f>
        <v/>
      </c>
      <c r="T370" s="22">
        <f>IFERROR(IF($U370="",1,INDEX(Deals!$W$2:$W$355,MATCH($C370,Deals!$A$2:$A$355,0))),1)</f>
        <v/>
      </c>
      <c r="U370" s="31">
        <f>IF($C370="","",IFERROR(IF(INDEX(Deals!$Y$2:$Y$355,MATCH($C370,Deals!$A$2:$A$355,0))=0,"",INDEX(Deals!$Y$2:$Y$355,MATCH($C370,Deals!$A$2:$A$355,0))),""))</f>
        <v/>
      </c>
      <c r="V370" s="24">
        <f>IF($U370="",DATE(1900,1,1),$N370)</f>
        <v/>
      </c>
      <c r="W370" s="24">
        <f>IF($U370="",DATE(2100,12,31),$U370)</f>
        <v/>
      </c>
      <c r="X370" s="20">
        <f>IF($U370="",$K370,$K370*$S370)</f>
        <v/>
      </c>
      <c r="Y370" s="24">
        <f>IF($U370="",DATE(2100,12,31),$U370+1)</f>
        <v/>
      </c>
      <c r="Z370" s="24">
        <f>IF($U370="",DATE(1900,1,1),$O370)</f>
        <v/>
      </c>
      <c r="AA370" s="20">
        <f>IF($U370="",0,$K370*$T370)</f>
        <v/>
      </c>
    </row>
    <row r="371">
      <c r="A371" s="15" t="inlineStr">
        <is>
          <t>Patch</t>
        </is>
      </c>
      <c r="B371" s="29">
        <f>IF($A371="","",IFERROR(INDEX(Roster!$B$2:$B$40,MATCH($A371,Roster!$A$2:$A$40,0)),"?"))</f>
        <v/>
      </c>
      <c r="C371" s="15" t="inlineStr">
        <is>
          <t>Brass_2</t>
        </is>
      </c>
      <c r="D371" s="29">
        <f>IF($C371="","",IFERROR(IF(INDEX(Deals!$C$2:$C$355,MATCH($C371,Deals!$A$2:$A$355,0))=0,"",INDEX(Deals!$C$2:$C$355,MATCH($C371,Deals!$A$2:$A$355,0))),"?"))</f>
        <v/>
      </c>
      <c r="E371" s="29">
        <f>IF($C371="","",IFERROR(INDEX(Deals!$F$2:$F$355,MATCH($C371,Deals!$A$2:$A$355,0)),"?"))</f>
        <v/>
      </c>
      <c r="F371" s="15" t="inlineStr">
        <is>
          <t>VP</t>
        </is>
      </c>
      <c r="G371" s="15" t="inlineStr">
        <is>
          <t>Inactive</t>
        </is>
      </c>
      <c r="H371" s="27" t="n"/>
      <c r="I371" s="20">
        <f>IF(OR($A371="",$G371&lt;&gt;"Active"),0,IF($H371&lt;&gt;"",$H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</f>
        <v/>
      </c>
      <c r="J371" s="23">
        <f>IF($C371="",0,IFERROR(INDEX(Deals!$H$2:$H$355,MATCH($C371,Deals!$A$2:$A$355,0)),0))</f>
        <v/>
      </c>
      <c r="K371" s="20">
        <f>IF(Settings!$B$4="Yes",$I371*$J371,$I371)</f>
        <v/>
      </c>
      <c r="L371" s="31">
        <f>IF($C371="","",IFERROR(IF(INDEX(Deals!$I$2:$I$355,MATCH($C371,Deals!$A$2:$A$355,0))=0,"",INDEX(Deals!$I$2:$I$355,MATCH($C371,Deals!$A$2:$A$355,0))),""))</f>
        <v/>
      </c>
      <c r="M371" s="31">
        <f>IF($C371="","",IFERROR(IF(INDEX(Deals!$J$2:$J$355,MATCH($C371,Deals!$A$2:$A$355,0))=0,"",INDEX(Deals!$J$2:$J$355,MATCH($C371,Deals!$A$2:$A$355,0))),""))</f>
        <v/>
      </c>
      <c r="N371" s="24">
        <f>IF($L371="",DATE(1900,1,1),$L371)</f>
        <v/>
      </c>
      <c r="O371" s="24">
        <f>IF($M371="",DATE(2100,12,31),$M371)</f>
        <v/>
      </c>
      <c r="P371" s="16" t="inlineStr">
        <is>
          <t>This was probably when I was helping check tax insurance datarooms.</t>
        </is>
      </c>
      <c r="Q371" s="16" t="inlineStr"/>
      <c r="R371" s="29">
        <f>IF($C371="","",IFERROR(IF(INDEX(Deals!$U$2:$U$355,MATCH($C371,Deals!$A$2:$A$355,0))=0,"",INDEX(Deals!$U$2:$U$355,MATCH($C371,Deals!$A$2:$A$355,0))),""))</f>
        <v/>
      </c>
      <c r="S371" s="22">
        <f>IFERROR(IF($U371="",1,INDEX(Deals!$V$2:$V$355,MATCH($C371,Deals!$A$2:$A$355,0))),1)</f>
        <v/>
      </c>
      <c r="T371" s="22">
        <f>IFERROR(IF($U371="",1,INDEX(Deals!$W$2:$W$355,MATCH($C371,Deals!$A$2:$A$355,0))),1)</f>
        <v/>
      </c>
      <c r="U371" s="31">
        <f>IF($C371="","",IFERROR(IF(INDEX(Deals!$Y$2:$Y$355,MATCH($C371,Deals!$A$2:$A$355,0))=0,"",INDEX(Deals!$Y$2:$Y$355,MATCH($C371,Deals!$A$2:$A$355,0))),""))</f>
        <v/>
      </c>
      <c r="V371" s="24">
        <f>IF($U371="",DATE(1900,1,1),$N371)</f>
        <v/>
      </c>
      <c r="W371" s="24">
        <f>IF($U371="",DATE(2100,12,31),$U371)</f>
        <v/>
      </c>
      <c r="X371" s="20">
        <f>IF($U371="",$K371,$K371*$S371)</f>
        <v/>
      </c>
      <c r="Y371" s="24">
        <f>IF($U371="",DATE(2100,12,31),$U371+1)</f>
        <v/>
      </c>
      <c r="Z371" s="24">
        <f>IF($U371="",DATE(1900,1,1),$O371)</f>
        <v/>
      </c>
      <c r="AA371" s="20">
        <f>IF($U371="",0,$K371*$T371)</f>
        <v/>
      </c>
    </row>
    <row r="372">
      <c r="A372" s="15" t="inlineStr">
        <is>
          <t>Patch</t>
        </is>
      </c>
      <c r="B372" s="29">
        <f>IF($A372="","",IFERROR(INDEX(Roster!$B$2:$B$40,MATCH($A372,Roster!$A$2:$A$40,0)),"?"))</f>
        <v/>
      </c>
      <c r="C372" s="15" t="inlineStr">
        <is>
          <t>Camaro_1</t>
        </is>
      </c>
      <c r="D372" s="29">
        <f>IF($C372="","",IFERROR(IF(INDEX(Deals!$C$2:$C$355,MATCH($C372,Deals!$A$2:$A$355,0))=0,"",INDEX(Deals!$C$2:$C$355,MATCH($C372,Deals!$A$2:$A$355,0))),"?"))</f>
        <v/>
      </c>
      <c r="E372" s="29">
        <f>IF($C372="","",IFERROR(INDEX(Deals!$F$2:$F$355,MATCH($C372,Deals!$A$2:$A$355,0)),"?"))</f>
        <v/>
      </c>
      <c r="F372" s="15" t="inlineStr">
        <is>
          <t>VP</t>
        </is>
      </c>
      <c r="G372" s="15" t="inlineStr">
        <is>
          <t>Inactive</t>
        </is>
      </c>
      <c r="H372" s="27" t="n"/>
      <c r="I372" s="20">
        <f>IF(OR($A372="",$G372&lt;&gt;"Active"),0,IF($H372&lt;&gt;"",$H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</f>
        <v/>
      </c>
      <c r="J372" s="23">
        <f>IF($C372="",0,IFERROR(INDEX(Deals!$H$2:$H$355,MATCH($C372,Deals!$A$2:$A$355,0)),0))</f>
        <v/>
      </c>
      <c r="K372" s="20">
        <f>IF(Settings!$B$4="Yes",$I372*$J372,$I372)</f>
        <v/>
      </c>
      <c r="L372" s="31">
        <f>IF($C372="","",IFERROR(IF(INDEX(Deals!$I$2:$I$355,MATCH($C372,Deals!$A$2:$A$355,0))=0,"",INDEX(Deals!$I$2:$I$355,MATCH($C372,Deals!$A$2:$A$355,0))),""))</f>
        <v/>
      </c>
      <c r="M372" s="31">
        <f>IF($C372="","",IFERROR(IF(INDEX(Deals!$J$2:$J$355,MATCH($C372,Deals!$A$2:$A$355,0))=0,"",INDEX(Deals!$J$2:$J$355,MATCH($C372,Deals!$A$2:$A$355,0))),""))</f>
        <v/>
      </c>
      <c r="N372" s="24">
        <f>IF($L372="",DATE(1900,1,1),$L372)</f>
        <v/>
      </c>
      <c r="O372" s="24">
        <f>IF($M372="",DATE(2100,12,31),$M372)</f>
        <v/>
      </c>
      <c r="P372" s="16" t="inlineStr">
        <is>
          <t>Pencils down</t>
        </is>
      </c>
      <c r="Q372" s="16" t="inlineStr"/>
      <c r="R372" s="29">
        <f>IF($C372="","",IFERROR(IF(INDEX(Deals!$U$2:$U$355,MATCH($C372,Deals!$A$2:$A$355,0))=0,"",INDEX(Deals!$U$2:$U$355,MATCH($C372,Deals!$A$2:$A$355,0))),""))</f>
        <v/>
      </c>
      <c r="S372" s="22">
        <f>IFERROR(IF($U372="",1,INDEX(Deals!$V$2:$V$355,MATCH($C372,Deals!$A$2:$A$355,0))),1)</f>
        <v/>
      </c>
      <c r="T372" s="22">
        <f>IFERROR(IF($U372="",1,INDEX(Deals!$W$2:$W$355,MATCH($C372,Deals!$A$2:$A$355,0))),1)</f>
        <v/>
      </c>
      <c r="U372" s="31">
        <f>IF($C372="","",IFERROR(IF(INDEX(Deals!$Y$2:$Y$355,MATCH($C372,Deals!$A$2:$A$355,0))=0,"",INDEX(Deals!$Y$2:$Y$355,MATCH($C372,Deals!$A$2:$A$355,0))),""))</f>
        <v/>
      </c>
      <c r="V372" s="24">
        <f>IF($U372="",DATE(1900,1,1),$N372)</f>
        <v/>
      </c>
      <c r="W372" s="24">
        <f>IF($U372="",DATE(2100,12,31),$U372)</f>
        <v/>
      </c>
      <c r="X372" s="20">
        <f>IF($U372="",$K372,$K372*$S372)</f>
        <v/>
      </c>
      <c r="Y372" s="24">
        <f>IF($U372="",DATE(2100,12,31),$U372+1)</f>
        <v/>
      </c>
      <c r="Z372" s="24">
        <f>IF($U372="",DATE(1900,1,1),$O372)</f>
        <v/>
      </c>
      <c r="AA372" s="20">
        <f>IF($U372="",0,$K372*$T372)</f>
        <v/>
      </c>
    </row>
    <row r="373">
      <c r="A373" s="15" t="inlineStr">
        <is>
          <t>Patch</t>
        </is>
      </c>
      <c r="B373" s="29">
        <f>IF($A373="","",IFERROR(INDEX(Roster!$B$2:$B$40,MATCH($A373,Roster!$A$2:$A$40,0)),"?"))</f>
        <v/>
      </c>
      <c r="C373" s="15" t="inlineStr">
        <is>
          <t>Celestial_1</t>
        </is>
      </c>
      <c r="D373" s="29">
        <f>IF($C373="","",IFERROR(IF(INDEX(Deals!$C$2:$C$355,MATCH($C373,Deals!$A$2:$A$355,0))=0,"",INDEX(Deals!$C$2:$C$355,MATCH($C373,Deals!$A$2:$A$355,0))),"?"))</f>
        <v/>
      </c>
      <c r="E373" s="29">
        <f>IF($C373="","",IFERROR(INDEX(Deals!$F$2:$F$355,MATCH($C373,Deals!$A$2:$A$355,0)),"?"))</f>
        <v/>
      </c>
      <c r="F373" s="15" t="inlineStr">
        <is>
          <t>VP</t>
        </is>
      </c>
      <c r="G373" s="15" t="inlineStr">
        <is>
          <t>Active</t>
        </is>
      </c>
      <c r="H373" s="27" t="n"/>
      <c r="I373" s="20">
        <f>IF(OR($A373="",$G373&lt;&gt;"Active"),0,IF($H373&lt;&gt;"",$H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</f>
        <v/>
      </c>
      <c r="J373" s="23">
        <f>IF($C373="",0,IFERROR(INDEX(Deals!$H$2:$H$355,MATCH($C373,Deals!$A$2:$A$355,0)),0))</f>
        <v/>
      </c>
      <c r="K373" s="20">
        <f>IF(Settings!$B$4="Yes",$I373*$J373,$I373)</f>
        <v/>
      </c>
      <c r="L373" s="31">
        <f>IF($C373="","",IFERROR(IF(INDEX(Deals!$I$2:$I$355,MATCH($C373,Deals!$A$2:$A$355,0))=0,"",INDEX(Deals!$I$2:$I$355,MATCH($C373,Deals!$A$2:$A$355,0))),""))</f>
        <v/>
      </c>
      <c r="M373" s="31">
        <f>IF($C373="","",IFERROR(IF(INDEX(Deals!$J$2:$J$355,MATCH($C373,Deals!$A$2:$A$355,0))=0,"",INDEX(Deals!$J$2:$J$355,MATCH($C373,Deals!$A$2:$A$355,0))),""))</f>
        <v/>
      </c>
      <c r="N373" s="24">
        <f>IF($L373="",DATE(1900,1,1),$L373)</f>
        <v/>
      </c>
      <c r="O373" s="24">
        <f>IF($M373="",DATE(2100,12,31),$M373)</f>
        <v/>
      </c>
      <c r="P373" s="16" t="inlineStr">
        <is>
          <t>Ongoing</t>
        </is>
      </c>
      <c r="Q373" s="16" t="inlineStr"/>
      <c r="R373" s="29">
        <f>IF($C373="","",IFERROR(IF(INDEX(Deals!$U$2:$U$355,MATCH($C373,Deals!$A$2:$A$355,0))=0,"",INDEX(Deals!$U$2:$U$355,MATCH($C373,Deals!$A$2:$A$355,0))),""))</f>
        <v/>
      </c>
      <c r="S373" s="22">
        <f>IFERROR(IF($U373="",1,INDEX(Deals!$V$2:$V$355,MATCH($C373,Deals!$A$2:$A$355,0))),1)</f>
        <v/>
      </c>
      <c r="T373" s="22">
        <f>IFERROR(IF($U373="",1,INDEX(Deals!$W$2:$W$355,MATCH($C373,Deals!$A$2:$A$355,0))),1)</f>
        <v/>
      </c>
      <c r="U373" s="31">
        <f>IF($C373="","",IFERROR(IF(INDEX(Deals!$Y$2:$Y$355,MATCH($C373,Deals!$A$2:$A$355,0))=0,"",INDEX(Deals!$Y$2:$Y$355,MATCH($C373,Deals!$A$2:$A$355,0))),""))</f>
        <v/>
      </c>
      <c r="V373" s="24">
        <f>IF($U373="",DATE(1900,1,1),$N373)</f>
        <v/>
      </c>
      <c r="W373" s="24">
        <f>IF($U373="",DATE(2100,12,31),$U373)</f>
        <v/>
      </c>
      <c r="X373" s="20">
        <f>IF($U373="",$K373,$K373*$S373)</f>
        <v/>
      </c>
      <c r="Y373" s="24">
        <f>IF($U373="",DATE(2100,12,31),$U373+1)</f>
        <v/>
      </c>
      <c r="Z373" s="24">
        <f>IF($U373="",DATE(1900,1,1),$O373)</f>
        <v/>
      </c>
      <c r="AA373" s="20">
        <f>IF($U373="",0,$K373*$T373)</f>
        <v/>
      </c>
    </row>
    <row r="374">
      <c r="A374" s="15" t="inlineStr">
        <is>
          <t>Patch</t>
        </is>
      </c>
      <c r="B374" s="29">
        <f>IF($A374="","",IFERROR(INDEX(Roster!$B$2:$B$40,MATCH($A374,Roster!$A$2:$A$40,0)),"?"))</f>
        <v/>
      </c>
      <c r="C374" s="15" t="inlineStr">
        <is>
          <t>Challenger_1</t>
        </is>
      </c>
      <c r="D374" s="29">
        <f>IF($C374="","",IFERROR(IF(INDEX(Deals!$C$2:$C$355,MATCH($C374,Deals!$A$2:$A$355,0))=0,"",INDEX(Deals!$C$2:$C$355,MATCH($C374,Deals!$A$2:$A$355,0))),"?"))</f>
        <v/>
      </c>
      <c r="E374" s="29">
        <f>IF($C374="","",IFERROR(INDEX(Deals!$F$2:$F$355,MATCH($C374,Deals!$A$2:$A$355,0)),"?"))</f>
        <v/>
      </c>
      <c r="F374" s="15" t="inlineStr">
        <is>
          <t>VP</t>
        </is>
      </c>
      <c r="G374" s="15" t="inlineStr">
        <is>
          <t>Active</t>
        </is>
      </c>
      <c r="H374" s="27" t="n"/>
      <c r="I374" s="20">
        <f>IF(OR($A374="",$G374&lt;&gt;"Active"),0,IF($H374&lt;&gt;"",$H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</f>
        <v/>
      </c>
      <c r="J374" s="23">
        <f>IF($C374="",0,IFERROR(INDEX(Deals!$H$2:$H$355,MATCH($C374,Deals!$A$2:$A$355,0)),0))</f>
        <v/>
      </c>
      <c r="K374" s="20">
        <f>IF(Settings!$B$4="Yes",$I374*$J374,$I374)</f>
        <v/>
      </c>
      <c r="L374" s="31">
        <f>IF($C374="","",IFERROR(IF(INDEX(Deals!$I$2:$I$355,MATCH($C374,Deals!$A$2:$A$355,0))=0,"",INDEX(Deals!$I$2:$I$355,MATCH($C374,Deals!$A$2:$A$355,0))),""))</f>
        <v/>
      </c>
      <c r="M374" s="31">
        <f>IF($C374="","",IFERROR(IF(INDEX(Deals!$J$2:$J$355,MATCH($C374,Deals!$A$2:$A$355,0))=0,"",INDEX(Deals!$J$2:$J$355,MATCH($C374,Deals!$A$2:$A$355,0))),""))</f>
        <v/>
      </c>
      <c r="N374" s="24">
        <f>IF($L374="",DATE(1900,1,1),$L374)</f>
        <v/>
      </c>
      <c r="O374" s="24">
        <f>IF($M374="",DATE(2100,12,31),$M374)</f>
        <v/>
      </c>
      <c r="P374" s="16" t="inlineStr">
        <is>
          <t>Ongoing</t>
        </is>
      </c>
      <c r="Q374" s="16" t="inlineStr"/>
      <c r="R374" s="29">
        <f>IF($C374="","",IFERROR(IF(INDEX(Deals!$U$2:$U$355,MATCH($C374,Deals!$A$2:$A$355,0))=0,"",INDEX(Deals!$U$2:$U$355,MATCH($C374,Deals!$A$2:$A$355,0))),""))</f>
        <v/>
      </c>
      <c r="S374" s="22">
        <f>IFERROR(IF($U374="",1,INDEX(Deals!$V$2:$V$355,MATCH($C374,Deals!$A$2:$A$355,0))),1)</f>
        <v/>
      </c>
      <c r="T374" s="22">
        <f>IFERROR(IF($U374="",1,INDEX(Deals!$W$2:$W$355,MATCH($C374,Deals!$A$2:$A$355,0))),1)</f>
        <v/>
      </c>
      <c r="U374" s="31">
        <f>IF($C374="","",IFERROR(IF(INDEX(Deals!$Y$2:$Y$355,MATCH($C374,Deals!$A$2:$A$355,0))=0,"",INDEX(Deals!$Y$2:$Y$355,MATCH($C374,Deals!$A$2:$A$355,0))),""))</f>
        <v/>
      </c>
      <c r="V374" s="24">
        <f>IF($U374="",DATE(1900,1,1),$N374)</f>
        <v/>
      </c>
      <c r="W374" s="24">
        <f>IF($U374="",DATE(2100,12,31),$U374)</f>
        <v/>
      </c>
      <c r="X374" s="20">
        <f>IF($U374="",$K374,$K374*$S374)</f>
        <v/>
      </c>
      <c r="Y374" s="24">
        <f>IF($U374="",DATE(2100,12,31),$U374+1)</f>
        <v/>
      </c>
      <c r="Z374" s="24">
        <f>IF($U374="",DATE(1900,1,1),$O374)</f>
        <v/>
      </c>
      <c r="AA374" s="20">
        <f>IF($U374="",0,$K374*$T374)</f>
        <v/>
      </c>
    </row>
    <row r="375">
      <c r="A375" s="15" t="inlineStr">
        <is>
          <t>Patch</t>
        </is>
      </c>
      <c r="B375" s="29">
        <f>IF($A375="","",IFERROR(INDEX(Roster!$B$2:$B$40,MATCH($A375,Roster!$A$2:$A$40,0)),"?"))</f>
        <v/>
      </c>
      <c r="C375" s="15" t="inlineStr">
        <is>
          <t>CLS_1</t>
        </is>
      </c>
      <c r="D375" s="29">
        <f>IF($C375="","",IFERROR(IF(INDEX(Deals!$C$2:$C$355,MATCH($C375,Deals!$A$2:$A$355,0))=0,"",INDEX(Deals!$C$2:$C$355,MATCH($C375,Deals!$A$2:$A$355,0))),"?"))</f>
        <v/>
      </c>
      <c r="E375" s="29">
        <f>IF($C375="","",IFERROR(INDEX(Deals!$F$2:$F$355,MATCH($C375,Deals!$A$2:$A$355,0)),"?"))</f>
        <v/>
      </c>
      <c r="F375" s="15" t="inlineStr">
        <is>
          <t>VP</t>
        </is>
      </c>
      <c r="G375" s="15" t="inlineStr">
        <is>
          <t>Inactive</t>
        </is>
      </c>
      <c r="H375" s="27" t="n"/>
      <c r="I375" s="20">
        <f>IF(OR($A375="",$G375&lt;&gt;"Active"),0,IF($H375&lt;&gt;"",$H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</f>
        <v/>
      </c>
      <c r="J375" s="23">
        <f>IF($C375="",0,IFERROR(INDEX(Deals!$H$2:$H$355,MATCH($C375,Deals!$A$2:$A$355,0)),0))</f>
        <v/>
      </c>
      <c r="K375" s="20">
        <f>IF(Settings!$B$4="Yes",$I375*$J375,$I375)</f>
        <v/>
      </c>
      <c r="L375" s="31">
        <f>IF($C375="","",IFERROR(IF(INDEX(Deals!$I$2:$I$355,MATCH($C375,Deals!$A$2:$A$355,0))=0,"",INDEX(Deals!$I$2:$I$355,MATCH($C375,Deals!$A$2:$A$355,0))),""))</f>
        <v/>
      </c>
      <c r="M375" s="31">
        <f>IF($C375="","",IFERROR(IF(INDEX(Deals!$J$2:$J$355,MATCH($C375,Deals!$A$2:$A$355,0))=0,"",INDEX(Deals!$J$2:$J$355,MATCH($C375,Deals!$A$2:$A$355,0))),""))</f>
        <v/>
      </c>
      <c r="N375" s="24">
        <f>IF($L375="",DATE(1900,1,1),$L375)</f>
        <v/>
      </c>
      <c r="O375" s="24">
        <f>IF($M375="",DATE(2100,12,31),$M375)</f>
        <v/>
      </c>
      <c r="P375" s="16" t="inlineStr">
        <is>
          <t>Not sure what's going on with this one. This is an old project.</t>
        </is>
      </c>
      <c r="Q375" s="16" t="inlineStr">
        <is>
          <t>Inactive - confirmed by review 2026-07-19 (user: no)</t>
        </is>
      </c>
      <c r="R375" s="29">
        <f>IF($C375="","",IFERROR(IF(INDEX(Deals!$U$2:$U$355,MATCH($C375,Deals!$A$2:$A$355,0))=0,"",INDEX(Deals!$U$2:$U$355,MATCH($C375,Deals!$A$2:$A$355,0))),""))</f>
        <v/>
      </c>
      <c r="S375" s="22">
        <f>IFERROR(IF($U375="",1,INDEX(Deals!$V$2:$V$355,MATCH($C375,Deals!$A$2:$A$355,0))),1)</f>
        <v/>
      </c>
      <c r="T375" s="22">
        <f>IFERROR(IF($U375="",1,INDEX(Deals!$W$2:$W$355,MATCH($C375,Deals!$A$2:$A$355,0))),1)</f>
        <v/>
      </c>
      <c r="U375" s="31">
        <f>IF($C375="","",IFERROR(IF(INDEX(Deals!$Y$2:$Y$355,MATCH($C375,Deals!$A$2:$A$355,0))=0,"",INDEX(Deals!$Y$2:$Y$355,MATCH($C375,Deals!$A$2:$A$355,0))),""))</f>
        <v/>
      </c>
      <c r="V375" s="24">
        <f>IF($U375="",DATE(1900,1,1),$N375)</f>
        <v/>
      </c>
      <c r="W375" s="24">
        <f>IF($U375="",DATE(2100,12,31),$U375)</f>
        <v/>
      </c>
      <c r="X375" s="20">
        <f>IF($U375="",$K375,$K375*$S375)</f>
        <v/>
      </c>
      <c r="Y375" s="24">
        <f>IF($U375="",DATE(2100,12,31),$U375+1)</f>
        <v/>
      </c>
      <c r="Z375" s="24">
        <f>IF($U375="",DATE(1900,1,1),$O375)</f>
        <v/>
      </c>
      <c r="AA375" s="20">
        <f>IF($U375="",0,$K375*$T375)</f>
        <v/>
      </c>
    </row>
    <row r="376">
      <c r="A376" s="15" t="inlineStr">
        <is>
          <t>Patch</t>
        </is>
      </c>
      <c r="B376" s="29">
        <f>IF($A376="","",IFERROR(INDEX(Roster!$B$2:$B$40,MATCH($A376,Roster!$A$2:$A$40,0)),"?"))</f>
        <v/>
      </c>
      <c r="C376" s="15" t="inlineStr">
        <is>
          <t>Dawn_1</t>
        </is>
      </c>
      <c r="D376" s="29">
        <f>IF($C376="","",IFERROR(IF(INDEX(Deals!$C$2:$C$355,MATCH($C376,Deals!$A$2:$A$355,0))=0,"",INDEX(Deals!$C$2:$C$355,MATCH($C376,Deals!$A$2:$A$355,0))),"?"))</f>
        <v/>
      </c>
      <c r="E376" s="29">
        <f>IF($C376="","",IFERROR(INDEX(Deals!$F$2:$F$355,MATCH($C376,Deals!$A$2:$A$355,0)),"?"))</f>
        <v/>
      </c>
      <c r="F376" s="15" t="inlineStr">
        <is>
          <t>VP</t>
        </is>
      </c>
      <c r="G376" s="15" t="inlineStr">
        <is>
          <t>Inactive</t>
        </is>
      </c>
      <c r="H376" s="27" t="n"/>
      <c r="I376" s="20">
        <f>IF(OR($A376="",$G376&lt;&gt;"Active"),0,IF($H376&lt;&gt;"",$H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</f>
        <v/>
      </c>
      <c r="J376" s="23">
        <f>IF($C376="",0,IFERROR(INDEX(Deals!$H$2:$H$355,MATCH($C376,Deals!$A$2:$A$355,0)),0))</f>
        <v/>
      </c>
      <c r="K376" s="20">
        <f>IF(Settings!$B$4="Yes",$I376*$J376,$I376)</f>
        <v/>
      </c>
      <c r="L376" s="31">
        <f>IF($C376="","",IFERROR(IF(INDEX(Deals!$I$2:$I$355,MATCH($C376,Deals!$A$2:$A$355,0))=0,"",INDEX(Deals!$I$2:$I$355,MATCH($C376,Deals!$A$2:$A$355,0))),""))</f>
        <v/>
      </c>
      <c r="M376" s="31">
        <f>IF($C376="","",IFERROR(IF(INDEX(Deals!$J$2:$J$355,MATCH($C376,Deals!$A$2:$A$355,0))=0,"",INDEX(Deals!$J$2:$J$355,MATCH($C376,Deals!$A$2:$A$355,0))),""))</f>
        <v/>
      </c>
      <c r="N376" s="24">
        <f>IF($L376="",DATE(1900,1,1),$L376)</f>
        <v/>
      </c>
      <c r="O376" s="24">
        <f>IF($M376="",DATE(2100,12,31),$M376)</f>
        <v/>
      </c>
      <c r="P376" s="16" t="inlineStr">
        <is>
          <t>This was probably when I was helping check tax insurance datarooms.</t>
        </is>
      </c>
      <c r="Q376" s="16" t="inlineStr"/>
      <c r="R376" s="29">
        <f>IF($C376="","",IFERROR(IF(INDEX(Deals!$U$2:$U$355,MATCH($C376,Deals!$A$2:$A$355,0))=0,"",INDEX(Deals!$U$2:$U$355,MATCH($C376,Deals!$A$2:$A$355,0))),""))</f>
        <v/>
      </c>
      <c r="S376" s="22">
        <f>IFERROR(IF($U376="",1,INDEX(Deals!$V$2:$V$355,MATCH($C376,Deals!$A$2:$A$355,0))),1)</f>
        <v/>
      </c>
      <c r="T376" s="22">
        <f>IFERROR(IF($U376="",1,INDEX(Deals!$W$2:$W$355,MATCH($C376,Deals!$A$2:$A$355,0))),1)</f>
        <v/>
      </c>
      <c r="U376" s="31">
        <f>IF($C376="","",IFERROR(IF(INDEX(Deals!$Y$2:$Y$355,MATCH($C376,Deals!$A$2:$A$355,0))=0,"",INDEX(Deals!$Y$2:$Y$355,MATCH($C376,Deals!$A$2:$A$355,0))),""))</f>
        <v/>
      </c>
      <c r="V376" s="24">
        <f>IF($U376="",DATE(1900,1,1),$N376)</f>
        <v/>
      </c>
      <c r="W376" s="24">
        <f>IF($U376="",DATE(2100,12,31),$U376)</f>
        <v/>
      </c>
      <c r="X376" s="20">
        <f>IF($U376="",$K376,$K376*$S376)</f>
        <v/>
      </c>
      <c r="Y376" s="24">
        <f>IF($U376="",DATE(2100,12,31),$U376+1)</f>
        <v/>
      </c>
      <c r="Z376" s="24">
        <f>IF($U376="",DATE(1900,1,1),$O376)</f>
        <v/>
      </c>
      <c r="AA376" s="20">
        <f>IF($U376="",0,$K376*$T376)</f>
        <v/>
      </c>
    </row>
    <row r="377">
      <c r="A377" s="15" t="inlineStr">
        <is>
          <t>Patch</t>
        </is>
      </c>
      <c r="B377" s="29">
        <f>IF($A377="","",IFERROR(INDEX(Roster!$B$2:$B$40,MATCH($A377,Roster!$A$2:$A$40,0)),"?"))</f>
        <v/>
      </c>
      <c r="C377" s="15" t="inlineStr">
        <is>
          <t>Destiny_1</t>
        </is>
      </c>
      <c r="D377" s="29">
        <f>IF($C377="","",IFERROR(IF(INDEX(Deals!$C$2:$C$355,MATCH($C377,Deals!$A$2:$A$355,0))=0,"",INDEX(Deals!$C$2:$C$355,MATCH($C377,Deals!$A$2:$A$355,0))),"?"))</f>
        <v/>
      </c>
      <c r="E377" s="29">
        <f>IF($C377="","",IFERROR(INDEX(Deals!$F$2:$F$355,MATCH($C377,Deals!$A$2:$A$355,0)),"?"))</f>
        <v/>
      </c>
      <c r="F377" s="15" t="inlineStr">
        <is>
          <t>VP</t>
        </is>
      </c>
      <c r="G377" s="15" t="inlineStr">
        <is>
          <t>Inactive</t>
        </is>
      </c>
      <c r="H377" s="27" t="n"/>
      <c r="I377" s="20">
        <f>IF(OR($A377="",$G377&lt;&gt;"Active"),0,IF($H377&lt;&gt;"",$H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</f>
        <v/>
      </c>
      <c r="J377" s="23">
        <f>IF($C377="",0,IFERROR(INDEX(Deals!$H$2:$H$355,MATCH($C377,Deals!$A$2:$A$355,0)),0))</f>
        <v/>
      </c>
      <c r="K377" s="20">
        <f>IF(Settings!$B$4="Yes",$I377*$J377,$I377)</f>
        <v/>
      </c>
      <c r="L377" s="31">
        <f>IF($C377="","",IFERROR(IF(INDEX(Deals!$I$2:$I$355,MATCH($C377,Deals!$A$2:$A$355,0))=0,"",INDEX(Deals!$I$2:$I$355,MATCH($C377,Deals!$A$2:$A$355,0))),""))</f>
        <v/>
      </c>
      <c r="M377" s="31">
        <f>IF($C377="","",IFERROR(IF(INDEX(Deals!$J$2:$J$355,MATCH($C377,Deals!$A$2:$A$355,0))=0,"",INDEX(Deals!$J$2:$J$355,MATCH($C377,Deals!$A$2:$A$355,0))),""))</f>
        <v/>
      </c>
      <c r="N377" s="24">
        <f>IF($L377="",DATE(1900,1,1),$L377)</f>
        <v/>
      </c>
      <c r="O377" s="24">
        <f>IF($M377="",DATE(2100,12,31),$M377)</f>
        <v/>
      </c>
      <c r="P377" s="16" t="inlineStr">
        <is>
          <t>This was probably when I was helping check tax insurance datarooms.</t>
        </is>
      </c>
      <c r="Q377" s="16" t="inlineStr"/>
      <c r="R377" s="29">
        <f>IF($C377="","",IFERROR(IF(INDEX(Deals!$U$2:$U$355,MATCH($C377,Deals!$A$2:$A$355,0))=0,"",INDEX(Deals!$U$2:$U$355,MATCH($C377,Deals!$A$2:$A$355,0))),""))</f>
        <v/>
      </c>
      <c r="S377" s="22">
        <f>IFERROR(IF($U377="",1,INDEX(Deals!$V$2:$V$355,MATCH($C377,Deals!$A$2:$A$355,0))),1)</f>
        <v/>
      </c>
      <c r="T377" s="22">
        <f>IFERROR(IF($U377="",1,INDEX(Deals!$W$2:$W$355,MATCH($C377,Deals!$A$2:$A$355,0))),1)</f>
        <v/>
      </c>
      <c r="U377" s="31">
        <f>IF($C377="","",IFERROR(IF(INDEX(Deals!$Y$2:$Y$355,MATCH($C377,Deals!$A$2:$A$355,0))=0,"",INDEX(Deals!$Y$2:$Y$355,MATCH($C377,Deals!$A$2:$A$355,0))),""))</f>
        <v/>
      </c>
      <c r="V377" s="24">
        <f>IF($U377="",DATE(1900,1,1),$N377)</f>
        <v/>
      </c>
      <c r="W377" s="24">
        <f>IF($U377="",DATE(2100,12,31),$U377)</f>
        <v/>
      </c>
      <c r="X377" s="20">
        <f>IF($U377="",$K377,$K377*$S377)</f>
        <v/>
      </c>
      <c r="Y377" s="24">
        <f>IF($U377="",DATE(2100,12,31),$U377+1)</f>
        <v/>
      </c>
      <c r="Z377" s="24">
        <f>IF($U377="",DATE(1900,1,1),$O377)</f>
        <v/>
      </c>
      <c r="AA377" s="20">
        <f>IF($U377="",0,$K377*$T377)</f>
        <v/>
      </c>
    </row>
    <row r="378">
      <c r="A378" s="15" t="inlineStr">
        <is>
          <t>Patch</t>
        </is>
      </c>
      <c r="B378" s="29">
        <f>IF($A378="","",IFERROR(INDEX(Roster!$B$2:$B$40,MATCH($A378,Roster!$A$2:$A$40,0)),"?"))</f>
        <v/>
      </c>
      <c r="C378" s="15" t="inlineStr">
        <is>
          <t>DIF Twister_2</t>
        </is>
      </c>
      <c r="D378" s="29">
        <f>IF($C378="","",IFERROR(IF(INDEX(Deals!$C$2:$C$355,MATCH($C378,Deals!$A$2:$A$355,0))=0,"",INDEX(Deals!$C$2:$C$355,MATCH($C378,Deals!$A$2:$A$355,0))),"?"))</f>
        <v/>
      </c>
      <c r="E378" s="29">
        <f>IF($C378="","",IFERROR(INDEX(Deals!$F$2:$F$355,MATCH($C378,Deals!$A$2:$A$355,0)),"?"))</f>
        <v/>
      </c>
      <c r="F378" s="15" t="inlineStr">
        <is>
          <t>VP</t>
        </is>
      </c>
      <c r="G378" s="15" t="inlineStr">
        <is>
          <t>Active</t>
        </is>
      </c>
      <c r="H378" s="27" t="n"/>
      <c r="I378" s="20">
        <f>IF(OR($A378="",$G378&lt;&gt;"Active"),0,IF($H378&lt;&gt;"",$H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</f>
        <v/>
      </c>
      <c r="J378" s="23">
        <f>IF($C378="",0,IFERROR(INDEX(Deals!$H$2:$H$355,MATCH($C378,Deals!$A$2:$A$355,0)),0))</f>
        <v/>
      </c>
      <c r="K378" s="20">
        <f>IF(Settings!$B$4="Yes",$I378*$J378,$I378)</f>
        <v/>
      </c>
      <c r="L378" s="31">
        <f>IF($C378="","",IFERROR(IF(INDEX(Deals!$I$2:$I$355,MATCH($C378,Deals!$A$2:$A$355,0))=0,"",INDEX(Deals!$I$2:$I$355,MATCH($C378,Deals!$A$2:$A$355,0))),""))</f>
        <v/>
      </c>
      <c r="M378" s="31">
        <f>IF($C378="","",IFERROR(IF(INDEX(Deals!$J$2:$J$355,MATCH($C378,Deals!$A$2:$A$355,0))=0,"",INDEX(Deals!$J$2:$J$355,MATCH($C378,Deals!$A$2:$A$355,0))),""))</f>
        <v/>
      </c>
      <c r="N378" s="24">
        <f>IF($L378="",DATE(1900,1,1),$L378)</f>
        <v/>
      </c>
      <c r="O378" s="24">
        <f>IF($M378="",DATE(2100,12,31),$M378)</f>
        <v/>
      </c>
      <c r="P378" s="16" t="inlineStr">
        <is>
          <t>Ongoing</t>
        </is>
      </c>
      <c r="Q378" s="16" t="inlineStr"/>
      <c r="R378" s="29">
        <f>IF($C378="","",IFERROR(IF(INDEX(Deals!$U$2:$U$355,MATCH($C378,Deals!$A$2:$A$355,0))=0,"",INDEX(Deals!$U$2:$U$355,MATCH($C378,Deals!$A$2:$A$355,0))),""))</f>
        <v/>
      </c>
      <c r="S378" s="22">
        <f>IFERROR(IF($U378="",1,INDEX(Deals!$V$2:$V$355,MATCH($C378,Deals!$A$2:$A$355,0))),1)</f>
        <v/>
      </c>
      <c r="T378" s="22">
        <f>IFERROR(IF($U378="",1,INDEX(Deals!$W$2:$W$355,MATCH($C378,Deals!$A$2:$A$355,0))),1)</f>
        <v/>
      </c>
      <c r="U378" s="31">
        <f>IF($C378="","",IFERROR(IF(INDEX(Deals!$Y$2:$Y$355,MATCH($C378,Deals!$A$2:$A$355,0))=0,"",INDEX(Deals!$Y$2:$Y$355,MATCH($C378,Deals!$A$2:$A$355,0))),""))</f>
        <v/>
      </c>
      <c r="V378" s="24">
        <f>IF($U378="",DATE(1900,1,1),$N378)</f>
        <v/>
      </c>
      <c r="W378" s="24">
        <f>IF($U378="",DATE(2100,12,31),$U378)</f>
        <v/>
      </c>
      <c r="X378" s="20">
        <f>IF($U378="",$K378,$K378*$S378)</f>
        <v/>
      </c>
      <c r="Y378" s="24">
        <f>IF($U378="",DATE(2100,12,31),$U378+1)</f>
        <v/>
      </c>
      <c r="Z378" s="24">
        <f>IF($U378="",DATE(1900,1,1),$O378)</f>
        <v/>
      </c>
      <c r="AA378" s="20">
        <f>IF($U378="",0,$K378*$T378)</f>
        <v/>
      </c>
    </row>
    <row r="379">
      <c r="A379" s="15" t="inlineStr">
        <is>
          <t>Patch</t>
        </is>
      </c>
      <c r="B379" s="29">
        <f>IF($A379="","",IFERROR(INDEX(Roster!$B$2:$B$40,MATCH($A379,Roster!$A$2:$A$40,0)),"?"))</f>
        <v/>
      </c>
      <c r="C379" s="15" t="inlineStr">
        <is>
          <t>Dorsia_1</t>
        </is>
      </c>
      <c r="D379" s="29">
        <f>IF($C379="","",IFERROR(IF(INDEX(Deals!$C$2:$C$355,MATCH($C379,Deals!$A$2:$A$355,0))=0,"",INDEX(Deals!$C$2:$C$355,MATCH($C379,Deals!$A$2:$A$355,0))),"?"))</f>
        <v/>
      </c>
      <c r="E379" s="29">
        <f>IF($C379="","",IFERROR(INDEX(Deals!$F$2:$F$355,MATCH($C379,Deals!$A$2:$A$355,0)),"?"))</f>
        <v/>
      </c>
      <c r="F379" s="15" t="inlineStr">
        <is>
          <t>VP</t>
        </is>
      </c>
      <c r="G379" s="15" t="inlineStr">
        <is>
          <t>Inactive</t>
        </is>
      </c>
      <c r="H379" s="27" t="n"/>
      <c r="I379" s="20">
        <f>IF(OR($A379="",$G379&lt;&gt;"Active"),0,IF($H379&lt;&gt;"",$H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</f>
        <v/>
      </c>
      <c r="J379" s="23">
        <f>IF($C379="",0,IFERROR(INDEX(Deals!$H$2:$H$355,MATCH($C379,Deals!$A$2:$A$355,0)),0))</f>
        <v/>
      </c>
      <c r="K379" s="20">
        <f>IF(Settings!$B$4="Yes",$I379*$J379,$I379)</f>
        <v/>
      </c>
      <c r="L379" s="31">
        <f>IF($C379="","",IFERROR(IF(INDEX(Deals!$I$2:$I$355,MATCH($C379,Deals!$A$2:$A$355,0))=0,"",INDEX(Deals!$I$2:$I$355,MATCH($C379,Deals!$A$2:$A$355,0))),""))</f>
        <v/>
      </c>
      <c r="M379" s="31">
        <f>IF($C379="","",IFERROR(IF(INDEX(Deals!$J$2:$J$355,MATCH($C379,Deals!$A$2:$A$355,0))=0,"",INDEX(Deals!$J$2:$J$355,MATCH($C379,Deals!$A$2:$A$355,0))),""))</f>
        <v/>
      </c>
      <c r="N379" s="24">
        <f>IF($L379="",DATE(1900,1,1),$L379)</f>
        <v/>
      </c>
      <c r="O379" s="24">
        <f>IF($M379="",DATE(2100,12,31),$M379)</f>
        <v/>
      </c>
      <c r="P379" s="16" t="inlineStr">
        <is>
          <t>Invoiced</t>
        </is>
      </c>
      <c r="Q379" s="16" t="inlineStr"/>
      <c r="R379" s="29">
        <f>IF($C379="","",IFERROR(IF(INDEX(Deals!$U$2:$U$355,MATCH($C379,Deals!$A$2:$A$355,0))=0,"",INDEX(Deals!$U$2:$U$355,MATCH($C379,Deals!$A$2:$A$355,0))),""))</f>
        <v/>
      </c>
      <c r="S379" s="22">
        <f>IFERROR(IF($U379="",1,INDEX(Deals!$V$2:$V$355,MATCH($C379,Deals!$A$2:$A$355,0))),1)</f>
        <v/>
      </c>
      <c r="T379" s="22">
        <f>IFERROR(IF($U379="",1,INDEX(Deals!$W$2:$W$355,MATCH($C379,Deals!$A$2:$A$355,0))),1)</f>
        <v/>
      </c>
      <c r="U379" s="31">
        <f>IF($C379="","",IFERROR(IF(INDEX(Deals!$Y$2:$Y$355,MATCH($C379,Deals!$A$2:$A$355,0))=0,"",INDEX(Deals!$Y$2:$Y$355,MATCH($C379,Deals!$A$2:$A$355,0))),""))</f>
        <v/>
      </c>
      <c r="V379" s="24">
        <f>IF($U379="",DATE(1900,1,1),$N379)</f>
        <v/>
      </c>
      <c r="W379" s="24">
        <f>IF($U379="",DATE(2100,12,31),$U379)</f>
        <v/>
      </c>
      <c r="X379" s="20">
        <f>IF($U379="",$K379,$K379*$S379)</f>
        <v/>
      </c>
      <c r="Y379" s="24">
        <f>IF($U379="",DATE(2100,12,31),$U379+1)</f>
        <v/>
      </c>
      <c r="Z379" s="24">
        <f>IF($U379="",DATE(1900,1,1),$O379)</f>
        <v/>
      </c>
      <c r="AA379" s="20">
        <f>IF($U379="",0,$K379*$T379)</f>
        <v/>
      </c>
    </row>
    <row r="380">
      <c r="A380" s="15" t="inlineStr">
        <is>
          <t>Patch</t>
        </is>
      </c>
      <c r="B380" s="29">
        <f>IF($A380="","",IFERROR(INDEX(Roster!$B$2:$B$40,MATCH($A380,Roster!$A$2:$A$40,0)),"?"))</f>
        <v/>
      </c>
      <c r="C380" s="15" t="inlineStr">
        <is>
          <t>Elcano_1</t>
        </is>
      </c>
      <c r="D380" s="29">
        <f>IF($C380="","",IFERROR(IF(INDEX(Deals!$C$2:$C$355,MATCH($C380,Deals!$A$2:$A$355,0))=0,"",INDEX(Deals!$C$2:$C$355,MATCH($C380,Deals!$A$2:$A$355,0))),"?"))</f>
        <v/>
      </c>
      <c r="E380" s="29">
        <f>IF($C380="","",IFERROR(INDEX(Deals!$F$2:$F$355,MATCH($C380,Deals!$A$2:$A$355,0)),"?"))</f>
        <v/>
      </c>
      <c r="F380" s="15" t="inlineStr">
        <is>
          <t>VP</t>
        </is>
      </c>
      <c r="G380" s="15" t="inlineStr">
        <is>
          <t>Active</t>
        </is>
      </c>
      <c r="H380" s="27" t="n"/>
      <c r="I380" s="20">
        <f>IF(OR($A380="",$G380&lt;&gt;"Active"),0,IF($H380&lt;&gt;"",$H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</f>
        <v/>
      </c>
      <c r="J380" s="23">
        <f>IF($C380="",0,IFERROR(INDEX(Deals!$H$2:$H$355,MATCH($C380,Deals!$A$2:$A$355,0)),0))</f>
        <v/>
      </c>
      <c r="K380" s="20">
        <f>IF(Settings!$B$4="Yes",$I380*$J380,$I380)</f>
        <v/>
      </c>
      <c r="L380" s="31">
        <f>IF($C380="","",IFERROR(IF(INDEX(Deals!$I$2:$I$355,MATCH($C380,Deals!$A$2:$A$355,0))=0,"",INDEX(Deals!$I$2:$I$355,MATCH($C380,Deals!$A$2:$A$355,0))),""))</f>
        <v/>
      </c>
      <c r="M380" s="31">
        <f>IF($C380="","",IFERROR(IF(INDEX(Deals!$J$2:$J$355,MATCH($C380,Deals!$A$2:$A$355,0))=0,"",INDEX(Deals!$J$2:$J$355,MATCH($C380,Deals!$A$2:$A$355,0))),""))</f>
        <v/>
      </c>
      <c r="N380" s="24">
        <f>IF($L380="",DATE(1900,1,1),$L380)</f>
        <v/>
      </c>
      <c r="O380" s="24">
        <f>IF($M380="",DATE(2100,12,31),$M380)</f>
        <v/>
      </c>
      <c r="P380" s="16" t="inlineStr">
        <is>
          <t>Proposal Sent</t>
        </is>
      </c>
      <c r="Q380" s="16" t="inlineStr"/>
      <c r="R380" s="29">
        <f>IF($C380="","",IFERROR(IF(INDEX(Deals!$U$2:$U$355,MATCH($C380,Deals!$A$2:$A$355,0))=0,"",INDEX(Deals!$U$2:$U$355,MATCH($C380,Deals!$A$2:$A$355,0))),""))</f>
        <v/>
      </c>
      <c r="S380" s="22">
        <f>IFERROR(IF($U380="",1,INDEX(Deals!$V$2:$V$355,MATCH($C380,Deals!$A$2:$A$355,0))),1)</f>
        <v/>
      </c>
      <c r="T380" s="22">
        <f>IFERROR(IF($U380="",1,INDEX(Deals!$W$2:$W$355,MATCH($C380,Deals!$A$2:$A$355,0))),1)</f>
        <v/>
      </c>
      <c r="U380" s="31">
        <f>IF($C380="","",IFERROR(IF(INDEX(Deals!$Y$2:$Y$355,MATCH($C380,Deals!$A$2:$A$355,0))=0,"",INDEX(Deals!$Y$2:$Y$355,MATCH($C380,Deals!$A$2:$A$355,0))),""))</f>
        <v/>
      </c>
      <c r="V380" s="24">
        <f>IF($U380="",DATE(1900,1,1),$N380)</f>
        <v/>
      </c>
      <c r="W380" s="24">
        <f>IF($U380="",DATE(2100,12,31),$U380)</f>
        <v/>
      </c>
      <c r="X380" s="20">
        <f>IF($U380="",$K380,$K380*$S380)</f>
        <v/>
      </c>
      <c r="Y380" s="24">
        <f>IF($U380="",DATE(2100,12,31),$U380+1)</f>
        <v/>
      </c>
      <c r="Z380" s="24">
        <f>IF($U380="",DATE(1900,1,1),$O380)</f>
        <v/>
      </c>
      <c r="AA380" s="20">
        <f>IF($U380="",0,$K380*$T380)</f>
        <v/>
      </c>
    </row>
    <row r="381">
      <c r="A381" s="15" t="inlineStr">
        <is>
          <t>Patch</t>
        </is>
      </c>
      <c r="B381" s="29">
        <f>IF($A381="","",IFERROR(INDEX(Roster!$B$2:$B$40,MATCH($A381,Roster!$A$2:$A$40,0)),"?"))</f>
        <v/>
      </c>
      <c r="C381" s="15" t="inlineStr">
        <is>
          <t>Enterprise_1</t>
        </is>
      </c>
      <c r="D381" s="29">
        <f>IF($C381="","",IFERROR(IF(INDEX(Deals!$C$2:$C$355,MATCH($C381,Deals!$A$2:$A$355,0))=0,"",INDEX(Deals!$C$2:$C$355,MATCH($C381,Deals!$A$2:$A$355,0))),"?"))</f>
        <v/>
      </c>
      <c r="E381" s="29">
        <f>IF($C381="","",IFERROR(INDEX(Deals!$F$2:$F$355,MATCH($C381,Deals!$A$2:$A$355,0)),"?"))</f>
        <v/>
      </c>
      <c r="F381" s="15" t="inlineStr">
        <is>
          <t>VP</t>
        </is>
      </c>
      <c r="G381" s="15" t="inlineStr">
        <is>
          <t>Inactive</t>
        </is>
      </c>
      <c r="H381" s="27" t="n"/>
      <c r="I381" s="20">
        <f>IF(OR($A381="",$G381&lt;&gt;"Active"),0,IF($H381&lt;&gt;"",$H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</f>
        <v/>
      </c>
      <c r="J381" s="23">
        <f>IF($C381="",0,IFERROR(INDEX(Deals!$H$2:$H$355,MATCH($C381,Deals!$A$2:$A$355,0)),0))</f>
        <v/>
      </c>
      <c r="K381" s="20">
        <f>IF(Settings!$B$4="Yes",$I381*$J381,$I381)</f>
        <v/>
      </c>
      <c r="L381" s="31">
        <f>IF($C381="","",IFERROR(IF(INDEX(Deals!$I$2:$I$355,MATCH($C381,Deals!$A$2:$A$355,0))=0,"",INDEX(Deals!$I$2:$I$355,MATCH($C381,Deals!$A$2:$A$355,0))),""))</f>
        <v/>
      </c>
      <c r="M381" s="31">
        <f>IF($C381="","",IFERROR(IF(INDEX(Deals!$J$2:$J$355,MATCH($C381,Deals!$A$2:$A$355,0))=0,"",INDEX(Deals!$J$2:$J$355,MATCH($C381,Deals!$A$2:$A$355,0))),""))</f>
        <v/>
      </c>
      <c r="N381" s="24">
        <f>IF($L381="",DATE(1900,1,1),$L381)</f>
        <v/>
      </c>
      <c r="O381" s="24">
        <f>IF($M381="",DATE(2100,12,31),$M381)</f>
        <v/>
      </c>
      <c r="P381" s="16" t="inlineStr">
        <is>
          <t>Invoiced</t>
        </is>
      </c>
      <c r="Q381" s="16" t="inlineStr"/>
      <c r="R381" s="29">
        <f>IF($C381="","",IFERROR(IF(INDEX(Deals!$U$2:$U$355,MATCH($C381,Deals!$A$2:$A$355,0))=0,"",INDEX(Deals!$U$2:$U$355,MATCH($C381,Deals!$A$2:$A$355,0))),""))</f>
        <v/>
      </c>
      <c r="S381" s="22">
        <f>IFERROR(IF($U381="",1,INDEX(Deals!$V$2:$V$355,MATCH($C381,Deals!$A$2:$A$355,0))),1)</f>
        <v/>
      </c>
      <c r="T381" s="22">
        <f>IFERROR(IF($U381="",1,INDEX(Deals!$W$2:$W$355,MATCH($C381,Deals!$A$2:$A$355,0))),1)</f>
        <v/>
      </c>
      <c r="U381" s="31">
        <f>IF($C381="","",IFERROR(IF(INDEX(Deals!$Y$2:$Y$355,MATCH($C381,Deals!$A$2:$A$355,0))=0,"",INDEX(Deals!$Y$2:$Y$355,MATCH($C381,Deals!$A$2:$A$355,0))),""))</f>
        <v/>
      </c>
      <c r="V381" s="24">
        <f>IF($U381="",DATE(1900,1,1),$N381)</f>
        <v/>
      </c>
      <c r="W381" s="24">
        <f>IF($U381="",DATE(2100,12,31),$U381)</f>
        <v/>
      </c>
      <c r="X381" s="20">
        <f>IF($U381="",$K381,$K381*$S381)</f>
        <v/>
      </c>
      <c r="Y381" s="24">
        <f>IF($U381="",DATE(2100,12,31),$U381+1)</f>
        <v/>
      </c>
      <c r="Z381" s="24">
        <f>IF($U381="",DATE(1900,1,1),$O381)</f>
        <v/>
      </c>
      <c r="AA381" s="20">
        <f>IF($U381="",0,$K381*$T381)</f>
        <v/>
      </c>
    </row>
    <row r="382">
      <c r="A382" s="15" t="inlineStr">
        <is>
          <t>Patch</t>
        </is>
      </c>
      <c r="B382" s="29">
        <f>IF($A382="","",IFERROR(INDEX(Roster!$B$2:$B$40,MATCH($A382,Roster!$A$2:$A$40,0)),"?"))</f>
        <v/>
      </c>
      <c r="C382" s="15" t="inlineStr">
        <is>
          <t>EV Passport_2</t>
        </is>
      </c>
      <c r="D382" s="29">
        <f>IF($C382="","",IFERROR(IF(INDEX(Deals!$C$2:$C$355,MATCH($C382,Deals!$A$2:$A$355,0))=0,"",INDEX(Deals!$C$2:$C$355,MATCH($C382,Deals!$A$2:$A$355,0))),"?"))</f>
        <v/>
      </c>
      <c r="E382" s="29">
        <f>IF($C382="","",IFERROR(INDEX(Deals!$F$2:$F$355,MATCH($C382,Deals!$A$2:$A$355,0)),"?"))</f>
        <v/>
      </c>
      <c r="F382" s="15" t="inlineStr">
        <is>
          <t>VP</t>
        </is>
      </c>
      <c r="G382" s="15" t="inlineStr">
        <is>
          <t>Inactive</t>
        </is>
      </c>
      <c r="H382" s="27" t="n"/>
      <c r="I382" s="20">
        <f>IF(OR($A382="",$G382&lt;&gt;"Active"),0,IF($H382&lt;&gt;"",$H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</f>
        <v/>
      </c>
      <c r="J382" s="23">
        <f>IF($C382="",0,IFERROR(INDEX(Deals!$H$2:$H$355,MATCH($C382,Deals!$A$2:$A$355,0)),0))</f>
        <v/>
      </c>
      <c r="K382" s="20">
        <f>IF(Settings!$B$4="Yes",$I382*$J382,$I382)</f>
        <v/>
      </c>
      <c r="L382" s="31">
        <f>IF($C382="","",IFERROR(IF(INDEX(Deals!$I$2:$I$355,MATCH($C382,Deals!$A$2:$A$355,0))=0,"",INDEX(Deals!$I$2:$I$355,MATCH($C382,Deals!$A$2:$A$355,0))),""))</f>
        <v/>
      </c>
      <c r="M382" s="31">
        <f>IF($C382="","",IFERROR(IF(INDEX(Deals!$J$2:$J$355,MATCH($C382,Deals!$A$2:$A$355,0))=0,"",INDEX(Deals!$J$2:$J$355,MATCH($C382,Deals!$A$2:$A$355,0))),""))</f>
        <v/>
      </c>
      <c r="N382" s="24">
        <f>IF($L382="",DATE(1900,1,1),$L382)</f>
        <v/>
      </c>
      <c r="O382" s="24">
        <f>IF($M382="",DATE(2100,12,31),$M382)</f>
        <v/>
      </c>
      <c r="P382" s="16" t="inlineStr">
        <is>
          <t>Invoiced</t>
        </is>
      </c>
      <c r="Q382" s="16" t="inlineStr"/>
      <c r="R382" s="29">
        <f>IF($C382="","",IFERROR(IF(INDEX(Deals!$U$2:$U$355,MATCH($C382,Deals!$A$2:$A$355,0))=0,"",INDEX(Deals!$U$2:$U$355,MATCH($C382,Deals!$A$2:$A$355,0))),""))</f>
        <v/>
      </c>
      <c r="S382" s="22">
        <f>IFERROR(IF($U382="",1,INDEX(Deals!$V$2:$V$355,MATCH($C382,Deals!$A$2:$A$355,0))),1)</f>
        <v/>
      </c>
      <c r="T382" s="22">
        <f>IFERROR(IF($U382="",1,INDEX(Deals!$W$2:$W$355,MATCH($C382,Deals!$A$2:$A$355,0))),1)</f>
        <v/>
      </c>
      <c r="U382" s="31">
        <f>IF($C382="","",IFERROR(IF(INDEX(Deals!$Y$2:$Y$355,MATCH($C382,Deals!$A$2:$A$355,0))=0,"",INDEX(Deals!$Y$2:$Y$355,MATCH($C382,Deals!$A$2:$A$355,0))),""))</f>
        <v/>
      </c>
      <c r="V382" s="24">
        <f>IF($U382="",DATE(1900,1,1),$N382)</f>
        <v/>
      </c>
      <c r="W382" s="24">
        <f>IF($U382="",DATE(2100,12,31),$U382)</f>
        <v/>
      </c>
      <c r="X382" s="20">
        <f>IF($U382="",$K382,$K382*$S382)</f>
        <v/>
      </c>
      <c r="Y382" s="24">
        <f>IF($U382="",DATE(2100,12,31),$U382+1)</f>
        <v/>
      </c>
      <c r="Z382" s="24">
        <f>IF($U382="",DATE(1900,1,1),$O382)</f>
        <v/>
      </c>
      <c r="AA382" s="20">
        <f>IF($U382="",0,$K382*$T382)</f>
        <v/>
      </c>
    </row>
    <row r="383">
      <c r="A383" s="15" t="inlineStr">
        <is>
          <t>Patch</t>
        </is>
      </c>
      <c r="B383" s="29">
        <f>IF($A383="","",IFERROR(INDEX(Roster!$B$2:$B$40,MATCH($A383,Roster!$A$2:$A$40,0)),"?"))</f>
        <v/>
      </c>
      <c r="C383" s="15" t="inlineStr">
        <is>
          <t>Fury_1</t>
        </is>
      </c>
      <c r="D383" s="29">
        <f>IF($C383="","",IFERROR(IF(INDEX(Deals!$C$2:$C$355,MATCH($C383,Deals!$A$2:$A$355,0))=0,"",INDEX(Deals!$C$2:$C$355,MATCH($C383,Deals!$A$2:$A$355,0))),"?"))</f>
        <v/>
      </c>
      <c r="E383" s="29">
        <f>IF($C383="","",IFERROR(INDEX(Deals!$F$2:$F$355,MATCH($C383,Deals!$A$2:$A$355,0)),"?"))</f>
        <v/>
      </c>
      <c r="F383" s="15" t="inlineStr">
        <is>
          <t>VP</t>
        </is>
      </c>
      <c r="G383" s="15" t="inlineStr">
        <is>
          <t>Inactive</t>
        </is>
      </c>
      <c r="H383" s="27" t="n"/>
      <c r="I383" s="20">
        <f>IF(OR($A383="",$G383&lt;&gt;"Active"),0,IF($H383&lt;&gt;"",$H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</f>
        <v/>
      </c>
      <c r="J383" s="23">
        <f>IF($C383="",0,IFERROR(INDEX(Deals!$H$2:$H$355,MATCH($C383,Deals!$A$2:$A$355,0)),0))</f>
        <v/>
      </c>
      <c r="K383" s="20">
        <f>IF(Settings!$B$4="Yes",$I383*$J383,$I383)</f>
        <v/>
      </c>
      <c r="L383" s="31">
        <f>IF($C383="","",IFERROR(IF(INDEX(Deals!$I$2:$I$355,MATCH($C383,Deals!$A$2:$A$355,0))=0,"",INDEX(Deals!$I$2:$I$355,MATCH($C383,Deals!$A$2:$A$355,0))),""))</f>
        <v/>
      </c>
      <c r="M383" s="31">
        <f>IF($C383="","",IFERROR(IF(INDEX(Deals!$J$2:$J$355,MATCH($C383,Deals!$A$2:$A$355,0))=0,"",INDEX(Deals!$J$2:$J$355,MATCH($C383,Deals!$A$2:$A$355,0))),""))</f>
        <v/>
      </c>
      <c r="N383" s="24">
        <f>IF($L383="",DATE(1900,1,1),$L383)</f>
        <v/>
      </c>
      <c r="O383" s="24">
        <f>IF($M383="",DATE(2100,12,31),$M383)</f>
        <v/>
      </c>
      <c r="P383" s="16" t="inlineStr">
        <is>
          <t>Closed</t>
        </is>
      </c>
      <c r="Q383" s="16" t="inlineStr"/>
      <c r="R383" s="29">
        <f>IF($C383="","",IFERROR(IF(INDEX(Deals!$U$2:$U$355,MATCH($C383,Deals!$A$2:$A$355,0))=0,"",INDEX(Deals!$U$2:$U$355,MATCH($C383,Deals!$A$2:$A$355,0))),""))</f>
        <v/>
      </c>
      <c r="S383" s="22">
        <f>IFERROR(IF($U383="",1,INDEX(Deals!$V$2:$V$355,MATCH($C383,Deals!$A$2:$A$355,0))),1)</f>
        <v/>
      </c>
      <c r="T383" s="22">
        <f>IFERROR(IF($U383="",1,INDEX(Deals!$W$2:$W$355,MATCH($C383,Deals!$A$2:$A$355,0))),1)</f>
        <v/>
      </c>
      <c r="U383" s="31">
        <f>IF($C383="","",IFERROR(IF(INDEX(Deals!$Y$2:$Y$355,MATCH($C383,Deals!$A$2:$A$355,0))=0,"",INDEX(Deals!$Y$2:$Y$355,MATCH($C383,Deals!$A$2:$A$355,0))),""))</f>
        <v/>
      </c>
      <c r="V383" s="24">
        <f>IF($U383="",DATE(1900,1,1),$N383)</f>
        <v/>
      </c>
      <c r="W383" s="24">
        <f>IF($U383="",DATE(2100,12,31),$U383)</f>
        <v/>
      </c>
      <c r="X383" s="20">
        <f>IF($U383="",$K383,$K383*$S383)</f>
        <v/>
      </c>
      <c r="Y383" s="24">
        <f>IF($U383="",DATE(2100,12,31),$U383+1)</f>
        <v/>
      </c>
      <c r="Z383" s="24">
        <f>IF($U383="",DATE(1900,1,1),$O383)</f>
        <v/>
      </c>
      <c r="AA383" s="20">
        <f>IF($U383="",0,$K383*$T383)</f>
        <v/>
      </c>
    </row>
    <row r="384">
      <c r="A384" s="15" t="inlineStr">
        <is>
          <t>Patch</t>
        </is>
      </c>
      <c r="B384" s="29">
        <f>IF($A384="","",IFERROR(INDEX(Roster!$B$2:$B$40,MATCH($A384,Roster!$A$2:$A$40,0)),"?"))</f>
        <v/>
      </c>
      <c r="C384" s="15" t="inlineStr">
        <is>
          <t>Gateway_3</t>
        </is>
      </c>
      <c r="D384" s="29">
        <f>IF($C384="","",IFERROR(IF(INDEX(Deals!$C$2:$C$355,MATCH($C384,Deals!$A$2:$A$355,0))=0,"",INDEX(Deals!$C$2:$C$355,MATCH($C384,Deals!$A$2:$A$355,0))),"?"))</f>
        <v/>
      </c>
      <c r="E384" s="29">
        <f>IF($C384="","",IFERROR(INDEX(Deals!$F$2:$F$355,MATCH($C384,Deals!$A$2:$A$355,0)),"?"))</f>
        <v/>
      </c>
      <c r="F384" s="15" t="inlineStr">
        <is>
          <t>VP</t>
        </is>
      </c>
      <c r="G384" s="15" t="inlineStr">
        <is>
          <t>Inactive</t>
        </is>
      </c>
      <c r="H384" s="27" t="n"/>
      <c r="I384" s="20">
        <f>IF(OR($A384="",$G384&lt;&gt;"Active"),0,IF($H384&lt;&gt;"",$H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</f>
        <v/>
      </c>
      <c r="J384" s="23">
        <f>IF($C384="",0,IFERROR(INDEX(Deals!$H$2:$H$355,MATCH($C384,Deals!$A$2:$A$355,0)),0))</f>
        <v/>
      </c>
      <c r="K384" s="20">
        <f>IF(Settings!$B$4="Yes",$I384*$J384,$I384)</f>
        <v/>
      </c>
      <c r="L384" s="31">
        <f>IF($C384="","",IFERROR(IF(INDEX(Deals!$I$2:$I$355,MATCH($C384,Deals!$A$2:$A$355,0))=0,"",INDEX(Deals!$I$2:$I$355,MATCH($C384,Deals!$A$2:$A$355,0))),""))</f>
        <v/>
      </c>
      <c r="M384" s="31">
        <f>IF($C384="","",IFERROR(IF(INDEX(Deals!$J$2:$J$355,MATCH($C384,Deals!$A$2:$A$355,0))=0,"",INDEX(Deals!$J$2:$J$355,MATCH($C384,Deals!$A$2:$A$355,0))),""))</f>
        <v/>
      </c>
      <c r="N384" s="24">
        <f>IF($L384="",DATE(1900,1,1),$L384)</f>
        <v/>
      </c>
      <c r="O384" s="24">
        <f>IF($M384="",DATE(2100,12,31),$M384)</f>
        <v/>
      </c>
      <c r="P384" s="16" t="inlineStr">
        <is>
          <t>Closed</t>
        </is>
      </c>
      <c r="Q384" s="16" t="inlineStr"/>
      <c r="R384" s="29">
        <f>IF($C384="","",IFERROR(IF(INDEX(Deals!$U$2:$U$355,MATCH($C384,Deals!$A$2:$A$355,0))=0,"",INDEX(Deals!$U$2:$U$355,MATCH($C384,Deals!$A$2:$A$355,0))),""))</f>
        <v/>
      </c>
      <c r="S384" s="22">
        <f>IFERROR(IF($U384="",1,INDEX(Deals!$V$2:$V$355,MATCH($C384,Deals!$A$2:$A$355,0))),1)</f>
        <v/>
      </c>
      <c r="T384" s="22">
        <f>IFERROR(IF($U384="",1,INDEX(Deals!$W$2:$W$355,MATCH($C384,Deals!$A$2:$A$355,0))),1)</f>
        <v/>
      </c>
      <c r="U384" s="31">
        <f>IF($C384="","",IFERROR(IF(INDEX(Deals!$Y$2:$Y$355,MATCH($C384,Deals!$A$2:$A$355,0))=0,"",INDEX(Deals!$Y$2:$Y$355,MATCH($C384,Deals!$A$2:$A$355,0))),""))</f>
        <v/>
      </c>
      <c r="V384" s="24">
        <f>IF($U384="",DATE(1900,1,1),$N384)</f>
        <v/>
      </c>
      <c r="W384" s="24">
        <f>IF($U384="",DATE(2100,12,31),$U384)</f>
        <v/>
      </c>
      <c r="X384" s="20">
        <f>IF($U384="",$K384,$K384*$S384)</f>
        <v/>
      </c>
      <c r="Y384" s="24">
        <f>IF($U384="",DATE(2100,12,31),$U384+1)</f>
        <v/>
      </c>
      <c r="Z384" s="24">
        <f>IF($U384="",DATE(1900,1,1),$O384)</f>
        <v/>
      </c>
      <c r="AA384" s="20">
        <f>IF($U384="",0,$K384*$T384)</f>
        <v/>
      </c>
    </row>
    <row r="385">
      <c r="A385" s="15" t="inlineStr">
        <is>
          <t>Patch</t>
        </is>
      </c>
      <c r="B385" s="29">
        <f>IF($A385="","",IFERROR(INDEX(Roster!$B$2:$B$40,MATCH($A385,Roster!$A$2:$A$40,0)),"?"))</f>
        <v/>
      </c>
      <c r="C385" s="15" t="inlineStr">
        <is>
          <t>Genesis_6</t>
        </is>
      </c>
      <c r="D385" s="29">
        <f>IF($C385="","",IFERROR(IF(INDEX(Deals!$C$2:$C$355,MATCH($C385,Deals!$A$2:$A$355,0))=0,"",INDEX(Deals!$C$2:$C$355,MATCH($C385,Deals!$A$2:$A$355,0))),"?"))</f>
        <v/>
      </c>
      <c r="E385" s="29">
        <f>IF($C385="","",IFERROR(INDEX(Deals!$F$2:$F$355,MATCH($C385,Deals!$A$2:$A$355,0)),"?"))</f>
        <v/>
      </c>
      <c r="F385" s="15" t="inlineStr">
        <is>
          <t>VP</t>
        </is>
      </c>
      <c r="G385" s="15" t="inlineStr">
        <is>
          <t>Active</t>
        </is>
      </c>
      <c r="H385" s="27" t="n"/>
      <c r="I385" s="20">
        <f>IF(OR($A385="",$G385&lt;&gt;"Active"),0,IF($H385&lt;&gt;"",$H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</f>
        <v/>
      </c>
      <c r="J385" s="23">
        <f>IF($C385="",0,IFERROR(INDEX(Deals!$H$2:$H$355,MATCH($C385,Deals!$A$2:$A$355,0)),0))</f>
        <v/>
      </c>
      <c r="K385" s="20">
        <f>IF(Settings!$B$4="Yes",$I385*$J385,$I385)</f>
        <v/>
      </c>
      <c r="L385" s="31">
        <f>IF($C385="","",IFERROR(IF(INDEX(Deals!$I$2:$I$355,MATCH($C385,Deals!$A$2:$A$355,0))=0,"",INDEX(Deals!$I$2:$I$355,MATCH($C385,Deals!$A$2:$A$355,0))),""))</f>
        <v/>
      </c>
      <c r="M385" s="31">
        <f>IF($C385="","",IFERROR(IF(INDEX(Deals!$J$2:$J$355,MATCH($C385,Deals!$A$2:$A$355,0))=0,"",INDEX(Deals!$J$2:$J$355,MATCH($C385,Deals!$A$2:$A$355,0))),""))</f>
        <v/>
      </c>
      <c r="N385" s="24">
        <f>IF($L385="",DATE(1900,1,1),$L385)</f>
        <v/>
      </c>
      <c r="O385" s="24">
        <f>IF($M385="",DATE(2100,12,31),$M385)</f>
        <v/>
      </c>
      <c r="P385" s="16" t="inlineStr">
        <is>
          <t>Ongoing</t>
        </is>
      </c>
      <c r="Q385" s="16" t="inlineStr"/>
      <c r="R385" s="29">
        <f>IF($C385="","",IFERROR(IF(INDEX(Deals!$U$2:$U$355,MATCH($C385,Deals!$A$2:$A$355,0))=0,"",INDEX(Deals!$U$2:$U$355,MATCH($C385,Deals!$A$2:$A$355,0))),""))</f>
        <v/>
      </c>
      <c r="S385" s="22">
        <f>IFERROR(IF($U385="",1,INDEX(Deals!$V$2:$V$355,MATCH($C385,Deals!$A$2:$A$355,0))),1)</f>
        <v/>
      </c>
      <c r="T385" s="22">
        <f>IFERROR(IF($U385="",1,INDEX(Deals!$W$2:$W$355,MATCH($C385,Deals!$A$2:$A$355,0))),1)</f>
        <v/>
      </c>
      <c r="U385" s="31">
        <f>IF($C385="","",IFERROR(IF(INDEX(Deals!$Y$2:$Y$355,MATCH($C385,Deals!$A$2:$A$355,0))=0,"",INDEX(Deals!$Y$2:$Y$355,MATCH($C385,Deals!$A$2:$A$355,0))),""))</f>
        <v/>
      </c>
      <c r="V385" s="24">
        <f>IF($U385="",DATE(1900,1,1),$N385)</f>
        <v/>
      </c>
      <c r="W385" s="24">
        <f>IF($U385="",DATE(2100,12,31),$U385)</f>
        <v/>
      </c>
      <c r="X385" s="20">
        <f>IF($U385="",$K385,$K385*$S385)</f>
        <v/>
      </c>
      <c r="Y385" s="24">
        <f>IF($U385="",DATE(2100,12,31),$U385+1)</f>
        <v/>
      </c>
      <c r="Z385" s="24">
        <f>IF($U385="",DATE(1900,1,1),$O385)</f>
        <v/>
      </c>
      <c r="AA385" s="20">
        <f>IF($U385="",0,$K385*$T385)</f>
        <v/>
      </c>
    </row>
    <row r="386">
      <c r="A386" s="15" t="inlineStr">
        <is>
          <t>Patch</t>
        </is>
      </c>
      <c r="B386" s="29">
        <f>IF($A386="","",IFERROR(INDEX(Roster!$B$2:$B$40,MATCH($A386,Roster!$A$2:$A$40,0)),"?"))</f>
        <v/>
      </c>
      <c r="C386" s="15" t="inlineStr">
        <is>
          <t>Hatch_1</t>
        </is>
      </c>
      <c r="D386" s="29">
        <f>IF($C386="","",IFERROR(IF(INDEX(Deals!$C$2:$C$355,MATCH($C386,Deals!$A$2:$A$355,0))=0,"",INDEX(Deals!$C$2:$C$355,MATCH($C386,Deals!$A$2:$A$355,0))),"?"))</f>
        <v/>
      </c>
      <c r="E386" s="29">
        <f>IF($C386="","",IFERROR(INDEX(Deals!$F$2:$F$355,MATCH($C386,Deals!$A$2:$A$355,0)),"?"))</f>
        <v/>
      </c>
      <c r="F386" s="15" t="inlineStr">
        <is>
          <t>VP</t>
        </is>
      </c>
      <c r="G386" s="15" t="inlineStr">
        <is>
          <t>Inactive</t>
        </is>
      </c>
      <c r="H386" s="27" t="n"/>
      <c r="I386" s="20">
        <f>IF(OR($A386="",$G386&lt;&gt;"Active"),0,IF($H386&lt;&gt;"",$H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</f>
        <v/>
      </c>
      <c r="J386" s="23">
        <f>IF($C386="",0,IFERROR(INDEX(Deals!$H$2:$H$355,MATCH($C386,Deals!$A$2:$A$355,0)),0))</f>
        <v/>
      </c>
      <c r="K386" s="20">
        <f>IF(Settings!$B$4="Yes",$I386*$J386,$I386)</f>
        <v/>
      </c>
      <c r="L386" s="31">
        <f>IF($C386="","",IFERROR(IF(INDEX(Deals!$I$2:$I$355,MATCH($C386,Deals!$A$2:$A$355,0))=0,"",INDEX(Deals!$I$2:$I$355,MATCH($C386,Deals!$A$2:$A$355,0))),""))</f>
        <v/>
      </c>
      <c r="M386" s="31">
        <f>IF($C386="","",IFERROR(IF(INDEX(Deals!$J$2:$J$355,MATCH($C386,Deals!$A$2:$A$355,0))=0,"",INDEX(Deals!$J$2:$J$355,MATCH($C386,Deals!$A$2:$A$355,0))),""))</f>
        <v/>
      </c>
      <c r="N386" s="24">
        <f>IF($L386="",DATE(1900,1,1),$L386)</f>
        <v/>
      </c>
      <c r="O386" s="24">
        <f>IF($M386="",DATE(2100,12,31),$M386)</f>
        <v/>
      </c>
      <c r="P386" s="16" t="inlineStr">
        <is>
          <t>Pencils Down</t>
        </is>
      </c>
      <c r="Q386" s="16" t="inlineStr"/>
      <c r="R386" s="29">
        <f>IF($C386="","",IFERROR(IF(INDEX(Deals!$U$2:$U$355,MATCH($C386,Deals!$A$2:$A$355,0))=0,"",INDEX(Deals!$U$2:$U$355,MATCH($C386,Deals!$A$2:$A$355,0))),""))</f>
        <v/>
      </c>
      <c r="S386" s="22">
        <f>IFERROR(IF($U386="",1,INDEX(Deals!$V$2:$V$355,MATCH($C386,Deals!$A$2:$A$355,0))),1)</f>
        <v/>
      </c>
      <c r="T386" s="22">
        <f>IFERROR(IF($U386="",1,INDEX(Deals!$W$2:$W$355,MATCH($C386,Deals!$A$2:$A$355,0))),1)</f>
        <v/>
      </c>
      <c r="U386" s="31">
        <f>IF($C386="","",IFERROR(IF(INDEX(Deals!$Y$2:$Y$355,MATCH($C386,Deals!$A$2:$A$355,0))=0,"",INDEX(Deals!$Y$2:$Y$355,MATCH($C386,Deals!$A$2:$A$355,0))),""))</f>
        <v/>
      </c>
      <c r="V386" s="24">
        <f>IF($U386="",DATE(1900,1,1),$N386)</f>
        <v/>
      </c>
      <c r="W386" s="24">
        <f>IF($U386="",DATE(2100,12,31),$U386)</f>
        <v/>
      </c>
      <c r="X386" s="20">
        <f>IF($U386="",$K386,$K386*$S386)</f>
        <v/>
      </c>
      <c r="Y386" s="24">
        <f>IF($U386="",DATE(2100,12,31),$U386+1)</f>
        <v/>
      </c>
      <c r="Z386" s="24">
        <f>IF($U386="",DATE(1900,1,1),$O386)</f>
        <v/>
      </c>
      <c r="AA386" s="20">
        <f>IF($U386="",0,$K386*$T386)</f>
        <v/>
      </c>
    </row>
    <row r="387">
      <c r="A387" s="15" t="inlineStr">
        <is>
          <t>Patch</t>
        </is>
      </c>
      <c r="B387" s="29">
        <f>IF($A387="","",IFERROR(INDEX(Roster!$B$2:$B$40,MATCH($A387,Roster!$A$2:$A$40,0)),"?"))</f>
        <v/>
      </c>
      <c r="C387" s="15" t="inlineStr">
        <is>
          <t>Heartland_2</t>
        </is>
      </c>
      <c r="D387" s="29">
        <f>IF($C387="","",IFERROR(IF(INDEX(Deals!$C$2:$C$355,MATCH($C387,Deals!$A$2:$A$355,0))=0,"",INDEX(Deals!$C$2:$C$355,MATCH($C387,Deals!$A$2:$A$355,0))),"?"))</f>
        <v/>
      </c>
      <c r="E387" s="29">
        <f>IF($C387="","",IFERROR(INDEX(Deals!$F$2:$F$355,MATCH($C387,Deals!$A$2:$A$355,0)),"?"))</f>
        <v/>
      </c>
      <c r="F387" s="15" t="inlineStr">
        <is>
          <t>VP</t>
        </is>
      </c>
      <c r="G387" s="15" t="inlineStr">
        <is>
          <t>Inactive</t>
        </is>
      </c>
      <c r="H387" s="27" t="n"/>
      <c r="I387" s="20">
        <f>IF(OR($A387="",$G387&lt;&gt;"Active"),0,IF($H387&lt;&gt;"",$H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</f>
        <v/>
      </c>
      <c r="J387" s="23">
        <f>IF($C387="",0,IFERROR(INDEX(Deals!$H$2:$H$355,MATCH($C387,Deals!$A$2:$A$355,0)),0))</f>
        <v/>
      </c>
      <c r="K387" s="20">
        <f>IF(Settings!$B$4="Yes",$I387*$J387,$I387)</f>
        <v/>
      </c>
      <c r="L387" s="31">
        <f>IF($C387="","",IFERROR(IF(INDEX(Deals!$I$2:$I$355,MATCH($C387,Deals!$A$2:$A$355,0))=0,"",INDEX(Deals!$I$2:$I$355,MATCH($C387,Deals!$A$2:$A$355,0))),""))</f>
        <v/>
      </c>
      <c r="M387" s="31">
        <f>IF($C387="","",IFERROR(IF(INDEX(Deals!$J$2:$J$355,MATCH($C387,Deals!$A$2:$A$355,0))=0,"",INDEX(Deals!$J$2:$J$355,MATCH($C387,Deals!$A$2:$A$355,0))),""))</f>
        <v/>
      </c>
      <c r="N387" s="24">
        <f>IF($L387="",DATE(1900,1,1),$L387)</f>
        <v/>
      </c>
      <c r="O387" s="24">
        <f>IF($M387="",DATE(2100,12,31),$M387)</f>
        <v/>
      </c>
      <c r="P387" s="16" t="inlineStr">
        <is>
          <t>Not really involved in ongoing work</t>
        </is>
      </c>
      <c r="Q387" s="16" t="inlineStr"/>
      <c r="R387" s="29">
        <f>IF($C387="","",IFERROR(IF(INDEX(Deals!$U$2:$U$355,MATCH($C387,Deals!$A$2:$A$355,0))=0,"",INDEX(Deals!$U$2:$U$355,MATCH($C387,Deals!$A$2:$A$355,0))),""))</f>
        <v/>
      </c>
      <c r="S387" s="22">
        <f>IFERROR(IF($U387="",1,INDEX(Deals!$V$2:$V$355,MATCH($C387,Deals!$A$2:$A$355,0))),1)</f>
        <v/>
      </c>
      <c r="T387" s="22">
        <f>IFERROR(IF($U387="",1,INDEX(Deals!$W$2:$W$355,MATCH($C387,Deals!$A$2:$A$355,0))),1)</f>
        <v/>
      </c>
      <c r="U387" s="31">
        <f>IF($C387="","",IFERROR(IF(INDEX(Deals!$Y$2:$Y$355,MATCH($C387,Deals!$A$2:$A$355,0))=0,"",INDEX(Deals!$Y$2:$Y$355,MATCH($C387,Deals!$A$2:$A$355,0))),""))</f>
        <v/>
      </c>
      <c r="V387" s="24">
        <f>IF($U387="",DATE(1900,1,1),$N387)</f>
        <v/>
      </c>
      <c r="W387" s="24">
        <f>IF($U387="",DATE(2100,12,31),$U387)</f>
        <v/>
      </c>
      <c r="X387" s="20">
        <f>IF($U387="",$K387,$K387*$S387)</f>
        <v/>
      </c>
      <c r="Y387" s="24">
        <f>IF($U387="",DATE(2100,12,31),$U387+1)</f>
        <v/>
      </c>
      <c r="Z387" s="24">
        <f>IF($U387="",DATE(1900,1,1),$O387)</f>
        <v/>
      </c>
      <c r="AA387" s="20">
        <f>IF($U387="",0,$K387*$T387)</f>
        <v/>
      </c>
    </row>
    <row r="388">
      <c r="A388" s="15" t="inlineStr">
        <is>
          <t>Patch</t>
        </is>
      </c>
      <c r="B388" s="29">
        <f>IF($A388="","",IFERROR(INDEX(Roster!$B$2:$B$40,MATCH($A388,Roster!$A$2:$A$40,0)),"?"))</f>
        <v/>
      </c>
      <c r="C388" s="15" t="inlineStr">
        <is>
          <t>Hop_1</t>
        </is>
      </c>
      <c r="D388" s="29">
        <f>IF($C388="","",IFERROR(IF(INDEX(Deals!$C$2:$C$355,MATCH($C388,Deals!$A$2:$A$355,0))=0,"",INDEX(Deals!$C$2:$C$355,MATCH($C388,Deals!$A$2:$A$355,0))),"?"))</f>
        <v/>
      </c>
      <c r="E388" s="29">
        <f>IF($C388="","",IFERROR(INDEX(Deals!$F$2:$F$355,MATCH($C388,Deals!$A$2:$A$355,0)),"?"))</f>
        <v/>
      </c>
      <c r="F388" s="15" t="inlineStr">
        <is>
          <t>VP</t>
        </is>
      </c>
      <c r="G388" s="15" t="inlineStr">
        <is>
          <t>Active</t>
        </is>
      </c>
      <c r="H388" s="27" t="n"/>
      <c r="I388" s="20">
        <f>IF(OR($A388="",$G388&lt;&gt;"Active"),0,IF($H388&lt;&gt;"",$H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</f>
        <v/>
      </c>
      <c r="J388" s="23">
        <f>IF($C388="",0,IFERROR(INDEX(Deals!$H$2:$H$355,MATCH($C388,Deals!$A$2:$A$355,0)),0))</f>
        <v/>
      </c>
      <c r="K388" s="20">
        <f>IF(Settings!$B$4="Yes",$I388*$J388,$I388)</f>
        <v/>
      </c>
      <c r="L388" s="31">
        <f>IF($C388="","",IFERROR(IF(INDEX(Deals!$I$2:$I$355,MATCH($C388,Deals!$A$2:$A$355,0))=0,"",INDEX(Deals!$I$2:$I$355,MATCH($C388,Deals!$A$2:$A$355,0))),""))</f>
        <v/>
      </c>
      <c r="M388" s="31">
        <f>IF($C388="","",IFERROR(IF(INDEX(Deals!$J$2:$J$355,MATCH($C388,Deals!$A$2:$A$355,0))=0,"",INDEX(Deals!$J$2:$J$355,MATCH($C388,Deals!$A$2:$A$355,0))),""))</f>
        <v/>
      </c>
      <c r="N388" s="24">
        <f>IF($L388="",DATE(1900,1,1),$L388)</f>
        <v/>
      </c>
      <c r="O388" s="24">
        <f>IF($M388="",DATE(2100,12,31),$M388)</f>
        <v/>
      </c>
      <c r="P388" s="16" t="inlineStr">
        <is>
          <t>SALT deal</t>
        </is>
      </c>
      <c r="Q388" s="16" t="inlineStr"/>
      <c r="R388" s="29">
        <f>IF($C388="","",IFERROR(IF(INDEX(Deals!$U$2:$U$355,MATCH($C388,Deals!$A$2:$A$355,0))=0,"",INDEX(Deals!$U$2:$U$355,MATCH($C388,Deals!$A$2:$A$355,0))),""))</f>
        <v/>
      </c>
      <c r="S388" s="22">
        <f>IFERROR(IF($U388="",1,INDEX(Deals!$V$2:$V$355,MATCH($C388,Deals!$A$2:$A$355,0))),1)</f>
        <v/>
      </c>
      <c r="T388" s="22">
        <f>IFERROR(IF($U388="",1,INDEX(Deals!$W$2:$W$355,MATCH($C388,Deals!$A$2:$A$355,0))),1)</f>
        <v/>
      </c>
      <c r="U388" s="31">
        <f>IF($C388="","",IFERROR(IF(INDEX(Deals!$Y$2:$Y$355,MATCH($C388,Deals!$A$2:$A$355,0))=0,"",INDEX(Deals!$Y$2:$Y$355,MATCH($C388,Deals!$A$2:$A$355,0))),""))</f>
        <v/>
      </c>
      <c r="V388" s="24">
        <f>IF($U388="",DATE(1900,1,1),$N388)</f>
        <v/>
      </c>
      <c r="W388" s="24">
        <f>IF($U388="",DATE(2100,12,31),$U388)</f>
        <v/>
      </c>
      <c r="X388" s="20">
        <f>IF($U388="",$K388,$K388*$S388)</f>
        <v/>
      </c>
      <c r="Y388" s="24">
        <f>IF($U388="",DATE(2100,12,31),$U388+1)</f>
        <v/>
      </c>
      <c r="Z388" s="24">
        <f>IF($U388="",DATE(1900,1,1),$O388)</f>
        <v/>
      </c>
      <c r="AA388" s="20">
        <f>IF($U388="",0,$K388*$T388)</f>
        <v/>
      </c>
    </row>
    <row r="389">
      <c r="A389" s="15" t="inlineStr">
        <is>
          <t>Patch</t>
        </is>
      </c>
      <c r="B389" s="29">
        <f>IF($A389="","",IFERROR(INDEX(Roster!$B$2:$B$40,MATCH($A389,Roster!$A$2:$A$40,0)),"?"))</f>
        <v/>
      </c>
      <c r="C389" s="15" t="inlineStr">
        <is>
          <t>i3 Broadband _1</t>
        </is>
      </c>
      <c r="D389" s="29">
        <f>IF($C389="","",IFERROR(IF(INDEX(Deals!$C$2:$C$355,MATCH($C389,Deals!$A$2:$A$355,0))=0,"",INDEX(Deals!$C$2:$C$355,MATCH($C389,Deals!$A$2:$A$355,0))),"?"))</f>
        <v/>
      </c>
      <c r="E389" s="29">
        <f>IF($C389="","",IFERROR(INDEX(Deals!$F$2:$F$355,MATCH($C389,Deals!$A$2:$A$355,0)),"?"))</f>
        <v/>
      </c>
      <c r="F389" s="15" t="inlineStr">
        <is>
          <t>VP</t>
        </is>
      </c>
      <c r="G389" s="15" t="inlineStr">
        <is>
          <t>Inactive</t>
        </is>
      </c>
      <c r="H389" s="27" t="n"/>
      <c r="I389" s="20">
        <f>IF(OR($A389="",$G389&lt;&gt;"Active"),0,IF($H389&lt;&gt;"",$H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</f>
        <v/>
      </c>
      <c r="J389" s="23">
        <f>IF($C389="",0,IFERROR(INDEX(Deals!$H$2:$H$355,MATCH($C389,Deals!$A$2:$A$355,0)),0))</f>
        <v/>
      </c>
      <c r="K389" s="20">
        <f>IF(Settings!$B$4="Yes",$I389*$J389,$I389)</f>
        <v/>
      </c>
      <c r="L389" s="31">
        <f>IF($C389="","",IFERROR(IF(INDEX(Deals!$I$2:$I$355,MATCH($C389,Deals!$A$2:$A$355,0))=0,"",INDEX(Deals!$I$2:$I$355,MATCH($C389,Deals!$A$2:$A$355,0))),""))</f>
        <v/>
      </c>
      <c r="M389" s="31">
        <f>IF($C389="","",IFERROR(IF(INDEX(Deals!$J$2:$J$355,MATCH($C389,Deals!$A$2:$A$355,0))=0,"",INDEX(Deals!$J$2:$J$355,MATCH($C389,Deals!$A$2:$A$355,0))),""))</f>
        <v/>
      </c>
      <c r="N389" s="24">
        <f>IF($L389="",DATE(1900,1,1),$L389)</f>
        <v/>
      </c>
      <c r="O389" s="24">
        <f>IF($M389="",DATE(2100,12,31),$M389)</f>
        <v/>
      </c>
      <c r="P389" s="16" t="inlineStr">
        <is>
          <t>Not involved in ongoing work</t>
        </is>
      </c>
      <c r="Q389" s="16" t="inlineStr"/>
      <c r="R389" s="29">
        <f>IF($C389="","",IFERROR(IF(INDEX(Deals!$U$2:$U$355,MATCH($C389,Deals!$A$2:$A$355,0))=0,"",INDEX(Deals!$U$2:$U$355,MATCH($C389,Deals!$A$2:$A$355,0))),""))</f>
        <v/>
      </c>
      <c r="S389" s="22">
        <f>IFERROR(IF($U389="",1,INDEX(Deals!$V$2:$V$355,MATCH($C389,Deals!$A$2:$A$355,0))),1)</f>
        <v/>
      </c>
      <c r="T389" s="22">
        <f>IFERROR(IF($U389="",1,INDEX(Deals!$W$2:$W$355,MATCH($C389,Deals!$A$2:$A$355,0))),1)</f>
        <v/>
      </c>
      <c r="U389" s="31">
        <f>IF($C389="","",IFERROR(IF(INDEX(Deals!$Y$2:$Y$355,MATCH($C389,Deals!$A$2:$A$355,0))=0,"",INDEX(Deals!$Y$2:$Y$355,MATCH($C389,Deals!$A$2:$A$355,0))),""))</f>
        <v/>
      </c>
      <c r="V389" s="24">
        <f>IF($U389="",DATE(1900,1,1),$N389)</f>
        <v/>
      </c>
      <c r="W389" s="24">
        <f>IF($U389="",DATE(2100,12,31),$U389)</f>
        <v/>
      </c>
      <c r="X389" s="20">
        <f>IF($U389="",$K389,$K389*$S389)</f>
        <v/>
      </c>
      <c r="Y389" s="24">
        <f>IF($U389="",DATE(2100,12,31),$U389+1)</f>
        <v/>
      </c>
      <c r="Z389" s="24">
        <f>IF($U389="",DATE(1900,1,1),$O389)</f>
        <v/>
      </c>
      <c r="AA389" s="20">
        <f>IF($U389="",0,$K389*$T389)</f>
        <v/>
      </c>
    </row>
    <row r="390">
      <c r="A390" s="15" t="inlineStr">
        <is>
          <t>Patch</t>
        </is>
      </c>
      <c r="B390" s="29">
        <f>IF($A390="","",IFERROR(INDEX(Roster!$B$2:$B$40,MATCH($A390,Roster!$A$2:$A$40,0)),"?"))</f>
        <v/>
      </c>
      <c r="C390" s="15" t="inlineStr">
        <is>
          <t>IMEC_1</t>
        </is>
      </c>
      <c r="D390" s="29">
        <f>IF($C390="","",IFERROR(IF(INDEX(Deals!$C$2:$C$355,MATCH($C390,Deals!$A$2:$A$355,0))=0,"",INDEX(Deals!$C$2:$C$355,MATCH($C390,Deals!$A$2:$A$355,0))),"?"))</f>
        <v/>
      </c>
      <c r="E390" s="29">
        <f>IF($C390="","",IFERROR(INDEX(Deals!$F$2:$F$355,MATCH($C390,Deals!$A$2:$A$355,0)),"?"))</f>
        <v/>
      </c>
      <c r="F390" s="15" t="inlineStr">
        <is>
          <t>VP</t>
        </is>
      </c>
      <c r="G390" s="15" t="inlineStr">
        <is>
          <t>Inactive</t>
        </is>
      </c>
      <c r="H390" s="27" t="n"/>
      <c r="I390" s="20">
        <f>IF(OR($A390="",$G390&lt;&gt;"Active"),0,IF($H390&lt;&gt;"",$H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</f>
        <v/>
      </c>
      <c r="J390" s="23">
        <f>IF($C390="",0,IFERROR(INDEX(Deals!$H$2:$H$355,MATCH($C390,Deals!$A$2:$A$355,0)),0))</f>
        <v/>
      </c>
      <c r="K390" s="20">
        <f>IF(Settings!$B$4="Yes",$I390*$J390,$I390)</f>
        <v/>
      </c>
      <c r="L390" s="31">
        <f>IF($C390="","",IFERROR(IF(INDEX(Deals!$I$2:$I$355,MATCH($C390,Deals!$A$2:$A$355,0))=0,"",INDEX(Deals!$I$2:$I$355,MATCH($C390,Deals!$A$2:$A$355,0))),""))</f>
        <v/>
      </c>
      <c r="M390" s="31">
        <f>IF($C390="","",IFERROR(IF(INDEX(Deals!$J$2:$J$355,MATCH($C390,Deals!$A$2:$A$355,0))=0,"",INDEX(Deals!$J$2:$J$355,MATCH($C390,Deals!$A$2:$A$355,0))),""))</f>
        <v/>
      </c>
      <c r="N390" s="24">
        <f>IF($L390="",DATE(1900,1,1),$L390)</f>
        <v/>
      </c>
      <c r="O390" s="24">
        <f>IF($M390="",DATE(2100,12,31),$M390)</f>
        <v/>
      </c>
      <c r="P390" s="16" t="inlineStr">
        <is>
          <t>Invoiced</t>
        </is>
      </c>
      <c r="Q390" s="16" t="inlineStr"/>
      <c r="R390" s="29">
        <f>IF($C390="","",IFERROR(IF(INDEX(Deals!$U$2:$U$355,MATCH($C390,Deals!$A$2:$A$355,0))=0,"",INDEX(Deals!$U$2:$U$355,MATCH($C390,Deals!$A$2:$A$355,0))),""))</f>
        <v/>
      </c>
      <c r="S390" s="22">
        <f>IFERROR(IF($U390="",1,INDEX(Deals!$V$2:$V$355,MATCH($C390,Deals!$A$2:$A$355,0))),1)</f>
        <v/>
      </c>
      <c r="T390" s="22">
        <f>IFERROR(IF($U390="",1,INDEX(Deals!$W$2:$W$355,MATCH($C390,Deals!$A$2:$A$355,0))),1)</f>
        <v/>
      </c>
      <c r="U390" s="31">
        <f>IF($C390="","",IFERROR(IF(INDEX(Deals!$Y$2:$Y$355,MATCH($C390,Deals!$A$2:$A$355,0))=0,"",INDEX(Deals!$Y$2:$Y$355,MATCH($C390,Deals!$A$2:$A$355,0))),""))</f>
        <v/>
      </c>
      <c r="V390" s="24">
        <f>IF($U390="",DATE(1900,1,1),$N390)</f>
        <v/>
      </c>
      <c r="W390" s="24">
        <f>IF($U390="",DATE(2100,12,31),$U390)</f>
        <v/>
      </c>
      <c r="X390" s="20">
        <f>IF($U390="",$K390,$K390*$S390)</f>
        <v/>
      </c>
      <c r="Y390" s="24">
        <f>IF($U390="",DATE(2100,12,31),$U390+1)</f>
        <v/>
      </c>
      <c r="Z390" s="24">
        <f>IF($U390="",DATE(1900,1,1),$O390)</f>
        <v/>
      </c>
      <c r="AA390" s="20">
        <f>IF($U390="",0,$K390*$T390)</f>
        <v/>
      </c>
    </row>
    <row r="391">
      <c r="A391" s="15" t="inlineStr">
        <is>
          <t>Patch</t>
        </is>
      </c>
      <c r="B391" s="29">
        <f>IF($A391="","",IFERROR(INDEX(Roster!$B$2:$B$40,MATCH($A391,Roster!$A$2:$A$40,0)),"?"))</f>
        <v/>
      </c>
      <c r="C391" s="15" t="inlineStr">
        <is>
          <t>Justin_2</t>
        </is>
      </c>
      <c r="D391" s="29">
        <f>IF($C391="","",IFERROR(IF(INDEX(Deals!$C$2:$C$355,MATCH($C391,Deals!$A$2:$A$355,0))=0,"",INDEX(Deals!$C$2:$C$355,MATCH($C391,Deals!$A$2:$A$355,0))),"?"))</f>
        <v/>
      </c>
      <c r="E391" s="29">
        <f>IF($C391="","",IFERROR(INDEX(Deals!$F$2:$F$355,MATCH($C391,Deals!$A$2:$A$355,0)),"?"))</f>
        <v/>
      </c>
      <c r="F391" s="15" t="inlineStr">
        <is>
          <t>VP</t>
        </is>
      </c>
      <c r="G391" s="15" t="inlineStr">
        <is>
          <t>Inactive</t>
        </is>
      </c>
      <c r="H391" s="27" t="n"/>
      <c r="I391" s="20">
        <f>IF(OR($A391="",$G391&lt;&gt;"Active"),0,IF($H391&lt;&gt;"",$H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</f>
        <v/>
      </c>
      <c r="J391" s="23">
        <f>IF($C391="",0,IFERROR(INDEX(Deals!$H$2:$H$355,MATCH($C391,Deals!$A$2:$A$355,0)),0))</f>
        <v/>
      </c>
      <c r="K391" s="20">
        <f>IF(Settings!$B$4="Yes",$I391*$J391,$I391)</f>
        <v/>
      </c>
      <c r="L391" s="31">
        <f>IF($C391="","",IFERROR(IF(INDEX(Deals!$I$2:$I$355,MATCH($C391,Deals!$A$2:$A$355,0))=0,"",INDEX(Deals!$I$2:$I$355,MATCH($C391,Deals!$A$2:$A$355,0))),""))</f>
        <v/>
      </c>
      <c r="M391" s="31">
        <f>IF($C391="","",IFERROR(IF(INDEX(Deals!$J$2:$J$355,MATCH($C391,Deals!$A$2:$A$355,0))=0,"",INDEX(Deals!$J$2:$J$355,MATCH($C391,Deals!$A$2:$A$355,0))),""))</f>
        <v/>
      </c>
      <c r="N391" s="24">
        <f>IF($L391="",DATE(1900,1,1),$L391)</f>
        <v/>
      </c>
      <c r="O391" s="24">
        <f>IF($M391="",DATE(2100,12,31),$M391)</f>
        <v/>
      </c>
      <c r="P391" s="16" t="inlineStr">
        <is>
          <t>This was probably when I was helping check tax insurance datarooms.</t>
        </is>
      </c>
      <c r="Q391" s="16" t="inlineStr"/>
      <c r="R391" s="29">
        <f>IF($C391="","",IFERROR(IF(INDEX(Deals!$U$2:$U$355,MATCH($C391,Deals!$A$2:$A$355,0))=0,"",INDEX(Deals!$U$2:$U$355,MATCH($C391,Deals!$A$2:$A$355,0))),""))</f>
        <v/>
      </c>
      <c r="S391" s="22">
        <f>IFERROR(IF($U391="",1,INDEX(Deals!$V$2:$V$355,MATCH($C391,Deals!$A$2:$A$355,0))),1)</f>
        <v/>
      </c>
      <c r="T391" s="22">
        <f>IFERROR(IF($U391="",1,INDEX(Deals!$W$2:$W$355,MATCH($C391,Deals!$A$2:$A$355,0))),1)</f>
        <v/>
      </c>
      <c r="U391" s="31">
        <f>IF($C391="","",IFERROR(IF(INDEX(Deals!$Y$2:$Y$355,MATCH($C391,Deals!$A$2:$A$355,0))=0,"",INDEX(Deals!$Y$2:$Y$355,MATCH($C391,Deals!$A$2:$A$355,0))),""))</f>
        <v/>
      </c>
      <c r="V391" s="24">
        <f>IF($U391="",DATE(1900,1,1),$N391)</f>
        <v/>
      </c>
      <c r="W391" s="24">
        <f>IF($U391="",DATE(2100,12,31),$U391)</f>
        <v/>
      </c>
      <c r="X391" s="20">
        <f>IF($U391="",$K391,$K391*$S391)</f>
        <v/>
      </c>
      <c r="Y391" s="24">
        <f>IF($U391="",DATE(2100,12,31),$U391+1)</f>
        <v/>
      </c>
      <c r="Z391" s="24">
        <f>IF($U391="",DATE(1900,1,1),$O391)</f>
        <v/>
      </c>
      <c r="AA391" s="20">
        <f>IF($U391="",0,$K391*$T391)</f>
        <v/>
      </c>
    </row>
    <row r="392">
      <c r="A392" s="15" t="inlineStr">
        <is>
          <t>Patch</t>
        </is>
      </c>
      <c r="B392" s="29">
        <f>IF($A392="","",IFERROR(INDEX(Roster!$B$2:$B$40,MATCH($A392,Roster!$A$2:$A$40,0)),"?"))</f>
        <v/>
      </c>
      <c r="C392" s="15" t="inlineStr">
        <is>
          <t>MIF_1</t>
        </is>
      </c>
      <c r="D392" s="29">
        <f>IF($C392="","",IFERROR(IF(INDEX(Deals!$C$2:$C$355,MATCH($C392,Deals!$A$2:$A$355,0))=0,"",INDEX(Deals!$C$2:$C$355,MATCH($C392,Deals!$A$2:$A$355,0))),"?"))</f>
        <v/>
      </c>
      <c r="E392" s="29">
        <f>IF($C392="","",IFERROR(INDEX(Deals!$F$2:$F$355,MATCH($C392,Deals!$A$2:$A$355,0)),"?"))</f>
        <v/>
      </c>
      <c r="F392" s="15" t="inlineStr">
        <is>
          <t>VP</t>
        </is>
      </c>
      <c r="G392" s="15" t="inlineStr">
        <is>
          <t>Active</t>
        </is>
      </c>
      <c r="H392" s="27" t="n"/>
      <c r="I392" s="20">
        <f>IF(OR($A392="",$G392&lt;&gt;"Active"),0,IF($H392&lt;&gt;"",$H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</f>
        <v/>
      </c>
      <c r="J392" s="23">
        <f>IF($C392="",0,IFERROR(INDEX(Deals!$H$2:$H$355,MATCH($C392,Deals!$A$2:$A$355,0)),0))</f>
        <v/>
      </c>
      <c r="K392" s="20">
        <f>IF(Settings!$B$4="Yes",$I392*$J392,$I392)</f>
        <v/>
      </c>
      <c r="L392" s="31">
        <f>IF($C392="","",IFERROR(IF(INDEX(Deals!$I$2:$I$355,MATCH($C392,Deals!$A$2:$A$355,0))=0,"",INDEX(Deals!$I$2:$I$355,MATCH($C392,Deals!$A$2:$A$355,0))),""))</f>
        <v/>
      </c>
      <c r="M392" s="31">
        <f>IF($C392="","",IFERROR(IF(INDEX(Deals!$J$2:$J$355,MATCH($C392,Deals!$A$2:$A$355,0))=0,"",INDEX(Deals!$J$2:$J$355,MATCH($C392,Deals!$A$2:$A$355,0))),""))</f>
        <v/>
      </c>
      <c r="N392" s="24">
        <f>IF($L392="",DATE(1900,1,1),$L392)</f>
        <v/>
      </c>
      <c r="O392" s="24">
        <f>IF($M392="",DATE(2100,12,31),$M392)</f>
        <v/>
      </c>
      <c r="P392" s="16" t="inlineStr">
        <is>
          <t>Don't know what this is</t>
        </is>
      </c>
      <c r="Q392" s="16" t="inlineStr">
        <is>
          <t>Active - confirmed by review 2026-07-19 (user: yes)</t>
        </is>
      </c>
      <c r="R392" s="29">
        <f>IF($C392="","",IFERROR(IF(INDEX(Deals!$U$2:$U$355,MATCH($C392,Deals!$A$2:$A$355,0))=0,"",INDEX(Deals!$U$2:$U$355,MATCH($C392,Deals!$A$2:$A$355,0))),""))</f>
        <v/>
      </c>
      <c r="S392" s="22">
        <f>IFERROR(IF($U392="",1,INDEX(Deals!$V$2:$V$355,MATCH($C392,Deals!$A$2:$A$355,0))),1)</f>
        <v/>
      </c>
      <c r="T392" s="22">
        <f>IFERROR(IF($U392="",1,INDEX(Deals!$W$2:$W$355,MATCH($C392,Deals!$A$2:$A$355,0))),1)</f>
        <v/>
      </c>
      <c r="U392" s="31">
        <f>IF($C392="","",IFERROR(IF(INDEX(Deals!$Y$2:$Y$355,MATCH($C392,Deals!$A$2:$A$355,0))=0,"",INDEX(Deals!$Y$2:$Y$355,MATCH($C392,Deals!$A$2:$A$355,0))),""))</f>
        <v/>
      </c>
      <c r="V392" s="24">
        <f>IF($U392="",DATE(1900,1,1),$N392)</f>
        <v/>
      </c>
      <c r="W392" s="24">
        <f>IF($U392="",DATE(2100,12,31),$U392)</f>
        <v/>
      </c>
      <c r="X392" s="20">
        <f>IF($U392="",$K392,$K392*$S392)</f>
        <v/>
      </c>
      <c r="Y392" s="24">
        <f>IF($U392="",DATE(2100,12,31),$U392+1)</f>
        <v/>
      </c>
      <c r="Z392" s="24">
        <f>IF($U392="",DATE(1900,1,1),$O392)</f>
        <v/>
      </c>
      <c r="AA392" s="20">
        <f>IF($U392="",0,$K392*$T392)</f>
        <v/>
      </c>
    </row>
    <row r="393">
      <c r="A393" s="15" t="inlineStr">
        <is>
          <t>Patch</t>
        </is>
      </c>
      <c r="B393" s="29">
        <f>IF($A393="","",IFERROR(INDEX(Roster!$B$2:$B$40,MATCH($A393,Roster!$A$2:$A$40,0)),"?"))</f>
        <v/>
      </c>
      <c r="C393" s="15" t="inlineStr">
        <is>
          <t>Nexus_6</t>
        </is>
      </c>
      <c r="D393" s="29">
        <f>IF($C393="","",IFERROR(IF(INDEX(Deals!$C$2:$C$355,MATCH($C393,Deals!$A$2:$A$355,0))=0,"",INDEX(Deals!$C$2:$C$355,MATCH($C393,Deals!$A$2:$A$355,0))),"?"))</f>
        <v/>
      </c>
      <c r="E393" s="29">
        <f>IF($C393="","",IFERROR(INDEX(Deals!$F$2:$F$355,MATCH($C393,Deals!$A$2:$A$355,0)),"?"))</f>
        <v/>
      </c>
      <c r="F393" s="15" t="inlineStr">
        <is>
          <t>VP</t>
        </is>
      </c>
      <c r="G393" s="15" t="inlineStr">
        <is>
          <t>Inactive</t>
        </is>
      </c>
      <c r="H393" s="27" t="n"/>
      <c r="I393" s="20">
        <f>IF(OR($A393="",$G393&lt;&gt;"Active"),0,IF($H393&lt;&gt;"",$H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</f>
        <v/>
      </c>
      <c r="J393" s="23">
        <f>IF($C393="",0,IFERROR(INDEX(Deals!$H$2:$H$355,MATCH($C393,Deals!$A$2:$A$355,0)),0))</f>
        <v/>
      </c>
      <c r="K393" s="20">
        <f>IF(Settings!$B$4="Yes",$I393*$J393,$I393)</f>
        <v/>
      </c>
      <c r="L393" s="31">
        <f>IF($C393="","",IFERROR(IF(INDEX(Deals!$I$2:$I$355,MATCH($C393,Deals!$A$2:$A$355,0))=0,"",INDEX(Deals!$I$2:$I$355,MATCH($C393,Deals!$A$2:$A$355,0))),""))</f>
        <v/>
      </c>
      <c r="M393" s="31">
        <f>IF($C393="","",IFERROR(IF(INDEX(Deals!$J$2:$J$355,MATCH($C393,Deals!$A$2:$A$355,0))=0,"",INDEX(Deals!$J$2:$J$355,MATCH($C393,Deals!$A$2:$A$355,0))),""))</f>
        <v/>
      </c>
      <c r="N393" s="24">
        <f>IF($L393="",DATE(1900,1,1),$L393)</f>
        <v/>
      </c>
      <c r="O393" s="24">
        <f>IF($M393="",DATE(2100,12,31),$M393)</f>
        <v/>
      </c>
      <c r="P393" s="16" t="inlineStr">
        <is>
          <t>Invoicing Soon</t>
        </is>
      </c>
      <c r="Q393" s="16" t="inlineStr"/>
      <c r="R393" s="29">
        <f>IF($C393="","",IFERROR(IF(INDEX(Deals!$U$2:$U$355,MATCH($C393,Deals!$A$2:$A$355,0))=0,"",INDEX(Deals!$U$2:$U$355,MATCH($C393,Deals!$A$2:$A$355,0))),""))</f>
        <v/>
      </c>
      <c r="S393" s="22">
        <f>IFERROR(IF($U393="",1,INDEX(Deals!$V$2:$V$355,MATCH($C393,Deals!$A$2:$A$355,0))),1)</f>
        <v/>
      </c>
      <c r="T393" s="22">
        <f>IFERROR(IF($U393="",1,INDEX(Deals!$W$2:$W$355,MATCH($C393,Deals!$A$2:$A$355,0))),1)</f>
        <v/>
      </c>
      <c r="U393" s="31">
        <f>IF($C393="","",IFERROR(IF(INDEX(Deals!$Y$2:$Y$355,MATCH($C393,Deals!$A$2:$A$355,0))=0,"",INDEX(Deals!$Y$2:$Y$355,MATCH($C393,Deals!$A$2:$A$355,0))),""))</f>
        <v/>
      </c>
      <c r="V393" s="24">
        <f>IF($U393="",DATE(1900,1,1),$N393)</f>
        <v/>
      </c>
      <c r="W393" s="24">
        <f>IF($U393="",DATE(2100,12,31),$U393)</f>
        <v/>
      </c>
      <c r="X393" s="20">
        <f>IF($U393="",$K393,$K393*$S393)</f>
        <v/>
      </c>
      <c r="Y393" s="24">
        <f>IF($U393="",DATE(2100,12,31),$U393+1)</f>
        <v/>
      </c>
      <c r="Z393" s="24">
        <f>IF($U393="",DATE(1900,1,1),$O393)</f>
        <v/>
      </c>
      <c r="AA393" s="20">
        <f>IF($U393="",0,$K393*$T393)</f>
        <v/>
      </c>
    </row>
    <row r="394">
      <c r="A394" s="15" t="inlineStr">
        <is>
          <t>Patch</t>
        </is>
      </c>
      <c r="B394" s="29">
        <f>IF($A394="","",IFERROR(INDEX(Roster!$B$2:$B$40,MATCH($A394,Roster!$A$2:$A$40,0)),"?"))</f>
        <v/>
      </c>
      <c r="C394" s="15" t="inlineStr">
        <is>
          <t>Pennsylvania_1</t>
        </is>
      </c>
      <c r="D394" s="29">
        <f>IF($C394="","",IFERROR(IF(INDEX(Deals!$C$2:$C$355,MATCH($C394,Deals!$A$2:$A$355,0))=0,"",INDEX(Deals!$C$2:$C$355,MATCH($C394,Deals!$A$2:$A$355,0))),"?"))</f>
        <v/>
      </c>
      <c r="E394" s="29">
        <f>IF($C394="","",IFERROR(INDEX(Deals!$F$2:$F$355,MATCH($C394,Deals!$A$2:$A$355,0)),"?"))</f>
        <v/>
      </c>
      <c r="F394" s="15" t="inlineStr">
        <is>
          <t>VP</t>
        </is>
      </c>
      <c r="G394" s="15" t="inlineStr">
        <is>
          <t>Inactive</t>
        </is>
      </c>
      <c r="H394" s="27" t="n"/>
      <c r="I394" s="20">
        <f>IF(OR($A394="",$G394&lt;&gt;"Active"),0,IF($H394&lt;&gt;"",$H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</f>
        <v/>
      </c>
      <c r="J394" s="23">
        <f>IF($C394="",0,IFERROR(INDEX(Deals!$H$2:$H$355,MATCH($C394,Deals!$A$2:$A$355,0)),0))</f>
        <v/>
      </c>
      <c r="K394" s="20">
        <f>IF(Settings!$B$4="Yes",$I394*$J394,$I394)</f>
        <v/>
      </c>
      <c r="L394" s="31">
        <f>IF($C394="","",IFERROR(IF(INDEX(Deals!$I$2:$I$355,MATCH($C394,Deals!$A$2:$A$355,0))=0,"",INDEX(Deals!$I$2:$I$355,MATCH($C394,Deals!$A$2:$A$355,0))),""))</f>
        <v/>
      </c>
      <c r="M394" s="31">
        <f>IF($C394="","",IFERROR(IF(INDEX(Deals!$J$2:$J$355,MATCH($C394,Deals!$A$2:$A$355,0))=0,"",INDEX(Deals!$J$2:$J$355,MATCH($C394,Deals!$A$2:$A$355,0))),""))</f>
        <v/>
      </c>
      <c r="N394" s="24">
        <f>IF($L394="",DATE(1900,1,1),$L394)</f>
        <v/>
      </c>
      <c r="O394" s="24">
        <f>IF($M394="",DATE(2100,12,31),$M394)</f>
        <v/>
      </c>
      <c r="P394" s="16" t="inlineStr">
        <is>
          <t>On pause</t>
        </is>
      </c>
      <c r="Q394" s="16" t="inlineStr"/>
      <c r="R394" s="29">
        <f>IF($C394="","",IFERROR(IF(INDEX(Deals!$U$2:$U$355,MATCH($C394,Deals!$A$2:$A$355,0))=0,"",INDEX(Deals!$U$2:$U$355,MATCH($C394,Deals!$A$2:$A$355,0))),""))</f>
        <v/>
      </c>
      <c r="S394" s="22">
        <f>IFERROR(IF($U394="",1,INDEX(Deals!$V$2:$V$355,MATCH($C394,Deals!$A$2:$A$355,0))),1)</f>
        <v/>
      </c>
      <c r="T394" s="22">
        <f>IFERROR(IF($U394="",1,INDEX(Deals!$W$2:$W$355,MATCH($C394,Deals!$A$2:$A$355,0))),1)</f>
        <v/>
      </c>
      <c r="U394" s="31">
        <f>IF($C394="","",IFERROR(IF(INDEX(Deals!$Y$2:$Y$355,MATCH($C394,Deals!$A$2:$A$355,0))=0,"",INDEX(Deals!$Y$2:$Y$355,MATCH($C394,Deals!$A$2:$A$355,0))),""))</f>
        <v/>
      </c>
      <c r="V394" s="24">
        <f>IF($U394="",DATE(1900,1,1),$N394)</f>
        <v/>
      </c>
      <c r="W394" s="24">
        <f>IF($U394="",DATE(2100,12,31),$U394)</f>
        <v/>
      </c>
      <c r="X394" s="20">
        <f>IF($U394="",$K394,$K394*$S394)</f>
        <v/>
      </c>
      <c r="Y394" s="24">
        <f>IF($U394="",DATE(2100,12,31),$U394+1)</f>
        <v/>
      </c>
      <c r="Z394" s="24">
        <f>IF($U394="",DATE(1900,1,1),$O394)</f>
        <v/>
      </c>
      <c r="AA394" s="20">
        <f>IF($U394="",0,$K394*$T394)</f>
        <v/>
      </c>
    </row>
    <row r="395">
      <c r="A395" s="15" t="inlineStr">
        <is>
          <t>Patch</t>
        </is>
      </c>
      <c r="B395" s="29">
        <f>IF($A395="","",IFERROR(INDEX(Roster!$B$2:$B$40,MATCH($A395,Roster!$A$2:$A$40,0)),"?"))</f>
        <v/>
      </c>
      <c r="C395" s="15" t="inlineStr">
        <is>
          <t>Prolydian_1</t>
        </is>
      </c>
      <c r="D395" s="29">
        <f>IF($C395="","",IFERROR(IF(INDEX(Deals!$C$2:$C$355,MATCH($C395,Deals!$A$2:$A$355,0))=0,"",INDEX(Deals!$C$2:$C$355,MATCH($C395,Deals!$A$2:$A$355,0))),"?"))</f>
        <v/>
      </c>
      <c r="E395" s="29">
        <f>IF($C395="","",IFERROR(INDEX(Deals!$F$2:$F$355,MATCH($C395,Deals!$A$2:$A$355,0)),"?"))</f>
        <v/>
      </c>
      <c r="F395" s="15" t="inlineStr">
        <is>
          <t>VP</t>
        </is>
      </c>
      <c r="G395" s="15" t="inlineStr">
        <is>
          <t>Inactive</t>
        </is>
      </c>
      <c r="H395" s="27" t="n"/>
      <c r="I395" s="20">
        <f>IF(OR($A395="",$G395&lt;&gt;"Active"),0,IF($H395&lt;&gt;"",$H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</f>
        <v/>
      </c>
      <c r="J395" s="23">
        <f>IF($C395="",0,IFERROR(INDEX(Deals!$H$2:$H$355,MATCH($C395,Deals!$A$2:$A$355,0)),0))</f>
        <v/>
      </c>
      <c r="K395" s="20">
        <f>IF(Settings!$B$4="Yes",$I395*$J395,$I395)</f>
        <v/>
      </c>
      <c r="L395" s="31">
        <f>IF($C395="","",IFERROR(IF(INDEX(Deals!$I$2:$I$355,MATCH($C395,Deals!$A$2:$A$355,0))=0,"",INDEX(Deals!$I$2:$I$355,MATCH($C395,Deals!$A$2:$A$355,0))),""))</f>
        <v/>
      </c>
      <c r="M395" s="31">
        <f>IF($C395="","",IFERROR(IF(INDEX(Deals!$J$2:$J$355,MATCH($C395,Deals!$A$2:$A$355,0))=0,"",INDEX(Deals!$J$2:$J$355,MATCH($C395,Deals!$A$2:$A$355,0))),""))</f>
        <v/>
      </c>
      <c r="N395" s="24">
        <f>IF($L395="",DATE(1900,1,1),$L395)</f>
        <v/>
      </c>
      <c r="O395" s="24">
        <f>IF($M395="",DATE(2100,12,31),$M395)</f>
        <v/>
      </c>
      <c r="P395" s="16" t="inlineStr">
        <is>
          <t>Invoicing Soon</t>
        </is>
      </c>
      <c r="Q395" s="16" t="inlineStr"/>
      <c r="R395" s="29">
        <f>IF($C395="","",IFERROR(IF(INDEX(Deals!$U$2:$U$355,MATCH($C395,Deals!$A$2:$A$355,0))=0,"",INDEX(Deals!$U$2:$U$355,MATCH($C395,Deals!$A$2:$A$355,0))),""))</f>
        <v/>
      </c>
      <c r="S395" s="22">
        <f>IFERROR(IF($U395="",1,INDEX(Deals!$V$2:$V$355,MATCH($C395,Deals!$A$2:$A$355,0))),1)</f>
        <v/>
      </c>
      <c r="T395" s="22">
        <f>IFERROR(IF($U395="",1,INDEX(Deals!$W$2:$W$355,MATCH($C395,Deals!$A$2:$A$355,0))),1)</f>
        <v/>
      </c>
      <c r="U395" s="31">
        <f>IF($C395="","",IFERROR(IF(INDEX(Deals!$Y$2:$Y$355,MATCH($C395,Deals!$A$2:$A$355,0))=0,"",INDEX(Deals!$Y$2:$Y$355,MATCH($C395,Deals!$A$2:$A$355,0))),""))</f>
        <v/>
      </c>
      <c r="V395" s="24">
        <f>IF($U395="",DATE(1900,1,1),$N395)</f>
        <v/>
      </c>
      <c r="W395" s="24">
        <f>IF($U395="",DATE(2100,12,31),$U395)</f>
        <v/>
      </c>
      <c r="X395" s="20">
        <f>IF($U395="",$K395,$K395*$S395)</f>
        <v/>
      </c>
      <c r="Y395" s="24">
        <f>IF($U395="",DATE(2100,12,31),$U395+1)</f>
        <v/>
      </c>
      <c r="Z395" s="24">
        <f>IF($U395="",DATE(1900,1,1),$O395)</f>
        <v/>
      </c>
      <c r="AA395" s="20">
        <f>IF($U395="",0,$K395*$T395)</f>
        <v/>
      </c>
    </row>
    <row r="396">
      <c r="A396" s="15" t="inlineStr">
        <is>
          <t>Patch</t>
        </is>
      </c>
      <c r="B396" s="29">
        <f>IF($A396="","",IFERROR(INDEX(Roster!$B$2:$B$40,MATCH($A396,Roster!$A$2:$A$40,0)),"?"))</f>
        <v/>
      </c>
      <c r="C396" s="15" t="inlineStr">
        <is>
          <t>Rosa_1</t>
        </is>
      </c>
      <c r="D396" s="29">
        <f>IF($C396="","",IFERROR(IF(INDEX(Deals!$C$2:$C$355,MATCH($C396,Deals!$A$2:$A$355,0))=0,"",INDEX(Deals!$C$2:$C$355,MATCH($C396,Deals!$A$2:$A$355,0))),"?"))</f>
        <v/>
      </c>
      <c r="E396" s="29">
        <f>IF($C396="","",IFERROR(INDEX(Deals!$F$2:$F$355,MATCH($C396,Deals!$A$2:$A$355,0)),"?"))</f>
        <v/>
      </c>
      <c r="F396" s="15" t="inlineStr">
        <is>
          <t>VP</t>
        </is>
      </c>
      <c r="G396" s="15" t="inlineStr">
        <is>
          <t>Inactive</t>
        </is>
      </c>
      <c r="H396" s="27" t="n"/>
      <c r="I396" s="20">
        <f>IF(OR($A396="",$G396&lt;&gt;"Active"),0,IF($H396&lt;&gt;"",$H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</f>
        <v/>
      </c>
      <c r="J396" s="23">
        <f>IF($C396="",0,IFERROR(INDEX(Deals!$H$2:$H$355,MATCH($C396,Deals!$A$2:$A$355,0)),0))</f>
        <v/>
      </c>
      <c r="K396" s="20">
        <f>IF(Settings!$B$4="Yes",$I396*$J396,$I396)</f>
        <v/>
      </c>
      <c r="L396" s="31">
        <f>IF($C396="","",IFERROR(IF(INDEX(Deals!$I$2:$I$355,MATCH($C396,Deals!$A$2:$A$355,0))=0,"",INDEX(Deals!$I$2:$I$355,MATCH($C396,Deals!$A$2:$A$355,0))),""))</f>
        <v/>
      </c>
      <c r="M396" s="31">
        <f>IF($C396="","",IFERROR(IF(INDEX(Deals!$J$2:$J$355,MATCH($C396,Deals!$A$2:$A$355,0))=0,"",INDEX(Deals!$J$2:$J$355,MATCH($C396,Deals!$A$2:$A$355,0))),""))</f>
        <v/>
      </c>
      <c r="N396" s="24">
        <f>IF($L396="",DATE(1900,1,1),$L396)</f>
        <v/>
      </c>
      <c r="O396" s="24">
        <f>IF($M396="",DATE(2100,12,31),$M396)</f>
        <v/>
      </c>
      <c r="P396" s="16" t="inlineStr">
        <is>
          <t>Invoicing soon</t>
        </is>
      </c>
      <c r="Q396" s="16" t="inlineStr"/>
      <c r="R396" s="29">
        <f>IF($C396="","",IFERROR(IF(INDEX(Deals!$U$2:$U$355,MATCH($C396,Deals!$A$2:$A$355,0))=0,"",INDEX(Deals!$U$2:$U$355,MATCH($C396,Deals!$A$2:$A$355,0))),""))</f>
        <v/>
      </c>
      <c r="S396" s="22">
        <f>IFERROR(IF($U396="",1,INDEX(Deals!$V$2:$V$355,MATCH($C396,Deals!$A$2:$A$355,0))),1)</f>
        <v/>
      </c>
      <c r="T396" s="22">
        <f>IFERROR(IF($U396="",1,INDEX(Deals!$W$2:$W$355,MATCH($C396,Deals!$A$2:$A$355,0))),1)</f>
        <v/>
      </c>
      <c r="U396" s="31">
        <f>IF($C396="","",IFERROR(IF(INDEX(Deals!$Y$2:$Y$355,MATCH($C396,Deals!$A$2:$A$355,0))=0,"",INDEX(Deals!$Y$2:$Y$355,MATCH($C396,Deals!$A$2:$A$355,0))),""))</f>
        <v/>
      </c>
      <c r="V396" s="24">
        <f>IF($U396="",DATE(1900,1,1),$N396)</f>
        <v/>
      </c>
      <c r="W396" s="24">
        <f>IF($U396="",DATE(2100,12,31),$U396)</f>
        <v/>
      </c>
      <c r="X396" s="20">
        <f>IF($U396="",$K396,$K396*$S396)</f>
        <v/>
      </c>
      <c r="Y396" s="24">
        <f>IF($U396="",DATE(2100,12,31),$U396+1)</f>
        <v/>
      </c>
      <c r="Z396" s="24">
        <f>IF($U396="",DATE(1900,1,1),$O396)</f>
        <v/>
      </c>
      <c r="AA396" s="20">
        <f>IF($U396="",0,$K396*$T396)</f>
        <v/>
      </c>
    </row>
    <row r="397">
      <c r="A397" s="15" t="inlineStr">
        <is>
          <t>Patch</t>
        </is>
      </c>
      <c r="B397" s="29">
        <f>IF($A397="","",IFERROR(INDEX(Roster!$B$2:$B$40,MATCH($A397,Roster!$A$2:$A$40,0)),"?"))</f>
        <v/>
      </c>
      <c r="C397" s="15" t="inlineStr">
        <is>
          <t>Scale_4</t>
        </is>
      </c>
      <c r="D397" s="29">
        <f>IF($C397="","",IFERROR(IF(INDEX(Deals!$C$2:$C$355,MATCH($C397,Deals!$A$2:$A$355,0))=0,"",INDEX(Deals!$C$2:$C$355,MATCH($C397,Deals!$A$2:$A$355,0))),"?"))</f>
        <v/>
      </c>
      <c r="E397" s="29">
        <f>IF($C397="","",IFERROR(INDEX(Deals!$F$2:$F$355,MATCH($C397,Deals!$A$2:$A$355,0)),"?"))</f>
        <v/>
      </c>
      <c r="F397" s="15" t="inlineStr">
        <is>
          <t>VP</t>
        </is>
      </c>
      <c r="G397" s="15" t="inlineStr">
        <is>
          <t>Inactive</t>
        </is>
      </c>
      <c r="H397" s="27" t="n"/>
      <c r="I397" s="20">
        <f>IF(OR($A397="",$G397&lt;&gt;"Active"),0,IF($H397&lt;&gt;"",$H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</f>
        <v/>
      </c>
      <c r="J397" s="23">
        <f>IF($C397="",0,IFERROR(INDEX(Deals!$H$2:$H$355,MATCH($C397,Deals!$A$2:$A$355,0)),0))</f>
        <v/>
      </c>
      <c r="K397" s="20">
        <f>IF(Settings!$B$4="Yes",$I397*$J397,$I397)</f>
        <v/>
      </c>
      <c r="L397" s="31">
        <f>IF($C397="","",IFERROR(IF(INDEX(Deals!$I$2:$I$355,MATCH($C397,Deals!$A$2:$A$355,0))=0,"",INDEX(Deals!$I$2:$I$355,MATCH($C397,Deals!$A$2:$A$355,0))),""))</f>
        <v/>
      </c>
      <c r="M397" s="31">
        <f>IF($C397="","",IFERROR(IF(INDEX(Deals!$J$2:$J$355,MATCH($C397,Deals!$A$2:$A$355,0))=0,"",INDEX(Deals!$J$2:$J$355,MATCH($C397,Deals!$A$2:$A$355,0))),""))</f>
        <v/>
      </c>
      <c r="N397" s="24">
        <f>IF($L397="",DATE(1900,1,1),$L397)</f>
        <v/>
      </c>
      <c r="O397" s="24">
        <f>IF($M397="",DATE(2100,12,31),$M397)</f>
        <v/>
      </c>
      <c r="P397" s="16" t="inlineStr">
        <is>
          <t>Closed</t>
        </is>
      </c>
      <c r="Q397" s="16" t="inlineStr"/>
      <c r="R397" s="29">
        <f>IF($C397="","",IFERROR(IF(INDEX(Deals!$U$2:$U$355,MATCH($C397,Deals!$A$2:$A$355,0))=0,"",INDEX(Deals!$U$2:$U$355,MATCH($C397,Deals!$A$2:$A$355,0))),""))</f>
        <v/>
      </c>
      <c r="S397" s="22">
        <f>IFERROR(IF($U397="",1,INDEX(Deals!$V$2:$V$355,MATCH($C397,Deals!$A$2:$A$355,0))),1)</f>
        <v/>
      </c>
      <c r="T397" s="22">
        <f>IFERROR(IF($U397="",1,INDEX(Deals!$W$2:$W$355,MATCH($C397,Deals!$A$2:$A$355,0))),1)</f>
        <v/>
      </c>
      <c r="U397" s="31">
        <f>IF($C397="","",IFERROR(IF(INDEX(Deals!$Y$2:$Y$355,MATCH($C397,Deals!$A$2:$A$355,0))=0,"",INDEX(Deals!$Y$2:$Y$355,MATCH($C397,Deals!$A$2:$A$355,0))),""))</f>
        <v/>
      </c>
      <c r="V397" s="24">
        <f>IF($U397="",DATE(1900,1,1),$N397)</f>
        <v/>
      </c>
      <c r="W397" s="24">
        <f>IF($U397="",DATE(2100,12,31),$U397)</f>
        <v/>
      </c>
      <c r="X397" s="20">
        <f>IF($U397="",$K397,$K397*$S397)</f>
        <v/>
      </c>
      <c r="Y397" s="24">
        <f>IF($U397="",DATE(2100,12,31),$U397+1)</f>
        <v/>
      </c>
      <c r="Z397" s="24">
        <f>IF($U397="",DATE(1900,1,1),$O397)</f>
        <v/>
      </c>
      <c r="AA397" s="20">
        <f>IF($U397="",0,$K397*$T397)</f>
        <v/>
      </c>
    </row>
    <row r="398">
      <c r="A398" s="15" t="inlineStr">
        <is>
          <t>Patch</t>
        </is>
      </c>
      <c r="B398" s="29">
        <f>IF($A398="","",IFERROR(INDEX(Roster!$B$2:$B$40,MATCH($A398,Roster!$A$2:$A$40,0)),"?"))</f>
        <v/>
      </c>
      <c r="C398" s="15" t="inlineStr">
        <is>
          <t>Scan_1</t>
        </is>
      </c>
      <c r="D398" s="29">
        <f>IF($C398="","",IFERROR(IF(INDEX(Deals!$C$2:$C$355,MATCH($C398,Deals!$A$2:$A$355,0))=0,"",INDEX(Deals!$C$2:$C$355,MATCH($C398,Deals!$A$2:$A$355,0))),"?"))</f>
        <v/>
      </c>
      <c r="E398" s="29">
        <f>IF($C398="","",IFERROR(INDEX(Deals!$F$2:$F$355,MATCH($C398,Deals!$A$2:$A$355,0)),"?"))</f>
        <v/>
      </c>
      <c r="F398" s="15" t="inlineStr">
        <is>
          <t>VP</t>
        </is>
      </c>
      <c r="G398" s="15" t="inlineStr">
        <is>
          <t>Inactive</t>
        </is>
      </c>
      <c r="H398" s="27" t="n"/>
      <c r="I398" s="20">
        <f>IF(OR($A398="",$G398&lt;&gt;"Active"),0,IF($H398&lt;&gt;"",$H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</f>
        <v/>
      </c>
      <c r="J398" s="23">
        <f>IF($C398="",0,IFERROR(INDEX(Deals!$H$2:$H$355,MATCH($C398,Deals!$A$2:$A$355,0)),0))</f>
        <v/>
      </c>
      <c r="K398" s="20">
        <f>IF(Settings!$B$4="Yes",$I398*$J398,$I398)</f>
        <v/>
      </c>
      <c r="L398" s="31">
        <f>IF($C398="","",IFERROR(IF(INDEX(Deals!$I$2:$I$355,MATCH($C398,Deals!$A$2:$A$355,0))=0,"",INDEX(Deals!$I$2:$I$355,MATCH($C398,Deals!$A$2:$A$355,0))),""))</f>
        <v/>
      </c>
      <c r="M398" s="31">
        <f>IF($C398="","",IFERROR(IF(INDEX(Deals!$J$2:$J$355,MATCH($C398,Deals!$A$2:$A$355,0))=0,"",INDEX(Deals!$J$2:$J$355,MATCH($C398,Deals!$A$2:$A$355,0))),""))</f>
        <v/>
      </c>
      <c r="N398" s="24">
        <f>IF($L398="",DATE(1900,1,1),$L398)</f>
        <v/>
      </c>
      <c r="O398" s="24">
        <f>IF($M398="",DATE(2100,12,31),$M398)</f>
        <v/>
      </c>
      <c r="P398" s="16" t="inlineStr">
        <is>
          <t>Closed</t>
        </is>
      </c>
      <c r="Q398" s="16" t="inlineStr"/>
      <c r="R398" s="29">
        <f>IF($C398="","",IFERROR(IF(INDEX(Deals!$U$2:$U$355,MATCH($C398,Deals!$A$2:$A$355,0))=0,"",INDEX(Deals!$U$2:$U$355,MATCH($C398,Deals!$A$2:$A$355,0))),""))</f>
        <v/>
      </c>
      <c r="S398" s="22">
        <f>IFERROR(IF($U398="",1,INDEX(Deals!$V$2:$V$355,MATCH($C398,Deals!$A$2:$A$355,0))),1)</f>
        <v/>
      </c>
      <c r="T398" s="22">
        <f>IFERROR(IF($U398="",1,INDEX(Deals!$W$2:$W$355,MATCH($C398,Deals!$A$2:$A$355,0))),1)</f>
        <v/>
      </c>
      <c r="U398" s="31">
        <f>IF($C398="","",IFERROR(IF(INDEX(Deals!$Y$2:$Y$355,MATCH($C398,Deals!$A$2:$A$355,0))=0,"",INDEX(Deals!$Y$2:$Y$355,MATCH($C398,Deals!$A$2:$A$355,0))),""))</f>
        <v/>
      </c>
      <c r="V398" s="24">
        <f>IF($U398="",DATE(1900,1,1),$N398)</f>
        <v/>
      </c>
      <c r="W398" s="24">
        <f>IF($U398="",DATE(2100,12,31),$U398)</f>
        <v/>
      </c>
      <c r="X398" s="20">
        <f>IF($U398="",$K398,$K398*$S398)</f>
        <v/>
      </c>
      <c r="Y398" s="24">
        <f>IF($U398="",DATE(2100,12,31),$U398+1)</f>
        <v/>
      </c>
      <c r="Z398" s="24">
        <f>IF($U398="",DATE(1900,1,1),$O398)</f>
        <v/>
      </c>
      <c r="AA398" s="20">
        <f>IF($U398="",0,$K398*$T398)</f>
        <v/>
      </c>
    </row>
    <row r="399">
      <c r="A399" s="15" t="inlineStr">
        <is>
          <t>Patch</t>
        </is>
      </c>
      <c r="B399" s="29">
        <f>IF($A399="","",IFERROR(INDEX(Roster!$B$2:$B$40,MATCH($A399,Roster!$A$2:$A$40,0)),"?"))</f>
        <v/>
      </c>
      <c r="C399" s="15" t="inlineStr">
        <is>
          <t>Scion_1</t>
        </is>
      </c>
      <c r="D399" s="29">
        <f>IF($C399="","",IFERROR(IF(INDEX(Deals!$C$2:$C$355,MATCH($C399,Deals!$A$2:$A$355,0))=0,"",INDEX(Deals!$C$2:$C$355,MATCH($C399,Deals!$A$2:$A$355,0))),"?"))</f>
        <v/>
      </c>
      <c r="E399" s="29">
        <f>IF($C399="","",IFERROR(INDEX(Deals!$F$2:$F$355,MATCH($C399,Deals!$A$2:$A$355,0)),"?"))</f>
        <v/>
      </c>
      <c r="F399" s="15" t="inlineStr">
        <is>
          <t>VP</t>
        </is>
      </c>
      <c r="G399" s="15" t="inlineStr">
        <is>
          <t>Active</t>
        </is>
      </c>
      <c r="H399" s="27" t="n"/>
      <c r="I399" s="20">
        <f>IF(OR($A399="",$G399&lt;&gt;"Active"),0,IF($H399&lt;&gt;"",$H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</f>
        <v/>
      </c>
      <c r="J399" s="23">
        <f>IF($C399="",0,IFERROR(INDEX(Deals!$H$2:$H$355,MATCH($C399,Deals!$A$2:$A$355,0)),0))</f>
        <v/>
      </c>
      <c r="K399" s="20">
        <f>IF(Settings!$B$4="Yes",$I399*$J399,$I399)</f>
        <v/>
      </c>
      <c r="L399" s="31">
        <f>IF($C399="","",IFERROR(IF(INDEX(Deals!$I$2:$I$355,MATCH($C399,Deals!$A$2:$A$355,0))=0,"",INDEX(Deals!$I$2:$I$355,MATCH($C399,Deals!$A$2:$A$355,0))),""))</f>
        <v/>
      </c>
      <c r="M399" s="31">
        <f>IF($C399="","",IFERROR(IF(INDEX(Deals!$J$2:$J$355,MATCH($C399,Deals!$A$2:$A$355,0))=0,"",INDEX(Deals!$J$2:$J$355,MATCH($C399,Deals!$A$2:$A$355,0))),""))</f>
        <v/>
      </c>
      <c r="N399" s="24">
        <f>IF($L399="",DATE(1900,1,1),$L399)</f>
        <v/>
      </c>
      <c r="O399" s="24">
        <f>IF($M399="",DATE(2100,12,31),$M399)</f>
        <v/>
      </c>
      <c r="P399" s="16" t="inlineStr">
        <is>
          <t>Finished phase I</t>
        </is>
      </c>
      <c r="Q399" s="16" t="inlineStr"/>
      <c r="R399" s="29">
        <f>IF($C399="","",IFERROR(IF(INDEX(Deals!$U$2:$U$355,MATCH($C399,Deals!$A$2:$A$355,0))=0,"",INDEX(Deals!$U$2:$U$355,MATCH($C399,Deals!$A$2:$A$355,0))),""))</f>
        <v/>
      </c>
      <c r="S399" s="22">
        <f>IFERROR(IF($U399="",1,INDEX(Deals!$V$2:$V$355,MATCH($C399,Deals!$A$2:$A$355,0))),1)</f>
        <v/>
      </c>
      <c r="T399" s="22">
        <f>IFERROR(IF($U399="",1,INDEX(Deals!$W$2:$W$355,MATCH($C399,Deals!$A$2:$A$355,0))),1)</f>
        <v/>
      </c>
      <c r="U399" s="31">
        <f>IF($C399="","",IFERROR(IF(INDEX(Deals!$Y$2:$Y$355,MATCH($C399,Deals!$A$2:$A$355,0))=0,"",INDEX(Deals!$Y$2:$Y$355,MATCH($C399,Deals!$A$2:$A$355,0))),""))</f>
        <v/>
      </c>
      <c r="V399" s="24">
        <f>IF($U399="",DATE(1900,1,1),$N399)</f>
        <v/>
      </c>
      <c r="W399" s="24">
        <f>IF($U399="",DATE(2100,12,31),$U399)</f>
        <v/>
      </c>
      <c r="X399" s="20">
        <f>IF($U399="",$K399,$K399*$S399)</f>
        <v/>
      </c>
      <c r="Y399" s="24">
        <f>IF($U399="",DATE(2100,12,31),$U399+1)</f>
        <v/>
      </c>
      <c r="Z399" s="24">
        <f>IF($U399="",DATE(1900,1,1),$O399)</f>
        <v/>
      </c>
      <c r="AA399" s="20">
        <f>IF($U399="",0,$K399*$T399)</f>
        <v/>
      </c>
    </row>
    <row r="400">
      <c r="A400" s="15" t="inlineStr">
        <is>
          <t>Patch</t>
        </is>
      </c>
      <c r="B400" s="29">
        <f>IF($A400="","",IFERROR(INDEX(Roster!$B$2:$B$40,MATCH($A400,Roster!$A$2:$A$40,0)),"?"))</f>
        <v/>
      </c>
      <c r="C400" s="15" t="inlineStr">
        <is>
          <t>Spark_1</t>
        </is>
      </c>
      <c r="D400" s="29">
        <f>IF($C400="","",IFERROR(IF(INDEX(Deals!$C$2:$C$355,MATCH($C400,Deals!$A$2:$A$355,0))=0,"",INDEX(Deals!$C$2:$C$355,MATCH($C400,Deals!$A$2:$A$355,0))),"?"))</f>
        <v/>
      </c>
      <c r="E400" s="29">
        <f>IF($C400="","",IFERROR(INDEX(Deals!$F$2:$F$355,MATCH($C400,Deals!$A$2:$A$355,0)),"?"))</f>
        <v/>
      </c>
      <c r="F400" s="15" t="inlineStr">
        <is>
          <t>VP</t>
        </is>
      </c>
      <c r="G400" s="15" t="inlineStr">
        <is>
          <t>Inactive</t>
        </is>
      </c>
      <c r="H400" s="27" t="n"/>
      <c r="I400" s="20">
        <f>IF(OR($A400="",$G400&lt;&gt;"Active"),0,IF($H400&lt;&gt;"",$H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</f>
        <v/>
      </c>
      <c r="J400" s="23">
        <f>IF($C400="",0,IFERROR(INDEX(Deals!$H$2:$H$355,MATCH($C400,Deals!$A$2:$A$355,0)),0))</f>
        <v/>
      </c>
      <c r="K400" s="20">
        <f>IF(Settings!$B$4="Yes",$I400*$J400,$I400)</f>
        <v/>
      </c>
      <c r="L400" s="31">
        <f>IF($C400="","",IFERROR(IF(INDEX(Deals!$I$2:$I$355,MATCH($C400,Deals!$A$2:$A$355,0))=0,"",INDEX(Deals!$I$2:$I$355,MATCH($C400,Deals!$A$2:$A$355,0))),""))</f>
        <v/>
      </c>
      <c r="M400" s="31">
        <f>IF($C400="","",IFERROR(IF(INDEX(Deals!$J$2:$J$355,MATCH($C400,Deals!$A$2:$A$355,0))=0,"",INDEX(Deals!$J$2:$J$355,MATCH($C400,Deals!$A$2:$A$355,0))),""))</f>
        <v/>
      </c>
      <c r="N400" s="24">
        <f>IF($L400="",DATE(1900,1,1),$L400)</f>
        <v/>
      </c>
      <c r="O400" s="24">
        <f>IF($M400="",DATE(2100,12,31),$M400)</f>
        <v/>
      </c>
      <c r="P400" s="16" t="inlineStr">
        <is>
          <t>Closed</t>
        </is>
      </c>
      <c r="Q400" s="16" t="inlineStr"/>
      <c r="R400" s="29">
        <f>IF($C400="","",IFERROR(IF(INDEX(Deals!$U$2:$U$355,MATCH($C400,Deals!$A$2:$A$355,0))=0,"",INDEX(Deals!$U$2:$U$355,MATCH($C400,Deals!$A$2:$A$355,0))),""))</f>
        <v/>
      </c>
      <c r="S400" s="22">
        <f>IFERROR(IF($U400="",1,INDEX(Deals!$V$2:$V$355,MATCH($C400,Deals!$A$2:$A$355,0))),1)</f>
        <v/>
      </c>
      <c r="T400" s="22">
        <f>IFERROR(IF($U400="",1,INDEX(Deals!$W$2:$W$355,MATCH($C400,Deals!$A$2:$A$355,0))),1)</f>
        <v/>
      </c>
      <c r="U400" s="31">
        <f>IF($C400="","",IFERROR(IF(INDEX(Deals!$Y$2:$Y$355,MATCH($C400,Deals!$A$2:$A$355,0))=0,"",INDEX(Deals!$Y$2:$Y$355,MATCH($C400,Deals!$A$2:$A$355,0))),""))</f>
        <v/>
      </c>
      <c r="V400" s="24">
        <f>IF($U400="",DATE(1900,1,1),$N400)</f>
        <v/>
      </c>
      <c r="W400" s="24">
        <f>IF($U400="",DATE(2100,12,31),$U400)</f>
        <v/>
      </c>
      <c r="X400" s="20">
        <f>IF($U400="",$K400,$K400*$S400)</f>
        <v/>
      </c>
      <c r="Y400" s="24">
        <f>IF($U400="",DATE(2100,12,31),$U400+1)</f>
        <v/>
      </c>
      <c r="Z400" s="24">
        <f>IF($U400="",DATE(1900,1,1),$O400)</f>
        <v/>
      </c>
      <c r="AA400" s="20">
        <f>IF($U400="",0,$K400*$T400)</f>
        <v/>
      </c>
    </row>
    <row r="401">
      <c r="A401" s="15" t="inlineStr">
        <is>
          <t>Patch</t>
        </is>
      </c>
      <c r="B401" s="29">
        <f>IF($A401="","",IFERROR(INDEX(Roster!$B$2:$B$40,MATCH($A401,Roster!$A$2:$A$40,0)),"?"))</f>
        <v/>
      </c>
      <c r="C401" s="15" t="inlineStr">
        <is>
          <t>Steam_2</t>
        </is>
      </c>
      <c r="D401" s="29">
        <f>IF($C401="","",IFERROR(IF(INDEX(Deals!$C$2:$C$355,MATCH($C401,Deals!$A$2:$A$355,0))=0,"",INDEX(Deals!$C$2:$C$355,MATCH($C401,Deals!$A$2:$A$355,0))),"?"))</f>
        <v/>
      </c>
      <c r="E401" s="29">
        <f>IF($C401="","",IFERROR(INDEX(Deals!$F$2:$F$355,MATCH($C401,Deals!$A$2:$A$355,0)),"?"))</f>
        <v/>
      </c>
      <c r="F401" s="15" t="inlineStr">
        <is>
          <t>VP</t>
        </is>
      </c>
      <c r="G401" s="15" t="inlineStr">
        <is>
          <t>Inactive</t>
        </is>
      </c>
      <c r="H401" s="27" t="n"/>
      <c r="I401" s="20">
        <f>IF(OR($A401="",$G401&lt;&gt;"Active"),0,IF($H401&lt;&gt;"",$H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</f>
        <v/>
      </c>
      <c r="J401" s="23">
        <f>IF($C401="",0,IFERROR(INDEX(Deals!$H$2:$H$355,MATCH($C401,Deals!$A$2:$A$355,0)),0))</f>
        <v/>
      </c>
      <c r="K401" s="20">
        <f>IF(Settings!$B$4="Yes",$I401*$J401,$I401)</f>
        <v/>
      </c>
      <c r="L401" s="31">
        <f>IF($C401="","",IFERROR(IF(INDEX(Deals!$I$2:$I$355,MATCH($C401,Deals!$A$2:$A$355,0))=0,"",INDEX(Deals!$I$2:$I$355,MATCH($C401,Deals!$A$2:$A$355,0))),""))</f>
        <v/>
      </c>
      <c r="M401" s="31">
        <f>IF($C401="","",IFERROR(IF(INDEX(Deals!$J$2:$J$355,MATCH($C401,Deals!$A$2:$A$355,0))=0,"",INDEX(Deals!$J$2:$J$355,MATCH($C401,Deals!$A$2:$A$355,0))),""))</f>
        <v/>
      </c>
      <c r="N401" s="24">
        <f>IF($L401="",DATE(1900,1,1),$L401)</f>
        <v/>
      </c>
      <c r="O401" s="24">
        <f>IF($M401="",DATE(2100,12,31),$M401)</f>
        <v/>
      </c>
      <c r="P401" s="16" t="inlineStr">
        <is>
          <t>Not involved in ongoing work</t>
        </is>
      </c>
      <c r="Q401" s="16" t="inlineStr"/>
      <c r="R401" s="29">
        <f>IF($C401="","",IFERROR(IF(INDEX(Deals!$U$2:$U$355,MATCH($C401,Deals!$A$2:$A$355,0))=0,"",INDEX(Deals!$U$2:$U$355,MATCH($C401,Deals!$A$2:$A$355,0))),""))</f>
        <v/>
      </c>
      <c r="S401" s="22">
        <f>IFERROR(IF($U401="",1,INDEX(Deals!$V$2:$V$355,MATCH($C401,Deals!$A$2:$A$355,0))),1)</f>
        <v/>
      </c>
      <c r="T401" s="22">
        <f>IFERROR(IF($U401="",1,INDEX(Deals!$W$2:$W$355,MATCH($C401,Deals!$A$2:$A$355,0))),1)</f>
        <v/>
      </c>
      <c r="U401" s="31">
        <f>IF($C401="","",IFERROR(IF(INDEX(Deals!$Y$2:$Y$355,MATCH($C401,Deals!$A$2:$A$355,0))=0,"",INDEX(Deals!$Y$2:$Y$355,MATCH($C401,Deals!$A$2:$A$355,0))),""))</f>
        <v/>
      </c>
      <c r="V401" s="24">
        <f>IF($U401="",DATE(1900,1,1),$N401)</f>
        <v/>
      </c>
      <c r="W401" s="24">
        <f>IF($U401="",DATE(2100,12,31),$U401)</f>
        <v/>
      </c>
      <c r="X401" s="20">
        <f>IF($U401="",$K401,$K401*$S401)</f>
        <v/>
      </c>
      <c r="Y401" s="24">
        <f>IF($U401="",DATE(2100,12,31),$U401+1)</f>
        <v/>
      </c>
      <c r="Z401" s="24">
        <f>IF($U401="",DATE(1900,1,1),$O401)</f>
        <v/>
      </c>
      <c r="AA401" s="20">
        <f>IF($U401="",0,$K401*$T401)</f>
        <v/>
      </c>
    </row>
    <row r="402">
      <c r="A402" s="15" t="inlineStr">
        <is>
          <t>Patch</t>
        </is>
      </c>
      <c r="B402" s="29">
        <f>IF($A402="","",IFERROR(INDEX(Roster!$B$2:$B$40,MATCH($A402,Roster!$A$2:$A$40,0)),"?"))</f>
        <v/>
      </c>
      <c r="C402" s="15" t="inlineStr">
        <is>
          <t>Sun Pond_1</t>
        </is>
      </c>
      <c r="D402" s="29">
        <f>IF($C402="","",IFERROR(IF(INDEX(Deals!$C$2:$C$355,MATCH($C402,Deals!$A$2:$A$355,0))=0,"",INDEX(Deals!$C$2:$C$355,MATCH($C402,Deals!$A$2:$A$355,0))),"?"))</f>
        <v/>
      </c>
      <c r="E402" s="29">
        <f>IF($C402="","",IFERROR(INDEX(Deals!$F$2:$F$355,MATCH($C402,Deals!$A$2:$A$355,0)),"?"))</f>
        <v/>
      </c>
      <c r="F402" s="15" t="inlineStr">
        <is>
          <t>VP</t>
        </is>
      </c>
      <c r="G402" s="15" t="inlineStr">
        <is>
          <t>Inactive</t>
        </is>
      </c>
      <c r="H402" s="27" t="n"/>
      <c r="I402" s="20">
        <f>IF(OR($A402="",$G402&lt;&gt;"Active"),0,IF($H402&lt;&gt;"",$H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</f>
        <v/>
      </c>
      <c r="J402" s="23">
        <f>IF($C402="",0,IFERROR(INDEX(Deals!$H$2:$H$355,MATCH($C402,Deals!$A$2:$A$355,0)),0))</f>
        <v/>
      </c>
      <c r="K402" s="20">
        <f>IF(Settings!$B$4="Yes",$I402*$J402,$I402)</f>
        <v/>
      </c>
      <c r="L402" s="31">
        <f>IF($C402="","",IFERROR(IF(INDEX(Deals!$I$2:$I$355,MATCH($C402,Deals!$A$2:$A$355,0))=0,"",INDEX(Deals!$I$2:$I$355,MATCH($C402,Deals!$A$2:$A$355,0))),""))</f>
        <v/>
      </c>
      <c r="M402" s="31">
        <f>IF($C402="","",IFERROR(IF(INDEX(Deals!$J$2:$J$355,MATCH($C402,Deals!$A$2:$A$355,0))=0,"",INDEX(Deals!$J$2:$J$355,MATCH($C402,Deals!$A$2:$A$355,0))),""))</f>
        <v/>
      </c>
      <c r="N402" s="24">
        <f>IF($L402="",DATE(1900,1,1),$L402)</f>
        <v/>
      </c>
      <c r="O402" s="24">
        <f>IF($M402="",DATE(2100,12,31),$M402)</f>
        <v/>
      </c>
      <c r="P402" s="16" t="inlineStr">
        <is>
          <t>This was probably when I was helping check tax insurance datarooms.</t>
        </is>
      </c>
      <c r="Q402" s="16" t="inlineStr"/>
      <c r="R402" s="29">
        <f>IF($C402="","",IFERROR(IF(INDEX(Deals!$U$2:$U$355,MATCH($C402,Deals!$A$2:$A$355,0))=0,"",INDEX(Deals!$U$2:$U$355,MATCH($C402,Deals!$A$2:$A$355,0))),""))</f>
        <v/>
      </c>
      <c r="S402" s="22">
        <f>IFERROR(IF($U402="",1,INDEX(Deals!$V$2:$V$355,MATCH($C402,Deals!$A$2:$A$355,0))),1)</f>
        <v/>
      </c>
      <c r="T402" s="22">
        <f>IFERROR(IF($U402="",1,INDEX(Deals!$W$2:$W$355,MATCH($C402,Deals!$A$2:$A$355,0))),1)</f>
        <v/>
      </c>
      <c r="U402" s="31">
        <f>IF($C402="","",IFERROR(IF(INDEX(Deals!$Y$2:$Y$355,MATCH($C402,Deals!$A$2:$A$355,0))=0,"",INDEX(Deals!$Y$2:$Y$355,MATCH($C402,Deals!$A$2:$A$355,0))),""))</f>
        <v/>
      </c>
      <c r="V402" s="24">
        <f>IF($U402="",DATE(1900,1,1),$N402)</f>
        <v/>
      </c>
      <c r="W402" s="24">
        <f>IF($U402="",DATE(2100,12,31),$U402)</f>
        <v/>
      </c>
      <c r="X402" s="20">
        <f>IF($U402="",$K402,$K402*$S402)</f>
        <v/>
      </c>
      <c r="Y402" s="24">
        <f>IF($U402="",DATE(2100,12,31),$U402+1)</f>
        <v/>
      </c>
      <c r="Z402" s="24">
        <f>IF($U402="",DATE(1900,1,1),$O402)</f>
        <v/>
      </c>
      <c r="AA402" s="20">
        <f>IF($U402="",0,$K402*$T402)</f>
        <v/>
      </c>
    </row>
    <row r="403">
      <c r="A403" s="15" t="inlineStr">
        <is>
          <t>Patch</t>
        </is>
      </c>
      <c r="B403" s="29">
        <f>IF($A403="","",IFERROR(INDEX(Roster!$B$2:$B$40,MATCH($A403,Roster!$A$2:$A$40,0)),"?"))</f>
        <v/>
      </c>
      <c r="C403" s="15" t="inlineStr">
        <is>
          <t>Tailgate_1</t>
        </is>
      </c>
      <c r="D403" s="29">
        <f>IF($C403="","",IFERROR(IF(INDEX(Deals!$C$2:$C$355,MATCH($C403,Deals!$A$2:$A$355,0))=0,"",INDEX(Deals!$C$2:$C$355,MATCH($C403,Deals!$A$2:$A$355,0))),"?"))</f>
        <v/>
      </c>
      <c r="E403" s="29">
        <f>IF($C403="","",IFERROR(INDEX(Deals!$F$2:$F$355,MATCH($C403,Deals!$A$2:$A$355,0)),"?"))</f>
        <v/>
      </c>
      <c r="F403" s="15" t="inlineStr">
        <is>
          <t>VP</t>
        </is>
      </c>
      <c r="G403" s="15" t="inlineStr">
        <is>
          <t>Inactive</t>
        </is>
      </c>
      <c r="H403" s="27" t="n"/>
      <c r="I403" s="20">
        <f>IF(OR($A403="",$G403&lt;&gt;"Active"),0,IF($H403&lt;&gt;"",$H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</f>
        <v/>
      </c>
      <c r="J403" s="23">
        <f>IF($C403="",0,IFERROR(INDEX(Deals!$H$2:$H$355,MATCH($C403,Deals!$A$2:$A$355,0)),0))</f>
        <v/>
      </c>
      <c r="K403" s="20">
        <f>IF(Settings!$B$4="Yes",$I403*$J403,$I403)</f>
        <v/>
      </c>
      <c r="L403" s="31">
        <f>IF($C403="","",IFERROR(IF(INDEX(Deals!$I$2:$I$355,MATCH($C403,Deals!$A$2:$A$355,0))=0,"",INDEX(Deals!$I$2:$I$355,MATCH($C403,Deals!$A$2:$A$355,0))),""))</f>
        <v/>
      </c>
      <c r="M403" s="31">
        <f>IF($C403="","",IFERROR(IF(INDEX(Deals!$J$2:$J$355,MATCH($C403,Deals!$A$2:$A$355,0))=0,"",INDEX(Deals!$J$2:$J$355,MATCH($C403,Deals!$A$2:$A$355,0))),""))</f>
        <v/>
      </c>
      <c r="N403" s="24">
        <f>IF($L403="",DATE(1900,1,1),$L403)</f>
        <v/>
      </c>
      <c r="O403" s="24">
        <f>IF($M403="",DATE(2100,12,31),$M403)</f>
        <v/>
      </c>
      <c r="P403" s="16" t="inlineStr">
        <is>
          <t>Penicls Down</t>
        </is>
      </c>
      <c r="Q403" s="16" t="inlineStr"/>
      <c r="R403" s="29">
        <f>IF($C403="","",IFERROR(IF(INDEX(Deals!$U$2:$U$355,MATCH($C403,Deals!$A$2:$A$355,0))=0,"",INDEX(Deals!$U$2:$U$355,MATCH($C403,Deals!$A$2:$A$355,0))),""))</f>
        <v/>
      </c>
      <c r="S403" s="22">
        <f>IFERROR(IF($U403="",1,INDEX(Deals!$V$2:$V$355,MATCH($C403,Deals!$A$2:$A$355,0))),1)</f>
        <v/>
      </c>
      <c r="T403" s="22">
        <f>IFERROR(IF($U403="",1,INDEX(Deals!$W$2:$W$355,MATCH($C403,Deals!$A$2:$A$355,0))),1)</f>
        <v/>
      </c>
      <c r="U403" s="31">
        <f>IF($C403="","",IFERROR(IF(INDEX(Deals!$Y$2:$Y$355,MATCH($C403,Deals!$A$2:$A$355,0))=0,"",INDEX(Deals!$Y$2:$Y$355,MATCH($C403,Deals!$A$2:$A$355,0))),""))</f>
        <v/>
      </c>
      <c r="V403" s="24">
        <f>IF($U403="",DATE(1900,1,1),$N403)</f>
        <v/>
      </c>
      <c r="W403" s="24">
        <f>IF($U403="",DATE(2100,12,31),$U403)</f>
        <v/>
      </c>
      <c r="X403" s="20">
        <f>IF($U403="",$K403,$K403*$S403)</f>
        <v/>
      </c>
      <c r="Y403" s="24">
        <f>IF($U403="",DATE(2100,12,31),$U403+1)</f>
        <v/>
      </c>
      <c r="Z403" s="24">
        <f>IF($U403="",DATE(1900,1,1),$O403)</f>
        <v/>
      </c>
      <c r="AA403" s="20">
        <f>IF($U403="",0,$K403*$T403)</f>
        <v/>
      </c>
    </row>
    <row r="404">
      <c r="A404" s="15" t="inlineStr">
        <is>
          <t>Patch</t>
        </is>
      </c>
      <c r="B404" s="29">
        <f>IF($A404="","",IFERROR(INDEX(Roster!$B$2:$B$40,MATCH($A404,Roster!$A$2:$A$40,0)),"?"))</f>
        <v/>
      </c>
      <c r="C404" s="15" t="inlineStr">
        <is>
          <t>Takeover_1</t>
        </is>
      </c>
      <c r="D404" s="29">
        <f>IF($C404="","",IFERROR(IF(INDEX(Deals!$C$2:$C$355,MATCH($C404,Deals!$A$2:$A$355,0))=0,"",INDEX(Deals!$C$2:$C$355,MATCH($C404,Deals!$A$2:$A$355,0))),"?"))</f>
        <v/>
      </c>
      <c r="E404" s="29">
        <f>IF($C404="","",IFERROR(INDEX(Deals!$F$2:$F$355,MATCH($C404,Deals!$A$2:$A$355,0)),"?"))</f>
        <v/>
      </c>
      <c r="F404" s="15" t="inlineStr">
        <is>
          <t>VP</t>
        </is>
      </c>
      <c r="G404" s="15" t="inlineStr">
        <is>
          <t>Inactive</t>
        </is>
      </c>
      <c r="H404" s="27" t="n"/>
      <c r="I404" s="20">
        <f>IF(OR($A404="",$G404&lt;&gt;"Active"),0,IF($H404&lt;&gt;"",$H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</f>
        <v/>
      </c>
      <c r="J404" s="23">
        <f>IF($C404="",0,IFERROR(INDEX(Deals!$H$2:$H$355,MATCH($C404,Deals!$A$2:$A$355,0)),0))</f>
        <v/>
      </c>
      <c r="K404" s="20">
        <f>IF(Settings!$B$4="Yes",$I404*$J404,$I404)</f>
        <v/>
      </c>
      <c r="L404" s="31">
        <f>IF($C404="","",IFERROR(IF(INDEX(Deals!$I$2:$I$355,MATCH($C404,Deals!$A$2:$A$355,0))=0,"",INDEX(Deals!$I$2:$I$355,MATCH($C404,Deals!$A$2:$A$355,0))),""))</f>
        <v/>
      </c>
      <c r="M404" s="31">
        <f>IF($C404="","",IFERROR(IF(INDEX(Deals!$J$2:$J$355,MATCH($C404,Deals!$A$2:$A$355,0))=0,"",INDEX(Deals!$J$2:$J$355,MATCH($C404,Deals!$A$2:$A$355,0))),""))</f>
        <v/>
      </c>
      <c r="N404" s="24">
        <f>IF($L404="",DATE(1900,1,1),$L404)</f>
        <v/>
      </c>
      <c r="O404" s="24">
        <f>IF($M404="",DATE(2100,12,31),$M404)</f>
        <v/>
      </c>
      <c r="P404" s="16" t="inlineStr">
        <is>
          <t>Pencils Down</t>
        </is>
      </c>
      <c r="Q404" s="16" t="inlineStr"/>
      <c r="R404" s="29">
        <f>IF($C404="","",IFERROR(IF(INDEX(Deals!$U$2:$U$355,MATCH($C404,Deals!$A$2:$A$355,0))=0,"",INDEX(Deals!$U$2:$U$355,MATCH($C404,Deals!$A$2:$A$355,0))),""))</f>
        <v/>
      </c>
      <c r="S404" s="22">
        <f>IFERROR(IF($U404="",1,INDEX(Deals!$V$2:$V$355,MATCH($C404,Deals!$A$2:$A$355,0))),1)</f>
        <v/>
      </c>
      <c r="T404" s="22">
        <f>IFERROR(IF($U404="",1,INDEX(Deals!$W$2:$W$355,MATCH($C404,Deals!$A$2:$A$355,0))),1)</f>
        <v/>
      </c>
      <c r="U404" s="31">
        <f>IF($C404="","",IFERROR(IF(INDEX(Deals!$Y$2:$Y$355,MATCH($C404,Deals!$A$2:$A$355,0))=0,"",INDEX(Deals!$Y$2:$Y$355,MATCH($C404,Deals!$A$2:$A$355,0))),""))</f>
        <v/>
      </c>
      <c r="V404" s="24">
        <f>IF($U404="",DATE(1900,1,1),$N404)</f>
        <v/>
      </c>
      <c r="W404" s="24">
        <f>IF($U404="",DATE(2100,12,31),$U404)</f>
        <v/>
      </c>
      <c r="X404" s="20">
        <f>IF($U404="",$K404,$K404*$S404)</f>
        <v/>
      </c>
      <c r="Y404" s="24">
        <f>IF($U404="",DATE(2100,12,31),$U404+1)</f>
        <v/>
      </c>
      <c r="Z404" s="24">
        <f>IF($U404="",DATE(1900,1,1),$O404)</f>
        <v/>
      </c>
      <c r="AA404" s="20">
        <f>IF($U404="",0,$K404*$T404)</f>
        <v/>
      </c>
    </row>
    <row r="405">
      <c r="A405" s="15" t="inlineStr">
        <is>
          <t>Patch</t>
        </is>
      </c>
      <c r="B405" s="29">
        <f>IF($A405="","",IFERROR(INDEX(Roster!$B$2:$B$40,MATCH($A405,Roster!$A$2:$A$40,0)),"?"))</f>
        <v/>
      </c>
      <c r="C405" s="15" t="inlineStr">
        <is>
          <t>Truman_2</t>
        </is>
      </c>
      <c r="D405" s="29">
        <f>IF($C405="","",IFERROR(IF(INDEX(Deals!$C$2:$C$355,MATCH($C405,Deals!$A$2:$A$355,0))=0,"",INDEX(Deals!$C$2:$C$355,MATCH($C405,Deals!$A$2:$A$355,0))),"?"))</f>
        <v/>
      </c>
      <c r="E405" s="29">
        <f>IF($C405="","",IFERROR(INDEX(Deals!$F$2:$F$355,MATCH($C405,Deals!$A$2:$A$355,0)),"?"))</f>
        <v/>
      </c>
      <c r="F405" s="15" t="inlineStr">
        <is>
          <t>VP</t>
        </is>
      </c>
      <c r="G405" s="15" t="inlineStr">
        <is>
          <t>Active</t>
        </is>
      </c>
      <c r="H405" s="27" t="n"/>
      <c r="I405" s="20">
        <f>IF(OR($A405="",$G405&lt;&gt;"Active"),0,IF($H405&lt;&gt;"",$H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</f>
        <v/>
      </c>
      <c r="J405" s="23">
        <f>IF($C405="",0,IFERROR(INDEX(Deals!$H$2:$H$355,MATCH($C405,Deals!$A$2:$A$355,0)),0))</f>
        <v/>
      </c>
      <c r="K405" s="20">
        <f>IF(Settings!$B$4="Yes",$I405*$J405,$I405)</f>
        <v/>
      </c>
      <c r="L405" s="31">
        <f>IF($C405="","",IFERROR(IF(INDEX(Deals!$I$2:$I$355,MATCH($C405,Deals!$A$2:$A$355,0))=0,"",INDEX(Deals!$I$2:$I$355,MATCH($C405,Deals!$A$2:$A$355,0))),""))</f>
        <v/>
      </c>
      <c r="M405" s="31">
        <f>IF($C405="","",IFERROR(IF(INDEX(Deals!$J$2:$J$355,MATCH($C405,Deals!$A$2:$A$355,0))=0,"",INDEX(Deals!$J$2:$J$355,MATCH($C405,Deals!$A$2:$A$355,0))),""))</f>
        <v/>
      </c>
      <c r="N405" s="24">
        <f>IF($L405="",DATE(1900,1,1),$L405)</f>
        <v/>
      </c>
      <c r="O405" s="24">
        <f>IF($M405="",DATE(2100,12,31),$M405)</f>
        <v/>
      </c>
      <c r="P405" s="16" t="inlineStr">
        <is>
          <t>Ongoing</t>
        </is>
      </c>
      <c r="Q405" s="16" t="inlineStr"/>
      <c r="R405" s="29">
        <f>IF($C405="","",IFERROR(IF(INDEX(Deals!$U$2:$U$355,MATCH($C405,Deals!$A$2:$A$355,0))=0,"",INDEX(Deals!$U$2:$U$355,MATCH($C405,Deals!$A$2:$A$355,0))),""))</f>
        <v/>
      </c>
      <c r="S405" s="22">
        <f>IFERROR(IF($U405="",1,INDEX(Deals!$V$2:$V$355,MATCH($C405,Deals!$A$2:$A$355,0))),1)</f>
        <v/>
      </c>
      <c r="T405" s="22">
        <f>IFERROR(IF($U405="",1,INDEX(Deals!$W$2:$W$355,MATCH($C405,Deals!$A$2:$A$355,0))),1)</f>
        <v/>
      </c>
      <c r="U405" s="31">
        <f>IF($C405="","",IFERROR(IF(INDEX(Deals!$Y$2:$Y$355,MATCH($C405,Deals!$A$2:$A$355,0))=0,"",INDEX(Deals!$Y$2:$Y$355,MATCH($C405,Deals!$A$2:$A$355,0))),""))</f>
        <v/>
      </c>
      <c r="V405" s="24">
        <f>IF($U405="",DATE(1900,1,1),$N405)</f>
        <v/>
      </c>
      <c r="W405" s="24">
        <f>IF($U405="",DATE(2100,12,31),$U405)</f>
        <v/>
      </c>
      <c r="X405" s="20">
        <f>IF($U405="",$K405,$K405*$S405)</f>
        <v/>
      </c>
      <c r="Y405" s="24">
        <f>IF($U405="",DATE(2100,12,31),$U405+1)</f>
        <v/>
      </c>
      <c r="Z405" s="24">
        <f>IF($U405="",DATE(1900,1,1),$O405)</f>
        <v/>
      </c>
      <c r="AA405" s="20">
        <f>IF($U405="",0,$K405*$T405)</f>
        <v/>
      </c>
    </row>
    <row r="406">
      <c r="A406" s="15" t="inlineStr">
        <is>
          <t>Patch</t>
        </is>
      </c>
      <c r="B406" s="29">
        <f>IF($A406="","",IFERROR(INDEX(Roster!$B$2:$B$40,MATCH($A406,Roster!$A$2:$A$40,0)),"?"))</f>
        <v/>
      </c>
      <c r="C406" s="15" t="inlineStr">
        <is>
          <t>ValorC3_1</t>
        </is>
      </c>
      <c r="D406" s="29">
        <f>IF($C406="","",IFERROR(IF(INDEX(Deals!$C$2:$C$355,MATCH($C406,Deals!$A$2:$A$355,0))=0,"",INDEX(Deals!$C$2:$C$355,MATCH($C406,Deals!$A$2:$A$355,0))),"?"))</f>
        <v/>
      </c>
      <c r="E406" s="29">
        <f>IF($C406="","",IFERROR(INDEX(Deals!$F$2:$F$355,MATCH($C406,Deals!$A$2:$A$355,0)),"?"))</f>
        <v/>
      </c>
      <c r="F406" s="15" t="inlineStr">
        <is>
          <t>VP</t>
        </is>
      </c>
      <c r="G406" s="15" t="inlineStr">
        <is>
          <t>Inactive</t>
        </is>
      </c>
      <c r="H406" s="27" t="n"/>
      <c r="I406" s="20">
        <f>IF(OR($A406="",$G406&lt;&gt;"Active"),0,IF($H406&lt;&gt;"",$H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</f>
        <v/>
      </c>
      <c r="J406" s="23">
        <f>IF($C406="",0,IFERROR(INDEX(Deals!$H$2:$H$355,MATCH($C406,Deals!$A$2:$A$355,0)),0))</f>
        <v/>
      </c>
      <c r="K406" s="20">
        <f>IF(Settings!$B$4="Yes",$I406*$J406,$I406)</f>
        <v/>
      </c>
      <c r="L406" s="31">
        <f>IF($C406="","",IFERROR(IF(INDEX(Deals!$I$2:$I$355,MATCH($C406,Deals!$A$2:$A$355,0))=0,"",INDEX(Deals!$I$2:$I$355,MATCH($C406,Deals!$A$2:$A$355,0))),""))</f>
        <v/>
      </c>
      <c r="M406" s="31">
        <f>IF($C406="","",IFERROR(IF(INDEX(Deals!$J$2:$J$355,MATCH($C406,Deals!$A$2:$A$355,0))=0,"",INDEX(Deals!$J$2:$J$355,MATCH($C406,Deals!$A$2:$A$355,0))),""))</f>
        <v/>
      </c>
      <c r="N406" s="24">
        <f>IF($L406="",DATE(1900,1,1),$L406)</f>
        <v/>
      </c>
      <c r="O406" s="24">
        <f>IF($M406="",DATE(2100,12,31),$M406)</f>
        <v/>
      </c>
      <c r="P406" s="16" t="inlineStr">
        <is>
          <t>Invoicing Soon</t>
        </is>
      </c>
      <c r="Q406" s="16" t="inlineStr"/>
      <c r="R406" s="29">
        <f>IF($C406="","",IFERROR(IF(INDEX(Deals!$U$2:$U$355,MATCH($C406,Deals!$A$2:$A$355,0))=0,"",INDEX(Deals!$U$2:$U$355,MATCH($C406,Deals!$A$2:$A$355,0))),""))</f>
        <v/>
      </c>
      <c r="S406" s="22">
        <f>IFERROR(IF($U406="",1,INDEX(Deals!$V$2:$V$355,MATCH($C406,Deals!$A$2:$A$355,0))),1)</f>
        <v/>
      </c>
      <c r="T406" s="22">
        <f>IFERROR(IF($U406="",1,INDEX(Deals!$W$2:$W$355,MATCH($C406,Deals!$A$2:$A$355,0))),1)</f>
        <v/>
      </c>
      <c r="U406" s="31">
        <f>IF($C406="","",IFERROR(IF(INDEX(Deals!$Y$2:$Y$355,MATCH($C406,Deals!$A$2:$A$355,0))=0,"",INDEX(Deals!$Y$2:$Y$355,MATCH($C406,Deals!$A$2:$A$355,0))),""))</f>
        <v/>
      </c>
      <c r="V406" s="24">
        <f>IF($U406="",DATE(1900,1,1),$N406)</f>
        <v/>
      </c>
      <c r="W406" s="24">
        <f>IF($U406="",DATE(2100,12,31),$U406)</f>
        <v/>
      </c>
      <c r="X406" s="20">
        <f>IF($U406="",$K406,$K406*$S406)</f>
        <v/>
      </c>
      <c r="Y406" s="24">
        <f>IF($U406="",DATE(2100,12,31),$U406+1)</f>
        <v/>
      </c>
      <c r="Z406" s="24">
        <f>IF($U406="",DATE(1900,1,1),$O406)</f>
        <v/>
      </c>
      <c r="AA406" s="20">
        <f>IF($U406="",0,$K406*$T406)</f>
        <v/>
      </c>
    </row>
    <row r="407">
      <c r="A407" s="15" t="inlineStr">
        <is>
          <t>Patch</t>
        </is>
      </c>
      <c r="B407" s="29">
        <f>IF($A407="","",IFERROR(INDEX(Roster!$B$2:$B$40,MATCH($A407,Roster!$A$2:$A$40,0)),"?"))</f>
        <v/>
      </c>
      <c r="C407" s="15" t="inlineStr">
        <is>
          <t>Veritas_1</t>
        </is>
      </c>
      <c r="D407" s="29">
        <f>IF($C407="","",IFERROR(IF(INDEX(Deals!$C$2:$C$355,MATCH($C407,Deals!$A$2:$A$355,0))=0,"",INDEX(Deals!$C$2:$C$355,MATCH($C407,Deals!$A$2:$A$355,0))),"?"))</f>
        <v/>
      </c>
      <c r="E407" s="29">
        <f>IF($C407="","",IFERROR(INDEX(Deals!$F$2:$F$355,MATCH($C407,Deals!$A$2:$A$355,0)),"?"))</f>
        <v/>
      </c>
      <c r="F407" s="15" t="inlineStr">
        <is>
          <t>VP</t>
        </is>
      </c>
      <c r="G407" s="15" t="inlineStr">
        <is>
          <t>Inactive</t>
        </is>
      </c>
      <c r="H407" s="27" t="n"/>
      <c r="I407" s="20">
        <f>IF(OR($A407="",$G407&lt;&gt;"Active"),0,IF($H407&lt;&gt;"",$H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</f>
        <v/>
      </c>
      <c r="J407" s="23">
        <f>IF($C407="",0,IFERROR(INDEX(Deals!$H$2:$H$355,MATCH($C407,Deals!$A$2:$A$355,0)),0))</f>
        <v/>
      </c>
      <c r="K407" s="20">
        <f>IF(Settings!$B$4="Yes",$I407*$J407,$I407)</f>
        <v/>
      </c>
      <c r="L407" s="31">
        <f>IF($C407="","",IFERROR(IF(INDEX(Deals!$I$2:$I$355,MATCH($C407,Deals!$A$2:$A$355,0))=0,"",INDEX(Deals!$I$2:$I$355,MATCH($C407,Deals!$A$2:$A$355,0))),""))</f>
        <v/>
      </c>
      <c r="M407" s="31">
        <f>IF($C407="","",IFERROR(IF(INDEX(Deals!$J$2:$J$355,MATCH($C407,Deals!$A$2:$A$355,0))=0,"",INDEX(Deals!$J$2:$J$355,MATCH($C407,Deals!$A$2:$A$355,0))),""))</f>
        <v/>
      </c>
      <c r="N407" s="24">
        <f>IF($L407="",DATE(1900,1,1),$L407)</f>
        <v/>
      </c>
      <c r="O407" s="24">
        <f>IF($M407="",DATE(2100,12,31),$M407)</f>
        <v/>
      </c>
      <c r="P407" s="16" t="inlineStr">
        <is>
          <t>Pencils Down</t>
        </is>
      </c>
      <c r="Q407" s="16" t="inlineStr"/>
      <c r="R407" s="29">
        <f>IF($C407="","",IFERROR(IF(INDEX(Deals!$U$2:$U$355,MATCH($C407,Deals!$A$2:$A$355,0))=0,"",INDEX(Deals!$U$2:$U$355,MATCH($C407,Deals!$A$2:$A$355,0))),""))</f>
        <v/>
      </c>
      <c r="S407" s="22">
        <f>IFERROR(IF($U407="",1,INDEX(Deals!$V$2:$V$355,MATCH($C407,Deals!$A$2:$A$355,0))),1)</f>
        <v/>
      </c>
      <c r="T407" s="22">
        <f>IFERROR(IF($U407="",1,INDEX(Deals!$W$2:$W$355,MATCH($C407,Deals!$A$2:$A$355,0))),1)</f>
        <v/>
      </c>
      <c r="U407" s="31">
        <f>IF($C407="","",IFERROR(IF(INDEX(Deals!$Y$2:$Y$355,MATCH($C407,Deals!$A$2:$A$355,0))=0,"",INDEX(Deals!$Y$2:$Y$355,MATCH($C407,Deals!$A$2:$A$355,0))),""))</f>
        <v/>
      </c>
      <c r="V407" s="24">
        <f>IF($U407="",DATE(1900,1,1),$N407)</f>
        <v/>
      </c>
      <c r="W407" s="24">
        <f>IF($U407="",DATE(2100,12,31),$U407)</f>
        <v/>
      </c>
      <c r="X407" s="20">
        <f>IF($U407="",$K407,$K407*$S407)</f>
        <v/>
      </c>
      <c r="Y407" s="24">
        <f>IF($U407="",DATE(2100,12,31),$U407+1)</f>
        <v/>
      </c>
      <c r="Z407" s="24">
        <f>IF($U407="",DATE(1900,1,1),$O407)</f>
        <v/>
      </c>
      <c r="AA407" s="20">
        <f>IF($U407="",0,$K407*$T407)</f>
        <v/>
      </c>
    </row>
    <row r="408">
      <c r="A408" s="15" t="inlineStr">
        <is>
          <t>Patch</t>
        </is>
      </c>
      <c r="B408" s="29">
        <f>IF($A408="","",IFERROR(INDEX(Roster!$B$2:$B$40,MATCH($A408,Roster!$A$2:$A$40,0)),"?"))</f>
        <v/>
      </c>
      <c r="C408" s="15" t="inlineStr">
        <is>
          <t>Wind_3</t>
        </is>
      </c>
      <c r="D408" s="29">
        <f>IF($C408="","",IFERROR(IF(INDEX(Deals!$C$2:$C$355,MATCH($C408,Deals!$A$2:$A$355,0))=0,"",INDEX(Deals!$C$2:$C$355,MATCH($C408,Deals!$A$2:$A$355,0))),"?"))</f>
        <v/>
      </c>
      <c r="E408" s="29">
        <f>IF($C408="","",IFERROR(INDEX(Deals!$F$2:$F$355,MATCH($C408,Deals!$A$2:$A$355,0)),"?"))</f>
        <v/>
      </c>
      <c r="F408" s="15" t="inlineStr">
        <is>
          <t>VP</t>
        </is>
      </c>
      <c r="G408" s="15" t="inlineStr">
        <is>
          <t>Active</t>
        </is>
      </c>
      <c r="H408" s="27" t="n"/>
      <c r="I408" s="20">
        <f>IF(OR($A408="",$G408&lt;&gt;"Active"),0,IF($H408&lt;&gt;"",$H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</f>
        <v/>
      </c>
      <c r="J408" s="23">
        <f>IF($C408="",0,IFERROR(INDEX(Deals!$H$2:$H$355,MATCH($C408,Deals!$A$2:$A$355,0)),0))</f>
        <v/>
      </c>
      <c r="K408" s="20">
        <f>IF(Settings!$B$4="Yes",$I408*$J408,$I408)</f>
        <v/>
      </c>
      <c r="L408" s="31">
        <f>IF($C408="","",IFERROR(IF(INDEX(Deals!$I$2:$I$355,MATCH($C408,Deals!$A$2:$A$355,0))=0,"",INDEX(Deals!$I$2:$I$355,MATCH($C408,Deals!$A$2:$A$355,0))),""))</f>
        <v/>
      </c>
      <c r="M408" s="31">
        <f>IF($C408="","",IFERROR(IF(INDEX(Deals!$J$2:$J$355,MATCH($C408,Deals!$A$2:$A$355,0))=0,"",INDEX(Deals!$J$2:$J$355,MATCH($C408,Deals!$A$2:$A$355,0))),""))</f>
        <v/>
      </c>
      <c r="N408" s="24">
        <f>IF($L408="",DATE(1900,1,1),$L408)</f>
        <v/>
      </c>
      <c r="O408" s="24">
        <f>IF($M408="",DATE(2100,12,31),$M408)</f>
        <v/>
      </c>
      <c r="P408" s="16" t="inlineStr">
        <is>
          <t>Waiting Greenlight to kick off diligence.</t>
        </is>
      </c>
      <c r="Q408" s="16" t="inlineStr"/>
      <c r="R408" s="29">
        <f>IF($C408="","",IFERROR(IF(INDEX(Deals!$U$2:$U$355,MATCH($C408,Deals!$A$2:$A$355,0))=0,"",INDEX(Deals!$U$2:$U$355,MATCH($C408,Deals!$A$2:$A$355,0))),""))</f>
        <v/>
      </c>
      <c r="S408" s="22">
        <f>IFERROR(IF($U408="",1,INDEX(Deals!$V$2:$V$355,MATCH($C408,Deals!$A$2:$A$355,0))),1)</f>
        <v/>
      </c>
      <c r="T408" s="22">
        <f>IFERROR(IF($U408="",1,INDEX(Deals!$W$2:$W$355,MATCH($C408,Deals!$A$2:$A$355,0))),1)</f>
        <v/>
      </c>
      <c r="U408" s="31">
        <f>IF($C408="","",IFERROR(IF(INDEX(Deals!$Y$2:$Y$355,MATCH($C408,Deals!$A$2:$A$355,0))=0,"",INDEX(Deals!$Y$2:$Y$355,MATCH($C408,Deals!$A$2:$A$355,0))),""))</f>
        <v/>
      </c>
      <c r="V408" s="24">
        <f>IF($U408="",DATE(1900,1,1),$N408)</f>
        <v/>
      </c>
      <c r="W408" s="24">
        <f>IF($U408="",DATE(2100,12,31),$U408)</f>
        <v/>
      </c>
      <c r="X408" s="20">
        <f>IF($U408="",$K408,$K408*$S408)</f>
        <v/>
      </c>
      <c r="Y408" s="24">
        <f>IF($U408="",DATE(2100,12,31),$U408+1)</f>
        <v/>
      </c>
      <c r="Z408" s="24">
        <f>IF($U408="",DATE(1900,1,1),$O408)</f>
        <v/>
      </c>
      <c r="AA408" s="20">
        <f>IF($U408="",0,$K408*$T408)</f>
        <v/>
      </c>
    </row>
    <row r="409">
      <c r="A409" s="15" t="inlineStr">
        <is>
          <t>Patch</t>
        </is>
      </c>
      <c r="B409" s="29">
        <f>IF($A409="","",IFERROR(INDEX(Roster!$B$2:$B$40,MATCH($A409,Roster!$A$2:$A$40,0)),"?"))</f>
        <v/>
      </c>
      <c r="C409" s="15" t="inlineStr">
        <is>
          <t>Zircon 2_1</t>
        </is>
      </c>
      <c r="D409" s="29">
        <f>IF($C409="","",IFERROR(IF(INDEX(Deals!$C$2:$C$355,MATCH($C409,Deals!$A$2:$A$355,0))=0,"",INDEX(Deals!$C$2:$C$355,MATCH($C409,Deals!$A$2:$A$355,0))),"?"))</f>
        <v/>
      </c>
      <c r="E409" s="29">
        <f>IF($C409="","",IFERROR(INDEX(Deals!$F$2:$F$355,MATCH($C409,Deals!$A$2:$A$355,0)),"?"))</f>
        <v/>
      </c>
      <c r="F409" s="15" t="inlineStr">
        <is>
          <t>VP</t>
        </is>
      </c>
      <c r="G409" s="15" t="inlineStr">
        <is>
          <t>Inactive</t>
        </is>
      </c>
      <c r="H409" s="27" t="n"/>
      <c r="I409" s="20">
        <f>IF(OR($A409="",$G409&lt;&gt;"Active"),0,IF($H409&lt;&gt;"",$H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</f>
        <v/>
      </c>
      <c r="J409" s="23">
        <f>IF($C409="",0,IFERROR(INDEX(Deals!$H$2:$H$355,MATCH($C409,Deals!$A$2:$A$355,0)),0))</f>
        <v/>
      </c>
      <c r="K409" s="20">
        <f>IF(Settings!$B$4="Yes",$I409*$J409,$I409)</f>
        <v/>
      </c>
      <c r="L409" s="31">
        <f>IF($C409="","",IFERROR(IF(INDEX(Deals!$I$2:$I$355,MATCH($C409,Deals!$A$2:$A$355,0))=0,"",INDEX(Deals!$I$2:$I$355,MATCH($C409,Deals!$A$2:$A$355,0))),""))</f>
        <v/>
      </c>
      <c r="M409" s="31">
        <f>IF($C409="","",IFERROR(IF(INDEX(Deals!$J$2:$J$355,MATCH($C409,Deals!$A$2:$A$355,0))=0,"",INDEX(Deals!$J$2:$J$355,MATCH($C409,Deals!$A$2:$A$355,0))),""))</f>
        <v/>
      </c>
      <c r="N409" s="24">
        <f>IF($L409="",DATE(1900,1,1),$L409)</f>
        <v/>
      </c>
      <c r="O409" s="24">
        <f>IF($M409="",DATE(2100,12,31),$M409)</f>
        <v/>
      </c>
      <c r="P409" s="16" t="inlineStr">
        <is>
          <t>Closed</t>
        </is>
      </c>
      <c r="Q409" s="16" t="inlineStr"/>
      <c r="R409" s="29">
        <f>IF($C409="","",IFERROR(IF(INDEX(Deals!$U$2:$U$355,MATCH($C409,Deals!$A$2:$A$355,0))=0,"",INDEX(Deals!$U$2:$U$355,MATCH($C409,Deals!$A$2:$A$355,0))),""))</f>
        <v/>
      </c>
      <c r="S409" s="22">
        <f>IFERROR(IF($U409="",1,INDEX(Deals!$V$2:$V$355,MATCH($C409,Deals!$A$2:$A$355,0))),1)</f>
        <v/>
      </c>
      <c r="T409" s="22">
        <f>IFERROR(IF($U409="",1,INDEX(Deals!$W$2:$W$355,MATCH($C409,Deals!$A$2:$A$355,0))),1)</f>
        <v/>
      </c>
      <c r="U409" s="31">
        <f>IF($C409="","",IFERROR(IF(INDEX(Deals!$Y$2:$Y$355,MATCH($C409,Deals!$A$2:$A$355,0))=0,"",INDEX(Deals!$Y$2:$Y$355,MATCH($C409,Deals!$A$2:$A$355,0))),""))</f>
        <v/>
      </c>
      <c r="V409" s="24">
        <f>IF($U409="",DATE(1900,1,1),$N409)</f>
        <v/>
      </c>
      <c r="W409" s="24">
        <f>IF($U409="",DATE(2100,12,31),$U409)</f>
        <v/>
      </c>
      <c r="X409" s="20">
        <f>IF($U409="",$K409,$K409*$S409)</f>
        <v/>
      </c>
      <c r="Y409" s="24">
        <f>IF($U409="",DATE(2100,12,31),$U409+1)</f>
        <v/>
      </c>
      <c r="Z409" s="24">
        <f>IF($U409="",DATE(1900,1,1),$O409)</f>
        <v/>
      </c>
      <c r="AA409" s="20">
        <f>IF($U409="",0,$K409*$T409)</f>
        <v/>
      </c>
    </row>
    <row r="410">
      <c r="A410" s="15" t="inlineStr">
        <is>
          <t>Patch</t>
        </is>
      </c>
      <c r="B410" s="29">
        <f>IF($A410="","",IFERROR(INDEX(Roster!$B$2:$B$40,MATCH($A410,Roster!$A$2:$A$40,0)),"?"))</f>
        <v/>
      </c>
      <c r="C410" s="15" t="inlineStr">
        <is>
          <t>Zora_1</t>
        </is>
      </c>
      <c r="D410" s="29">
        <f>IF($C410="","",IFERROR(IF(INDEX(Deals!$C$2:$C$355,MATCH($C410,Deals!$A$2:$A$355,0))=0,"",INDEX(Deals!$C$2:$C$355,MATCH($C410,Deals!$A$2:$A$355,0))),"?"))</f>
        <v/>
      </c>
      <c r="E410" s="29">
        <f>IF($C410="","",IFERROR(INDEX(Deals!$F$2:$F$355,MATCH($C410,Deals!$A$2:$A$355,0)),"?"))</f>
        <v/>
      </c>
      <c r="F410" s="15" t="inlineStr">
        <is>
          <t>VP</t>
        </is>
      </c>
      <c r="G410" s="15" t="inlineStr">
        <is>
          <t>Inactive</t>
        </is>
      </c>
      <c r="H410" s="27" t="n"/>
      <c r="I410" s="20">
        <f>IF(OR($A410="",$G410&lt;&gt;"Active"),0,IF($H410&lt;&gt;"",$H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</f>
        <v/>
      </c>
      <c r="J410" s="23">
        <f>IF($C410="",0,IFERROR(INDEX(Deals!$H$2:$H$355,MATCH($C410,Deals!$A$2:$A$355,0)),0))</f>
        <v/>
      </c>
      <c r="K410" s="20">
        <f>IF(Settings!$B$4="Yes",$I410*$J410,$I410)</f>
        <v/>
      </c>
      <c r="L410" s="31">
        <f>IF($C410="","",IFERROR(IF(INDEX(Deals!$I$2:$I$355,MATCH($C410,Deals!$A$2:$A$355,0))=0,"",INDEX(Deals!$I$2:$I$355,MATCH($C410,Deals!$A$2:$A$355,0))),""))</f>
        <v/>
      </c>
      <c r="M410" s="31">
        <f>IF($C410="","",IFERROR(IF(INDEX(Deals!$J$2:$J$355,MATCH($C410,Deals!$A$2:$A$355,0))=0,"",INDEX(Deals!$J$2:$J$355,MATCH($C410,Deals!$A$2:$A$355,0))),""))</f>
        <v/>
      </c>
      <c r="N410" s="24">
        <f>IF($L410="",DATE(1900,1,1),$L410)</f>
        <v/>
      </c>
      <c r="O410" s="24">
        <f>IF($M410="",DATE(2100,12,31),$M410)</f>
        <v/>
      </c>
      <c r="P410" s="16" t="inlineStr">
        <is>
          <t>Pencils Down</t>
        </is>
      </c>
      <c r="Q410" s="16" t="inlineStr"/>
      <c r="R410" s="29">
        <f>IF($C410="","",IFERROR(IF(INDEX(Deals!$U$2:$U$355,MATCH($C410,Deals!$A$2:$A$355,0))=0,"",INDEX(Deals!$U$2:$U$355,MATCH($C410,Deals!$A$2:$A$355,0))),""))</f>
        <v/>
      </c>
      <c r="S410" s="22">
        <f>IFERROR(IF($U410="",1,INDEX(Deals!$V$2:$V$355,MATCH($C410,Deals!$A$2:$A$355,0))),1)</f>
        <v/>
      </c>
      <c r="T410" s="22">
        <f>IFERROR(IF($U410="",1,INDEX(Deals!$W$2:$W$355,MATCH($C410,Deals!$A$2:$A$355,0))),1)</f>
        <v/>
      </c>
      <c r="U410" s="31">
        <f>IF($C410="","",IFERROR(IF(INDEX(Deals!$Y$2:$Y$355,MATCH($C410,Deals!$A$2:$A$355,0))=0,"",INDEX(Deals!$Y$2:$Y$355,MATCH($C410,Deals!$A$2:$A$355,0))),""))</f>
        <v/>
      </c>
      <c r="V410" s="24">
        <f>IF($U410="",DATE(1900,1,1),$N410)</f>
        <v/>
      </c>
      <c r="W410" s="24">
        <f>IF($U410="",DATE(2100,12,31),$U410)</f>
        <v/>
      </c>
      <c r="X410" s="20">
        <f>IF($U410="",$K410,$K410*$S410)</f>
        <v/>
      </c>
      <c r="Y410" s="24">
        <f>IF($U410="",DATE(2100,12,31),$U410+1)</f>
        <v/>
      </c>
      <c r="Z410" s="24">
        <f>IF($U410="",DATE(1900,1,1),$O410)</f>
        <v/>
      </c>
      <c r="AA410" s="20">
        <f>IF($U410="",0,$K410*$T410)</f>
        <v/>
      </c>
    </row>
    <row r="411">
      <c r="A411" s="15" t="inlineStr">
        <is>
          <t>Vidhi</t>
        </is>
      </c>
      <c r="B411" s="29">
        <f>IF($A411="","",IFERROR(INDEX(Roster!$B$2:$B$40,MATCH($A411,Roster!$A$2:$A$40,0)),"?"))</f>
        <v/>
      </c>
      <c r="C411" s="15" t="inlineStr">
        <is>
          <t>Beacon_3</t>
        </is>
      </c>
      <c r="D411" s="29">
        <f>IF($C411="","",IFERROR(IF(INDEX(Deals!$C$2:$C$355,MATCH($C411,Deals!$A$2:$A$355,0))=0,"",INDEX(Deals!$C$2:$C$355,MATCH($C411,Deals!$A$2:$A$355,0))),"?"))</f>
        <v/>
      </c>
      <c r="E411" s="29">
        <f>IF($C411="","",IFERROR(INDEX(Deals!$F$2:$F$355,MATCH($C411,Deals!$A$2:$A$355,0)),"?"))</f>
        <v/>
      </c>
      <c r="F411" s="15" t="inlineStr">
        <is>
          <t>Senior Associate</t>
        </is>
      </c>
      <c r="G411" s="15" t="inlineStr">
        <is>
          <t>Inactive</t>
        </is>
      </c>
      <c r="H411" s="27" t="n"/>
      <c r="I411" s="20">
        <f>IF(OR($A411="",$G411&lt;&gt;"Active"),0,IF($H411&lt;&gt;"",$H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</f>
        <v/>
      </c>
      <c r="J411" s="23">
        <f>IF($C411="",0,IFERROR(INDEX(Deals!$H$2:$H$355,MATCH($C411,Deals!$A$2:$A$355,0)),0))</f>
        <v/>
      </c>
      <c r="K411" s="20">
        <f>IF(Settings!$B$4="Yes",$I411*$J411,$I411)</f>
        <v/>
      </c>
      <c r="L411" s="31">
        <f>IF($C411="","",IFERROR(IF(INDEX(Deals!$I$2:$I$355,MATCH($C411,Deals!$A$2:$A$355,0))=0,"",INDEX(Deals!$I$2:$I$355,MATCH($C411,Deals!$A$2:$A$355,0))),""))</f>
        <v/>
      </c>
      <c r="M411" s="31">
        <f>IF($C411="","",IFERROR(IF(INDEX(Deals!$J$2:$J$355,MATCH($C411,Deals!$A$2:$A$355,0))=0,"",INDEX(Deals!$J$2:$J$355,MATCH($C411,Deals!$A$2:$A$355,0))),""))</f>
        <v/>
      </c>
      <c r="N411" s="24">
        <f>IF($L411="",DATE(1900,1,1),$L411)</f>
        <v/>
      </c>
      <c r="O411" s="24">
        <f>IF($M411="",DATE(2100,12,31),$M411)</f>
        <v/>
      </c>
      <c r="P411" s="16" t="inlineStr"/>
      <c r="Q411" s="16" t="inlineStr">
        <is>
          <t>Deal lifecycle is Dead</t>
        </is>
      </c>
      <c r="R411" s="29">
        <f>IF($C411="","",IFERROR(IF(INDEX(Deals!$U$2:$U$355,MATCH($C411,Deals!$A$2:$A$355,0))=0,"",INDEX(Deals!$U$2:$U$355,MATCH($C411,Deals!$A$2:$A$355,0))),""))</f>
        <v/>
      </c>
      <c r="S411" s="22">
        <f>IFERROR(IF($U411="",1,INDEX(Deals!$V$2:$V$355,MATCH($C411,Deals!$A$2:$A$355,0))),1)</f>
        <v/>
      </c>
      <c r="T411" s="22">
        <f>IFERROR(IF($U411="",1,INDEX(Deals!$W$2:$W$355,MATCH($C411,Deals!$A$2:$A$355,0))),1)</f>
        <v/>
      </c>
      <c r="U411" s="31">
        <f>IF($C411="","",IFERROR(IF(INDEX(Deals!$Y$2:$Y$355,MATCH($C411,Deals!$A$2:$A$355,0))=0,"",INDEX(Deals!$Y$2:$Y$355,MATCH($C411,Deals!$A$2:$A$355,0))),""))</f>
        <v/>
      </c>
      <c r="V411" s="24">
        <f>IF($U411="",DATE(1900,1,1),$N411)</f>
        <v/>
      </c>
      <c r="W411" s="24">
        <f>IF($U411="",DATE(2100,12,31),$U411)</f>
        <v/>
      </c>
      <c r="X411" s="20">
        <f>IF($U411="",$K411,$K411*$S411)</f>
        <v/>
      </c>
      <c r="Y411" s="24">
        <f>IF($U411="",DATE(2100,12,31),$U411+1)</f>
        <v/>
      </c>
      <c r="Z411" s="24">
        <f>IF($U411="",DATE(1900,1,1),$O411)</f>
        <v/>
      </c>
      <c r="AA411" s="20">
        <f>IF($U411="",0,$K411*$T411)</f>
        <v/>
      </c>
    </row>
    <row r="412">
      <c r="A412" s="15" t="inlineStr">
        <is>
          <t>Vidhi</t>
        </is>
      </c>
      <c r="B412" s="29">
        <f>IF($A412="","",IFERROR(INDEX(Roster!$B$2:$B$40,MATCH($A412,Roster!$A$2:$A$40,0)),"?"))</f>
        <v/>
      </c>
      <c r="C412" s="15" t="inlineStr">
        <is>
          <t>Bishopville_1</t>
        </is>
      </c>
      <c r="D412" s="29">
        <f>IF($C412="","",IFERROR(IF(INDEX(Deals!$C$2:$C$355,MATCH($C412,Deals!$A$2:$A$355,0))=0,"",INDEX(Deals!$C$2:$C$355,MATCH($C412,Deals!$A$2:$A$355,0))),"?"))</f>
        <v/>
      </c>
      <c r="E412" s="29">
        <f>IF($C412="","",IFERROR(INDEX(Deals!$F$2:$F$355,MATCH($C412,Deals!$A$2:$A$355,0)),"?"))</f>
        <v/>
      </c>
      <c r="F412" s="15" t="inlineStr">
        <is>
          <t>Senior Associate</t>
        </is>
      </c>
      <c r="G412" s="15" t="inlineStr">
        <is>
          <t>Active</t>
        </is>
      </c>
      <c r="H412" s="27" t="n"/>
      <c r="I412" s="20">
        <f>IF(OR($A412="",$G412&lt;&gt;"Active"),0,IF($H412&lt;&gt;"",$H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</f>
        <v/>
      </c>
      <c r="J412" s="23">
        <f>IF($C412="",0,IFERROR(INDEX(Deals!$H$2:$H$355,MATCH($C412,Deals!$A$2:$A$355,0)),0))</f>
        <v/>
      </c>
      <c r="K412" s="20">
        <f>IF(Settings!$B$4="Yes",$I412*$J412,$I412)</f>
        <v/>
      </c>
      <c r="L412" s="31">
        <f>IF($C412="","",IFERROR(IF(INDEX(Deals!$I$2:$I$355,MATCH($C412,Deals!$A$2:$A$355,0))=0,"",INDEX(Deals!$I$2:$I$355,MATCH($C412,Deals!$A$2:$A$355,0))),""))</f>
        <v/>
      </c>
      <c r="M412" s="31">
        <f>IF($C412="","",IFERROR(IF(INDEX(Deals!$J$2:$J$355,MATCH($C412,Deals!$A$2:$A$355,0))=0,"",INDEX(Deals!$J$2:$J$355,MATCH($C412,Deals!$A$2:$A$355,0))),""))</f>
        <v/>
      </c>
      <c r="N412" s="24">
        <f>IF($L412="",DATE(1900,1,1),$L412)</f>
        <v/>
      </c>
      <c r="O412" s="24">
        <f>IF($M412="",DATE(2100,12,31),$M412)</f>
        <v/>
      </c>
      <c r="P412" s="16" t="inlineStr"/>
      <c r="Q412" s="16" t="inlineStr"/>
      <c r="R412" s="29">
        <f>IF($C412="","",IFERROR(IF(INDEX(Deals!$U$2:$U$355,MATCH($C412,Deals!$A$2:$A$355,0))=0,"",INDEX(Deals!$U$2:$U$355,MATCH($C412,Deals!$A$2:$A$355,0))),""))</f>
        <v/>
      </c>
      <c r="S412" s="22">
        <f>IFERROR(IF($U412="",1,INDEX(Deals!$V$2:$V$355,MATCH($C412,Deals!$A$2:$A$355,0))),1)</f>
        <v/>
      </c>
      <c r="T412" s="22">
        <f>IFERROR(IF($U412="",1,INDEX(Deals!$W$2:$W$355,MATCH($C412,Deals!$A$2:$A$355,0))),1)</f>
        <v/>
      </c>
      <c r="U412" s="31">
        <f>IF($C412="","",IFERROR(IF(INDEX(Deals!$Y$2:$Y$355,MATCH($C412,Deals!$A$2:$A$355,0))=0,"",INDEX(Deals!$Y$2:$Y$355,MATCH($C412,Deals!$A$2:$A$355,0))),""))</f>
        <v/>
      </c>
      <c r="V412" s="24">
        <f>IF($U412="",DATE(1900,1,1),$N412)</f>
        <v/>
      </c>
      <c r="W412" s="24">
        <f>IF($U412="",DATE(2100,12,31),$U412)</f>
        <v/>
      </c>
      <c r="X412" s="20">
        <f>IF($U412="",$K412,$K412*$S412)</f>
        <v/>
      </c>
      <c r="Y412" s="24">
        <f>IF($U412="",DATE(2100,12,31),$U412+1)</f>
        <v/>
      </c>
      <c r="Z412" s="24">
        <f>IF($U412="",DATE(1900,1,1),$O412)</f>
        <v/>
      </c>
      <c r="AA412" s="20">
        <f>IF($U412="",0,$K412*$T412)</f>
        <v/>
      </c>
    </row>
    <row r="413">
      <c r="A413" s="15" t="inlineStr">
        <is>
          <t>Vidhi</t>
        </is>
      </c>
      <c r="B413" s="29">
        <f>IF($A413="","",IFERROR(INDEX(Roster!$B$2:$B$40,MATCH($A413,Roster!$A$2:$A$40,0)),"?"))</f>
        <v/>
      </c>
      <c r="C413" s="15" t="inlineStr">
        <is>
          <t>Brass_2</t>
        </is>
      </c>
      <c r="D413" s="29">
        <f>IF($C413="","",IFERROR(IF(INDEX(Deals!$C$2:$C$355,MATCH($C413,Deals!$A$2:$A$355,0))=0,"",INDEX(Deals!$C$2:$C$355,MATCH($C413,Deals!$A$2:$A$355,0))),"?"))</f>
        <v/>
      </c>
      <c r="E413" s="29">
        <f>IF($C413="","",IFERROR(INDEX(Deals!$F$2:$F$355,MATCH($C413,Deals!$A$2:$A$355,0)),"?"))</f>
        <v/>
      </c>
      <c r="F413" s="15" t="inlineStr">
        <is>
          <t>Senior Associate</t>
        </is>
      </c>
      <c r="G413" s="15" t="inlineStr">
        <is>
          <t>Active</t>
        </is>
      </c>
      <c r="H413" s="27" t="n"/>
      <c r="I413" s="20">
        <f>IF(OR($A413="",$G413&lt;&gt;"Active"),0,IF($H413&lt;&gt;"",$H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</f>
        <v/>
      </c>
      <c r="J413" s="23">
        <f>IF($C413="",0,IFERROR(INDEX(Deals!$H$2:$H$355,MATCH($C413,Deals!$A$2:$A$355,0)),0))</f>
        <v/>
      </c>
      <c r="K413" s="20">
        <f>IF(Settings!$B$4="Yes",$I413*$J413,$I413)</f>
        <v/>
      </c>
      <c r="L413" s="31">
        <f>IF($C413="","",IFERROR(IF(INDEX(Deals!$I$2:$I$355,MATCH($C413,Deals!$A$2:$A$355,0))=0,"",INDEX(Deals!$I$2:$I$355,MATCH($C413,Deals!$A$2:$A$355,0))),""))</f>
        <v/>
      </c>
      <c r="M413" s="31">
        <f>IF($C413="","",IFERROR(IF(INDEX(Deals!$J$2:$J$355,MATCH($C413,Deals!$A$2:$A$355,0))=0,"",INDEX(Deals!$J$2:$J$355,MATCH($C413,Deals!$A$2:$A$355,0))),""))</f>
        <v/>
      </c>
      <c r="N413" s="24">
        <f>IF($L413="",DATE(1900,1,1),$L413)</f>
        <v/>
      </c>
      <c r="O413" s="24">
        <f>IF($M413="",DATE(2100,12,31),$M413)</f>
        <v/>
      </c>
      <c r="P413" s="16" t="inlineStr"/>
      <c r="Q413" s="16" t="inlineStr"/>
      <c r="R413" s="29">
        <f>IF($C413="","",IFERROR(IF(INDEX(Deals!$U$2:$U$355,MATCH($C413,Deals!$A$2:$A$355,0))=0,"",INDEX(Deals!$U$2:$U$355,MATCH($C413,Deals!$A$2:$A$355,0))),""))</f>
        <v/>
      </c>
      <c r="S413" s="22">
        <f>IFERROR(IF($U413="",1,INDEX(Deals!$V$2:$V$355,MATCH($C413,Deals!$A$2:$A$355,0))),1)</f>
        <v/>
      </c>
      <c r="T413" s="22">
        <f>IFERROR(IF($U413="",1,INDEX(Deals!$W$2:$W$355,MATCH($C413,Deals!$A$2:$A$355,0))),1)</f>
        <v/>
      </c>
      <c r="U413" s="31">
        <f>IF($C413="","",IFERROR(IF(INDEX(Deals!$Y$2:$Y$355,MATCH($C413,Deals!$A$2:$A$355,0))=0,"",INDEX(Deals!$Y$2:$Y$355,MATCH($C413,Deals!$A$2:$A$355,0))),""))</f>
        <v/>
      </c>
      <c r="V413" s="24">
        <f>IF($U413="",DATE(1900,1,1),$N413)</f>
        <v/>
      </c>
      <c r="W413" s="24">
        <f>IF($U413="",DATE(2100,12,31),$U413)</f>
        <v/>
      </c>
      <c r="X413" s="20">
        <f>IF($U413="",$K413,$K413*$S413)</f>
        <v/>
      </c>
      <c r="Y413" s="24">
        <f>IF($U413="",DATE(2100,12,31),$U413+1)</f>
        <v/>
      </c>
      <c r="Z413" s="24">
        <f>IF($U413="",DATE(1900,1,1),$O413)</f>
        <v/>
      </c>
      <c r="AA413" s="20">
        <f>IF($U413="",0,$K413*$T413)</f>
        <v/>
      </c>
    </row>
    <row r="414">
      <c r="A414" s="15" t="inlineStr">
        <is>
          <t>Vidhi</t>
        </is>
      </c>
      <c r="B414" s="29">
        <f>IF($A414="","",IFERROR(INDEX(Roster!$B$2:$B$40,MATCH($A414,Roster!$A$2:$A$40,0)),"?"))</f>
        <v/>
      </c>
      <c r="C414" s="15" t="inlineStr">
        <is>
          <t>Breakaway_1</t>
        </is>
      </c>
      <c r="D414" s="29">
        <f>IF($C414="","",IFERROR(IF(INDEX(Deals!$C$2:$C$355,MATCH($C414,Deals!$A$2:$A$355,0))=0,"",INDEX(Deals!$C$2:$C$355,MATCH($C414,Deals!$A$2:$A$355,0))),"?"))</f>
        <v/>
      </c>
      <c r="E414" s="29">
        <f>IF($C414="","",IFERROR(INDEX(Deals!$F$2:$F$355,MATCH($C414,Deals!$A$2:$A$355,0)),"?"))</f>
        <v/>
      </c>
      <c r="F414" s="15" t="inlineStr">
        <is>
          <t>Senior Associate</t>
        </is>
      </c>
      <c r="G414" s="15" t="inlineStr">
        <is>
          <t>Active</t>
        </is>
      </c>
      <c r="H414" s="27" t="n"/>
      <c r="I414" s="20">
        <f>IF(OR($A414="",$G414&lt;&gt;"Active"),0,IF($H414&lt;&gt;"",$H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</f>
        <v/>
      </c>
      <c r="J414" s="23">
        <f>IF($C414="",0,IFERROR(INDEX(Deals!$H$2:$H$355,MATCH($C414,Deals!$A$2:$A$355,0)),0))</f>
        <v/>
      </c>
      <c r="K414" s="20">
        <f>IF(Settings!$B$4="Yes",$I414*$J414,$I414)</f>
        <v/>
      </c>
      <c r="L414" s="31">
        <f>IF($C414="","",IFERROR(IF(INDEX(Deals!$I$2:$I$355,MATCH($C414,Deals!$A$2:$A$355,0))=0,"",INDEX(Deals!$I$2:$I$355,MATCH($C414,Deals!$A$2:$A$355,0))),""))</f>
        <v/>
      </c>
      <c r="M414" s="31">
        <f>IF($C414="","",IFERROR(IF(INDEX(Deals!$J$2:$J$355,MATCH($C414,Deals!$A$2:$A$355,0))=0,"",INDEX(Deals!$J$2:$J$355,MATCH($C414,Deals!$A$2:$A$355,0))),""))</f>
        <v/>
      </c>
      <c r="N414" s="24">
        <f>IF($L414="",DATE(1900,1,1),$L414)</f>
        <v/>
      </c>
      <c r="O414" s="24">
        <f>IF($M414="",DATE(2100,12,31),$M414)</f>
        <v/>
      </c>
      <c r="P414" s="16" t="inlineStr"/>
      <c r="Q414" s="16" t="inlineStr">
        <is>
          <t>Added from Summary tab</t>
        </is>
      </c>
      <c r="R414" s="29">
        <f>IF($C414="","",IFERROR(IF(INDEX(Deals!$U$2:$U$355,MATCH($C414,Deals!$A$2:$A$355,0))=0,"",INDEX(Deals!$U$2:$U$355,MATCH($C414,Deals!$A$2:$A$355,0))),""))</f>
        <v/>
      </c>
      <c r="S414" s="22">
        <f>IFERROR(IF($U414="",1,INDEX(Deals!$V$2:$V$355,MATCH($C414,Deals!$A$2:$A$355,0))),1)</f>
        <v/>
      </c>
      <c r="T414" s="22">
        <f>IFERROR(IF($U414="",1,INDEX(Deals!$W$2:$W$355,MATCH($C414,Deals!$A$2:$A$355,0))),1)</f>
        <v/>
      </c>
      <c r="U414" s="31">
        <f>IF($C414="","",IFERROR(IF(INDEX(Deals!$Y$2:$Y$355,MATCH($C414,Deals!$A$2:$A$355,0))=0,"",INDEX(Deals!$Y$2:$Y$355,MATCH($C414,Deals!$A$2:$A$355,0))),""))</f>
        <v/>
      </c>
      <c r="V414" s="24">
        <f>IF($U414="",DATE(1900,1,1),$N414)</f>
        <v/>
      </c>
      <c r="W414" s="24">
        <f>IF($U414="",DATE(2100,12,31),$U414)</f>
        <v/>
      </c>
      <c r="X414" s="20">
        <f>IF($U414="",$K414,$K414*$S414)</f>
        <v/>
      </c>
      <c r="Y414" s="24">
        <f>IF($U414="",DATE(2100,12,31),$U414+1)</f>
        <v/>
      </c>
      <c r="Z414" s="24">
        <f>IF($U414="",DATE(1900,1,1),$O414)</f>
        <v/>
      </c>
      <c r="AA414" s="20">
        <f>IF($U414="",0,$K414*$T414)</f>
        <v/>
      </c>
    </row>
    <row r="415">
      <c r="A415" s="15" t="inlineStr">
        <is>
          <t>Vidhi</t>
        </is>
      </c>
      <c r="B415" s="29">
        <f>IF($A415="","",IFERROR(INDEX(Roster!$B$2:$B$40,MATCH($A415,Roster!$A$2:$A$40,0)),"?"))</f>
        <v/>
      </c>
      <c r="C415" s="15" t="inlineStr">
        <is>
          <t>Camaro_1</t>
        </is>
      </c>
      <c r="D415" s="29">
        <f>IF($C415="","",IFERROR(IF(INDEX(Deals!$C$2:$C$355,MATCH($C415,Deals!$A$2:$A$355,0))=0,"",INDEX(Deals!$C$2:$C$355,MATCH($C415,Deals!$A$2:$A$355,0))),"?"))</f>
        <v/>
      </c>
      <c r="E415" s="29">
        <f>IF($C415="","",IFERROR(INDEX(Deals!$F$2:$F$355,MATCH($C415,Deals!$A$2:$A$355,0)),"?"))</f>
        <v/>
      </c>
      <c r="F415" s="15" t="inlineStr">
        <is>
          <t>Senior Associate</t>
        </is>
      </c>
      <c r="G415" s="15" t="inlineStr">
        <is>
          <t>Active</t>
        </is>
      </c>
      <c r="H415" s="27" t="n"/>
      <c r="I415" s="20">
        <f>IF(OR($A415="",$G415&lt;&gt;"Active"),0,IF($H415&lt;&gt;"",$H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</f>
        <v/>
      </c>
      <c r="J415" s="23">
        <f>IF($C415="",0,IFERROR(INDEX(Deals!$H$2:$H$355,MATCH($C415,Deals!$A$2:$A$355,0)),0))</f>
        <v/>
      </c>
      <c r="K415" s="20">
        <f>IF(Settings!$B$4="Yes",$I415*$J415,$I415)</f>
        <v/>
      </c>
      <c r="L415" s="31">
        <f>IF($C415="","",IFERROR(IF(INDEX(Deals!$I$2:$I$355,MATCH($C415,Deals!$A$2:$A$355,0))=0,"",INDEX(Deals!$I$2:$I$355,MATCH($C415,Deals!$A$2:$A$355,0))),""))</f>
        <v/>
      </c>
      <c r="M415" s="31">
        <f>IF($C415="","",IFERROR(IF(INDEX(Deals!$J$2:$J$355,MATCH($C415,Deals!$A$2:$A$355,0))=0,"",INDEX(Deals!$J$2:$J$355,MATCH($C415,Deals!$A$2:$A$355,0))),""))</f>
        <v/>
      </c>
      <c r="N415" s="24">
        <f>IF($L415="",DATE(1900,1,1),$L415)</f>
        <v/>
      </c>
      <c r="O415" s="24">
        <f>IF($M415="",DATE(2100,12,31),$M415)</f>
        <v/>
      </c>
      <c r="P415" s="16" t="inlineStr"/>
      <c r="Q415" s="16" t="inlineStr"/>
      <c r="R415" s="29">
        <f>IF($C415="","",IFERROR(IF(INDEX(Deals!$U$2:$U$355,MATCH($C415,Deals!$A$2:$A$355,0))=0,"",INDEX(Deals!$U$2:$U$355,MATCH($C415,Deals!$A$2:$A$355,0))),""))</f>
        <v/>
      </c>
      <c r="S415" s="22">
        <f>IFERROR(IF($U415="",1,INDEX(Deals!$V$2:$V$355,MATCH($C415,Deals!$A$2:$A$355,0))),1)</f>
        <v/>
      </c>
      <c r="T415" s="22">
        <f>IFERROR(IF($U415="",1,INDEX(Deals!$W$2:$W$355,MATCH($C415,Deals!$A$2:$A$355,0))),1)</f>
        <v/>
      </c>
      <c r="U415" s="31">
        <f>IF($C415="","",IFERROR(IF(INDEX(Deals!$Y$2:$Y$355,MATCH($C415,Deals!$A$2:$A$355,0))=0,"",INDEX(Deals!$Y$2:$Y$355,MATCH($C415,Deals!$A$2:$A$355,0))),""))</f>
        <v/>
      </c>
      <c r="V415" s="24">
        <f>IF($U415="",DATE(1900,1,1),$N415)</f>
        <v/>
      </c>
      <c r="W415" s="24">
        <f>IF($U415="",DATE(2100,12,31),$U415)</f>
        <v/>
      </c>
      <c r="X415" s="20">
        <f>IF($U415="",$K415,$K415*$S415)</f>
        <v/>
      </c>
      <c r="Y415" s="24">
        <f>IF($U415="",DATE(2100,12,31),$U415+1)</f>
        <v/>
      </c>
      <c r="Z415" s="24">
        <f>IF($U415="",DATE(1900,1,1),$O415)</f>
        <v/>
      </c>
      <c r="AA415" s="20">
        <f>IF($U415="",0,$K415*$T415)</f>
        <v/>
      </c>
    </row>
    <row r="416">
      <c r="A416" s="15" t="inlineStr">
        <is>
          <t>Vidhi</t>
        </is>
      </c>
      <c r="B416" s="29">
        <f>IF($A416="","",IFERROR(INDEX(Roster!$B$2:$B$40,MATCH($A416,Roster!$A$2:$A$40,0)),"?"))</f>
        <v/>
      </c>
      <c r="C416" s="15" t="inlineStr">
        <is>
          <t>Care_1</t>
        </is>
      </c>
      <c r="D416" s="29">
        <f>IF($C416="","",IFERROR(IF(INDEX(Deals!$C$2:$C$355,MATCH($C416,Deals!$A$2:$A$355,0))=0,"",INDEX(Deals!$C$2:$C$355,MATCH($C416,Deals!$A$2:$A$355,0))),"?"))</f>
        <v/>
      </c>
      <c r="E416" s="29">
        <f>IF($C416="","",IFERROR(INDEX(Deals!$F$2:$F$355,MATCH($C416,Deals!$A$2:$A$355,0)),"?"))</f>
        <v/>
      </c>
      <c r="F416" s="15" t="inlineStr">
        <is>
          <t>Senior Associate</t>
        </is>
      </c>
      <c r="G416" s="15" t="inlineStr">
        <is>
          <t>Active</t>
        </is>
      </c>
      <c r="H416" s="27" t="n"/>
      <c r="I416" s="20">
        <f>IF(OR($A416="",$G416&lt;&gt;"Active"),0,IF($H416&lt;&gt;"",$H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</f>
        <v/>
      </c>
      <c r="J416" s="23">
        <f>IF($C416="",0,IFERROR(INDEX(Deals!$H$2:$H$355,MATCH($C416,Deals!$A$2:$A$355,0)),0))</f>
        <v/>
      </c>
      <c r="K416" s="20">
        <f>IF(Settings!$B$4="Yes",$I416*$J416,$I416)</f>
        <v/>
      </c>
      <c r="L416" s="31">
        <f>IF($C416="","",IFERROR(IF(INDEX(Deals!$I$2:$I$355,MATCH($C416,Deals!$A$2:$A$355,0))=0,"",INDEX(Deals!$I$2:$I$355,MATCH($C416,Deals!$A$2:$A$355,0))),""))</f>
        <v/>
      </c>
      <c r="M416" s="31">
        <f>IF($C416="","",IFERROR(IF(INDEX(Deals!$J$2:$J$355,MATCH($C416,Deals!$A$2:$A$355,0))=0,"",INDEX(Deals!$J$2:$J$355,MATCH($C416,Deals!$A$2:$A$355,0))),""))</f>
        <v/>
      </c>
      <c r="N416" s="24">
        <f>IF($L416="",DATE(1900,1,1),$L416)</f>
        <v/>
      </c>
      <c r="O416" s="24">
        <f>IF($M416="",DATE(2100,12,31),$M416)</f>
        <v/>
      </c>
      <c r="P416" s="16" t="inlineStr"/>
      <c r="Q416" s="16" t="inlineStr"/>
      <c r="R416" s="29">
        <f>IF($C416="","",IFERROR(IF(INDEX(Deals!$U$2:$U$355,MATCH($C416,Deals!$A$2:$A$355,0))=0,"",INDEX(Deals!$U$2:$U$355,MATCH($C416,Deals!$A$2:$A$355,0))),""))</f>
        <v/>
      </c>
      <c r="S416" s="22">
        <f>IFERROR(IF($U416="",1,INDEX(Deals!$V$2:$V$355,MATCH($C416,Deals!$A$2:$A$355,0))),1)</f>
        <v/>
      </c>
      <c r="T416" s="22">
        <f>IFERROR(IF($U416="",1,INDEX(Deals!$W$2:$W$355,MATCH($C416,Deals!$A$2:$A$355,0))),1)</f>
        <v/>
      </c>
      <c r="U416" s="31">
        <f>IF($C416="","",IFERROR(IF(INDEX(Deals!$Y$2:$Y$355,MATCH($C416,Deals!$A$2:$A$355,0))=0,"",INDEX(Deals!$Y$2:$Y$355,MATCH($C416,Deals!$A$2:$A$355,0))),""))</f>
        <v/>
      </c>
      <c r="V416" s="24">
        <f>IF($U416="",DATE(1900,1,1),$N416)</f>
        <v/>
      </c>
      <c r="W416" s="24">
        <f>IF($U416="",DATE(2100,12,31),$U416)</f>
        <v/>
      </c>
      <c r="X416" s="20">
        <f>IF($U416="",$K416,$K416*$S416)</f>
        <v/>
      </c>
      <c r="Y416" s="24">
        <f>IF($U416="",DATE(2100,12,31),$U416+1)</f>
        <v/>
      </c>
      <c r="Z416" s="24">
        <f>IF($U416="",DATE(1900,1,1),$O416)</f>
        <v/>
      </c>
      <c r="AA416" s="20">
        <f>IF($U416="",0,$K416*$T416)</f>
        <v/>
      </c>
    </row>
    <row r="417">
      <c r="A417" s="15" t="inlineStr">
        <is>
          <t>Vidhi</t>
        </is>
      </c>
      <c r="B417" s="29">
        <f>IF($A417="","",IFERROR(INDEX(Roster!$B$2:$B$40,MATCH($A417,Roster!$A$2:$A$40,0)),"?"))</f>
        <v/>
      </c>
      <c r="C417" s="15" t="inlineStr">
        <is>
          <t>Chicago RE_1</t>
        </is>
      </c>
      <c r="D417" s="29">
        <f>IF($C417="","",IFERROR(IF(INDEX(Deals!$C$2:$C$355,MATCH($C417,Deals!$A$2:$A$355,0))=0,"",INDEX(Deals!$C$2:$C$355,MATCH($C417,Deals!$A$2:$A$355,0))),"?"))</f>
        <v/>
      </c>
      <c r="E417" s="29">
        <f>IF($C417="","",IFERROR(INDEX(Deals!$F$2:$F$355,MATCH($C417,Deals!$A$2:$A$355,0)),"?"))</f>
        <v/>
      </c>
      <c r="F417" s="15" t="inlineStr">
        <is>
          <t>Senior Associate</t>
        </is>
      </c>
      <c r="G417" s="15" t="inlineStr">
        <is>
          <t>Active</t>
        </is>
      </c>
      <c r="H417" s="27" t="n"/>
      <c r="I417" s="20">
        <f>IF(OR($A417="",$G417&lt;&gt;"Active"),0,IF($H417&lt;&gt;"",$H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</f>
        <v/>
      </c>
      <c r="J417" s="23">
        <f>IF($C417="",0,IFERROR(INDEX(Deals!$H$2:$H$355,MATCH($C417,Deals!$A$2:$A$355,0)),0))</f>
        <v/>
      </c>
      <c r="K417" s="20">
        <f>IF(Settings!$B$4="Yes",$I417*$J417,$I417)</f>
        <v/>
      </c>
      <c r="L417" s="31">
        <f>IF($C417="","",IFERROR(IF(INDEX(Deals!$I$2:$I$355,MATCH($C417,Deals!$A$2:$A$355,0))=0,"",INDEX(Deals!$I$2:$I$355,MATCH($C417,Deals!$A$2:$A$355,0))),""))</f>
        <v/>
      </c>
      <c r="M417" s="31">
        <f>IF($C417="","",IFERROR(IF(INDEX(Deals!$J$2:$J$355,MATCH($C417,Deals!$A$2:$A$355,0))=0,"",INDEX(Deals!$J$2:$J$355,MATCH($C417,Deals!$A$2:$A$355,0))),""))</f>
        <v/>
      </c>
      <c r="N417" s="24">
        <f>IF($L417="",DATE(1900,1,1),$L417)</f>
        <v/>
      </c>
      <c r="O417" s="24">
        <f>IF($M417="",DATE(2100,12,31),$M417)</f>
        <v/>
      </c>
      <c r="P417" s="16" t="inlineStr"/>
      <c r="Q417" s="16" t="inlineStr"/>
      <c r="R417" s="29">
        <f>IF($C417="","",IFERROR(IF(INDEX(Deals!$U$2:$U$355,MATCH($C417,Deals!$A$2:$A$355,0))=0,"",INDEX(Deals!$U$2:$U$355,MATCH($C417,Deals!$A$2:$A$355,0))),""))</f>
        <v/>
      </c>
      <c r="S417" s="22">
        <f>IFERROR(IF($U417="",1,INDEX(Deals!$V$2:$V$355,MATCH($C417,Deals!$A$2:$A$355,0))),1)</f>
        <v/>
      </c>
      <c r="T417" s="22">
        <f>IFERROR(IF($U417="",1,INDEX(Deals!$W$2:$W$355,MATCH($C417,Deals!$A$2:$A$355,0))),1)</f>
        <v/>
      </c>
      <c r="U417" s="31">
        <f>IF($C417="","",IFERROR(IF(INDEX(Deals!$Y$2:$Y$355,MATCH($C417,Deals!$A$2:$A$355,0))=0,"",INDEX(Deals!$Y$2:$Y$355,MATCH($C417,Deals!$A$2:$A$355,0))),""))</f>
        <v/>
      </c>
      <c r="V417" s="24">
        <f>IF($U417="",DATE(1900,1,1),$N417)</f>
        <v/>
      </c>
      <c r="W417" s="24">
        <f>IF($U417="",DATE(2100,12,31),$U417)</f>
        <v/>
      </c>
      <c r="X417" s="20">
        <f>IF($U417="",$K417,$K417*$S417)</f>
        <v/>
      </c>
      <c r="Y417" s="24">
        <f>IF($U417="",DATE(2100,12,31),$U417+1)</f>
        <v/>
      </c>
      <c r="Z417" s="24">
        <f>IF($U417="",DATE(1900,1,1),$O417)</f>
        <v/>
      </c>
      <c r="AA417" s="20">
        <f>IF($U417="",0,$K417*$T417)</f>
        <v/>
      </c>
    </row>
    <row r="418">
      <c r="A418" s="15" t="inlineStr">
        <is>
          <t>Vidhi</t>
        </is>
      </c>
      <c r="B418" s="29">
        <f>IF($A418="","",IFERROR(INDEX(Roster!$B$2:$B$40,MATCH($A418,Roster!$A$2:$A$40,0)),"?"))</f>
        <v/>
      </c>
      <c r="C418" s="15" t="inlineStr">
        <is>
          <t>Circuit_1</t>
        </is>
      </c>
      <c r="D418" s="29">
        <f>IF($C418="","",IFERROR(IF(INDEX(Deals!$C$2:$C$355,MATCH($C418,Deals!$A$2:$A$355,0))=0,"",INDEX(Deals!$C$2:$C$355,MATCH($C418,Deals!$A$2:$A$355,0))),"?"))</f>
        <v/>
      </c>
      <c r="E418" s="29">
        <f>IF($C418="","",IFERROR(INDEX(Deals!$F$2:$F$355,MATCH($C418,Deals!$A$2:$A$355,0)),"?"))</f>
        <v/>
      </c>
      <c r="F418" s="15" t="inlineStr">
        <is>
          <t>Senior Associate</t>
        </is>
      </c>
      <c r="G418" s="15" t="inlineStr">
        <is>
          <t>Active</t>
        </is>
      </c>
      <c r="H418" s="27" t="n"/>
      <c r="I418" s="20">
        <f>IF(OR($A418="",$G418&lt;&gt;"Active"),0,IF($H418&lt;&gt;"",$H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</f>
        <v/>
      </c>
      <c r="J418" s="23">
        <f>IF($C418="",0,IFERROR(INDEX(Deals!$H$2:$H$355,MATCH($C418,Deals!$A$2:$A$355,0)),0))</f>
        <v/>
      </c>
      <c r="K418" s="20">
        <f>IF(Settings!$B$4="Yes",$I418*$J418,$I418)</f>
        <v/>
      </c>
      <c r="L418" s="31">
        <f>IF($C418="","",IFERROR(IF(INDEX(Deals!$I$2:$I$355,MATCH($C418,Deals!$A$2:$A$355,0))=0,"",INDEX(Deals!$I$2:$I$355,MATCH($C418,Deals!$A$2:$A$355,0))),""))</f>
        <v/>
      </c>
      <c r="M418" s="31">
        <f>IF($C418="","",IFERROR(IF(INDEX(Deals!$J$2:$J$355,MATCH($C418,Deals!$A$2:$A$355,0))=0,"",INDEX(Deals!$J$2:$J$355,MATCH($C418,Deals!$A$2:$A$355,0))),""))</f>
        <v/>
      </c>
      <c r="N418" s="24">
        <f>IF($L418="",DATE(1900,1,1),$L418)</f>
        <v/>
      </c>
      <c r="O418" s="24">
        <f>IF($M418="",DATE(2100,12,31),$M418)</f>
        <v/>
      </c>
      <c r="P418" s="16" t="inlineStr"/>
      <c r="Q418" s="16" t="inlineStr"/>
      <c r="R418" s="29">
        <f>IF($C418="","",IFERROR(IF(INDEX(Deals!$U$2:$U$355,MATCH($C418,Deals!$A$2:$A$355,0))=0,"",INDEX(Deals!$U$2:$U$355,MATCH($C418,Deals!$A$2:$A$355,0))),""))</f>
        <v/>
      </c>
      <c r="S418" s="22">
        <f>IFERROR(IF($U418="",1,INDEX(Deals!$V$2:$V$355,MATCH($C418,Deals!$A$2:$A$355,0))),1)</f>
        <v/>
      </c>
      <c r="T418" s="22">
        <f>IFERROR(IF($U418="",1,INDEX(Deals!$W$2:$W$355,MATCH($C418,Deals!$A$2:$A$355,0))),1)</f>
        <v/>
      </c>
      <c r="U418" s="31">
        <f>IF($C418="","",IFERROR(IF(INDEX(Deals!$Y$2:$Y$355,MATCH($C418,Deals!$A$2:$A$355,0))=0,"",INDEX(Deals!$Y$2:$Y$355,MATCH($C418,Deals!$A$2:$A$355,0))),""))</f>
        <v/>
      </c>
      <c r="V418" s="24">
        <f>IF($U418="",DATE(1900,1,1),$N418)</f>
        <v/>
      </c>
      <c r="W418" s="24">
        <f>IF($U418="",DATE(2100,12,31),$U418)</f>
        <v/>
      </c>
      <c r="X418" s="20">
        <f>IF($U418="",$K418,$K418*$S418)</f>
        <v/>
      </c>
      <c r="Y418" s="24">
        <f>IF($U418="",DATE(2100,12,31),$U418+1)</f>
        <v/>
      </c>
      <c r="Z418" s="24">
        <f>IF($U418="",DATE(1900,1,1),$O418)</f>
        <v/>
      </c>
      <c r="AA418" s="20">
        <f>IF($U418="",0,$K418*$T418)</f>
        <v/>
      </c>
    </row>
    <row r="419">
      <c r="A419" s="15" t="inlineStr">
        <is>
          <t>Vidhi</t>
        </is>
      </c>
      <c r="B419" s="29">
        <f>IF($A419="","",IFERROR(INDEX(Roster!$B$2:$B$40,MATCH($A419,Roster!$A$2:$A$40,0)),"?"))</f>
        <v/>
      </c>
      <c r="C419" s="15" t="inlineStr">
        <is>
          <t>Cohost_1</t>
        </is>
      </c>
      <c r="D419" s="29">
        <f>IF($C419="","",IFERROR(IF(INDEX(Deals!$C$2:$C$355,MATCH($C419,Deals!$A$2:$A$355,0))=0,"",INDEX(Deals!$C$2:$C$355,MATCH($C419,Deals!$A$2:$A$355,0))),"?"))</f>
        <v/>
      </c>
      <c r="E419" s="29">
        <f>IF($C419="","",IFERROR(INDEX(Deals!$F$2:$F$355,MATCH($C419,Deals!$A$2:$A$355,0)),"?"))</f>
        <v/>
      </c>
      <c r="F419" s="15" t="inlineStr">
        <is>
          <t>Senior Associate</t>
        </is>
      </c>
      <c r="G419" s="15" t="inlineStr">
        <is>
          <t>Active</t>
        </is>
      </c>
      <c r="H419" s="27" t="n"/>
      <c r="I419" s="20">
        <f>IF(OR($A419="",$G419&lt;&gt;"Active"),0,IF($H419&lt;&gt;"",$H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</f>
        <v/>
      </c>
      <c r="J419" s="23">
        <f>IF($C419="",0,IFERROR(INDEX(Deals!$H$2:$H$355,MATCH($C419,Deals!$A$2:$A$355,0)),0))</f>
        <v/>
      </c>
      <c r="K419" s="20">
        <f>IF(Settings!$B$4="Yes",$I419*$J419,$I419)</f>
        <v/>
      </c>
      <c r="L419" s="31">
        <f>IF($C419="","",IFERROR(IF(INDEX(Deals!$I$2:$I$355,MATCH($C419,Deals!$A$2:$A$355,0))=0,"",INDEX(Deals!$I$2:$I$355,MATCH($C419,Deals!$A$2:$A$355,0))),""))</f>
        <v/>
      </c>
      <c r="M419" s="31">
        <f>IF($C419="","",IFERROR(IF(INDEX(Deals!$J$2:$J$355,MATCH($C419,Deals!$A$2:$A$355,0))=0,"",INDEX(Deals!$J$2:$J$355,MATCH($C419,Deals!$A$2:$A$355,0))),""))</f>
        <v/>
      </c>
      <c r="N419" s="24">
        <f>IF($L419="",DATE(1900,1,1),$L419)</f>
        <v/>
      </c>
      <c r="O419" s="24">
        <f>IF($M419="",DATE(2100,12,31),$M419)</f>
        <v/>
      </c>
      <c r="P419" s="16" t="inlineStr"/>
      <c r="Q419" s="16" t="inlineStr"/>
      <c r="R419" s="29">
        <f>IF($C419="","",IFERROR(IF(INDEX(Deals!$U$2:$U$355,MATCH($C419,Deals!$A$2:$A$355,0))=0,"",INDEX(Deals!$U$2:$U$355,MATCH($C419,Deals!$A$2:$A$355,0))),""))</f>
        <v/>
      </c>
      <c r="S419" s="22">
        <f>IFERROR(IF($U419="",1,INDEX(Deals!$V$2:$V$355,MATCH($C419,Deals!$A$2:$A$355,0))),1)</f>
        <v/>
      </c>
      <c r="T419" s="22">
        <f>IFERROR(IF($U419="",1,INDEX(Deals!$W$2:$W$355,MATCH($C419,Deals!$A$2:$A$355,0))),1)</f>
        <v/>
      </c>
      <c r="U419" s="31">
        <f>IF($C419="","",IFERROR(IF(INDEX(Deals!$Y$2:$Y$355,MATCH($C419,Deals!$A$2:$A$355,0))=0,"",INDEX(Deals!$Y$2:$Y$355,MATCH($C419,Deals!$A$2:$A$355,0))),""))</f>
        <v/>
      </c>
      <c r="V419" s="24">
        <f>IF($U419="",DATE(1900,1,1),$N419)</f>
        <v/>
      </c>
      <c r="W419" s="24">
        <f>IF($U419="",DATE(2100,12,31),$U419)</f>
        <v/>
      </c>
      <c r="X419" s="20">
        <f>IF($U419="",$K419,$K419*$S419)</f>
        <v/>
      </c>
      <c r="Y419" s="24">
        <f>IF($U419="",DATE(2100,12,31),$U419+1)</f>
        <v/>
      </c>
      <c r="Z419" s="24">
        <f>IF($U419="",DATE(1900,1,1),$O419)</f>
        <v/>
      </c>
      <c r="AA419" s="20">
        <f>IF($U419="",0,$K419*$T419)</f>
        <v/>
      </c>
    </row>
    <row r="420">
      <c r="A420" s="15" t="inlineStr">
        <is>
          <t>Vidhi</t>
        </is>
      </c>
      <c r="B420" s="29">
        <f>IF($A420="","",IFERROR(INDEX(Roster!$B$2:$B$40,MATCH($A420,Roster!$A$2:$A$40,0)),"?"))</f>
        <v/>
      </c>
      <c r="C420" s="15" t="inlineStr">
        <is>
          <t>Concrete_1</t>
        </is>
      </c>
      <c r="D420" s="29">
        <f>IF($C420="","",IFERROR(IF(INDEX(Deals!$C$2:$C$355,MATCH($C420,Deals!$A$2:$A$355,0))=0,"",INDEX(Deals!$C$2:$C$355,MATCH($C420,Deals!$A$2:$A$355,0))),"?"))</f>
        <v/>
      </c>
      <c r="E420" s="29">
        <f>IF($C420="","",IFERROR(INDEX(Deals!$F$2:$F$355,MATCH($C420,Deals!$A$2:$A$355,0)),"?"))</f>
        <v/>
      </c>
      <c r="F420" s="15" t="inlineStr">
        <is>
          <t>Senior Associate</t>
        </is>
      </c>
      <c r="G420" s="15" t="inlineStr">
        <is>
          <t>Active</t>
        </is>
      </c>
      <c r="H420" s="27" t="n"/>
      <c r="I420" s="20">
        <f>IF(OR($A420="",$G420&lt;&gt;"Active"),0,IF($H420&lt;&gt;"",$H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</f>
        <v/>
      </c>
      <c r="J420" s="23">
        <f>IF($C420="",0,IFERROR(INDEX(Deals!$H$2:$H$355,MATCH($C420,Deals!$A$2:$A$355,0)),0))</f>
        <v/>
      </c>
      <c r="K420" s="20">
        <f>IF(Settings!$B$4="Yes",$I420*$J420,$I420)</f>
        <v/>
      </c>
      <c r="L420" s="31">
        <f>IF($C420="","",IFERROR(IF(INDEX(Deals!$I$2:$I$355,MATCH($C420,Deals!$A$2:$A$355,0))=0,"",INDEX(Deals!$I$2:$I$355,MATCH($C420,Deals!$A$2:$A$355,0))),""))</f>
        <v/>
      </c>
      <c r="M420" s="31">
        <f>IF($C420="","",IFERROR(IF(INDEX(Deals!$J$2:$J$355,MATCH($C420,Deals!$A$2:$A$355,0))=0,"",INDEX(Deals!$J$2:$J$355,MATCH($C420,Deals!$A$2:$A$355,0))),""))</f>
        <v/>
      </c>
      <c r="N420" s="24">
        <f>IF($L420="",DATE(1900,1,1),$L420)</f>
        <v/>
      </c>
      <c r="O420" s="24">
        <f>IF($M420="",DATE(2100,12,31),$M420)</f>
        <v/>
      </c>
      <c r="P420" s="16" t="inlineStr"/>
      <c r="Q420" s="16" t="inlineStr"/>
      <c r="R420" s="29">
        <f>IF($C420="","",IFERROR(IF(INDEX(Deals!$U$2:$U$355,MATCH($C420,Deals!$A$2:$A$355,0))=0,"",INDEX(Deals!$U$2:$U$355,MATCH($C420,Deals!$A$2:$A$355,0))),""))</f>
        <v/>
      </c>
      <c r="S420" s="22">
        <f>IFERROR(IF($U420="",1,INDEX(Deals!$V$2:$V$355,MATCH($C420,Deals!$A$2:$A$355,0))),1)</f>
        <v/>
      </c>
      <c r="T420" s="22">
        <f>IFERROR(IF($U420="",1,INDEX(Deals!$W$2:$W$355,MATCH($C420,Deals!$A$2:$A$355,0))),1)</f>
        <v/>
      </c>
      <c r="U420" s="31">
        <f>IF($C420="","",IFERROR(IF(INDEX(Deals!$Y$2:$Y$355,MATCH($C420,Deals!$A$2:$A$355,0))=0,"",INDEX(Deals!$Y$2:$Y$355,MATCH($C420,Deals!$A$2:$A$355,0))),""))</f>
        <v/>
      </c>
      <c r="V420" s="24">
        <f>IF($U420="",DATE(1900,1,1),$N420)</f>
        <v/>
      </c>
      <c r="W420" s="24">
        <f>IF($U420="",DATE(2100,12,31),$U420)</f>
        <v/>
      </c>
      <c r="X420" s="20">
        <f>IF($U420="",$K420,$K420*$S420)</f>
        <v/>
      </c>
      <c r="Y420" s="24">
        <f>IF($U420="",DATE(2100,12,31),$U420+1)</f>
        <v/>
      </c>
      <c r="Z420" s="24">
        <f>IF($U420="",DATE(1900,1,1),$O420)</f>
        <v/>
      </c>
      <c r="AA420" s="20">
        <f>IF($U420="",0,$K420*$T420)</f>
        <v/>
      </c>
    </row>
    <row r="421">
      <c r="A421" s="15" t="inlineStr">
        <is>
          <t>Vidhi</t>
        </is>
      </c>
      <c r="B421" s="29">
        <f>IF($A421="","",IFERROR(INDEX(Roster!$B$2:$B$40,MATCH($A421,Roster!$A$2:$A$40,0)),"?"))</f>
        <v/>
      </c>
      <c r="C421" s="15" t="inlineStr">
        <is>
          <t>Medicis_1</t>
        </is>
      </c>
      <c r="D421" s="29">
        <f>IF($C421="","",IFERROR(IF(INDEX(Deals!$C$2:$C$355,MATCH($C421,Deals!$A$2:$A$355,0))=0,"",INDEX(Deals!$C$2:$C$355,MATCH($C421,Deals!$A$2:$A$355,0))),"?"))</f>
        <v/>
      </c>
      <c r="E421" s="29">
        <f>IF($C421="","",IFERROR(INDEX(Deals!$F$2:$F$355,MATCH($C421,Deals!$A$2:$A$355,0)),"?"))</f>
        <v/>
      </c>
      <c r="F421" s="15" t="inlineStr">
        <is>
          <t>Senior Associate</t>
        </is>
      </c>
      <c r="G421" s="15" t="inlineStr">
        <is>
          <t>Active</t>
        </is>
      </c>
      <c r="H421" s="27" t="n"/>
      <c r="I421" s="20">
        <f>IF(OR($A421="",$G421&lt;&gt;"Active"),0,IF($H421&lt;&gt;"",$H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</f>
        <v/>
      </c>
      <c r="J421" s="23">
        <f>IF($C421="",0,IFERROR(INDEX(Deals!$H$2:$H$355,MATCH($C421,Deals!$A$2:$A$355,0)),0))</f>
        <v/>
      </c>
      <c r="K421" s="20">
        <f>IF(Settings!$B$4="Yes",$I421*$J421,$I421)</f>
        <v/>
      </c>
      <c r="L421" s="31">
        <f>IF($C421="","",IFERROR(IF(INDEX(Deals!$I$2:$I$355,MATCH($C421,Deals!$A$2:$A$355,0))=0,"",INDEX(Deals!$I$2:$I$355,MATCH($C421,Deals!$A$2:$A$355,0))),""))</f>
        <v/>
      </c>
      <c r="M421" s="31">
        <f>IF($C421="","",IFERROR(IF(INDEX(Deals!$J$2:$J$355,MATCH($C421,Deals!$A$2:$A$355,0))=0,"",INDEX(Deals!$J$2:$J$355,MATCH($C421,Deals!$A$2:$A$355,0))),""))</f>
        <v/>
      </c>
      <c r="N421" s="24">
        <f>IF($L421="",DATE(1900,1,1),$L421)</f>
        <v/>
      </c>
      <c r="O421" s="24">
        <f>IF($M421="",DATE(2100,12,31),$M421)</f>
        <v/>
      </c>
      <c r="P421" s="16" t="inlineStr"/>
      <c r="Q421" s="16" t="inlineStr"/>
      <c r="R421" s="29">
        <f>IF($C421="","",IFERROR(IF(INDEX(Deals!$U$2:$U$355,MATCH($C421,Deals!$A$2:$A$355,0))=0,"",INDEX(Deals!$U$2:$U$355,MATCH($C421,Deals!$A$2:$A$355,0))),""))</f>
        <v/>
      </c>
      <c r="S421" s="22">
        <f>IFERROR(IF($U421="",1,INDEX(Deals!$V$2:$V$355,MATCH($C421,Deals!$A$2:$A$355,0))),1)</f>
        <v/>
      </c>
      <c r="T421" s="22">
        <f>IFERROR(IF($U421="",1,INDEX(Deals!$W$2:$W$355,MATCH($C421,Deals!$A$2:$A$355,0))),1)</f>
        <v/>
      </c>
      <c r="U421" s="31">
        <f>IF($C421="","",IFERROR(IF(INDEX(Deals!$Y$2:$Y$355,MATCH($C421,Deals!$A$2:$A$355,0))=0,"",INDEX(Deals!$Y$2:$Y$355,MATCH($C421,Deals!$A$2:$A$355,0))),""))</f>
        <v/>
      </c>
      <c r="V421" s="24">
        <f>IF($U421="",DATE(1900,1,1),$N421)</f>
        <v/>
      </c>
      <c r="W421" s="24">
        <f>IF($U421="",DATE(2100,12,31),$U421)</f>
        <v/>
      </c>
      <c r="X421" s="20">
        <f>IF($U421="",$K421,$K421*$S421)</f>
        <v/>
      </c>
      <c r="Y421" s="24">
        <f>IF($U421="",DATE(2100,12,31),$U421+1)</f>
        <v/>
      </c>
      <c r="Z421" s="24">
        <f>IF($U421="",DATE(1900,1,1),$O421)</f>
        <v/>
      </c>
      <c r="AA421" s="20">
        <f>IF($U421="",0,$K421*$T421)</f>
        <v/>
      </c>
    </row>
    <row r="422">
      <c r="A422" s="15" t="inlineStr">
        <is>
          <t>Vidhi</t>
        </is>
      </c>
      <c r="B422" s="29">
        <f>IF($A422="","",IFERROR(INDEX(Roster!$B$2:$B$40,MATCH($A422,Roster!$A$2:$A$40,0)),"?"))</f>
        <v/>
      </c>
      <c r="C422" s="15" t="inlineStr">
        <is>
          <t>MIF_1</t>
        </is>
      </c>
      <c r="D422" s="29">
        <f>IF($C422="","",IFERROR(IF(INDEX(Deals!$C$2:$C$355,MATCH($C422,Deals!$A$2:$A$355,0))=0,"",INDEX(Deals!$C$2:$C$355,MATCH($C422,Deals!$A$2:$A$355,0))),"?"))</f>
        <v/>
      </c>
      <c r="E422" s="29">
        <f>IF($C422="","",IFERROR(INDEX(Deals!$F$2:$F$355,MATCH($C422,Deals!$A$2:$A$355,0)),"?"))</f>
        <v/>
      </c>
      <c r="F422" s="15" t="inlineStr">
        <is>
          <t>Senior Associate</t>
        </is>
      </c>
      <c r="G422" s="15" t="inlineStr">
        <is>
          <t>Active</t>
        </is>
      </c>
      <c r="H422" s="27" t="n"/>
      <c r="I422" s="20">
        <f>IF(OR($A422="",$G422&lt;&gt;"Active"),0,IF($H422&lt;&gt;"",$H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</f>
        <v/>
      </c>
      <c r="J422" s="23">
        <f>IF($C422="",0,IFERROR(INDEX(Deals!$H$2:$H$355,MATCH($C422,Deals!$A$2:$A$355,0)),0))</f>
        <v/>
      </c>
      <c r="K422" s="20">
        <f>IF(Settings!$B$4="Yes",$I422*$J422,$I422)</f>
        <v/>
      </c>
      <c r="L422" s="31">
        <f>IF($C422="","",IFERROR(IF(INDEX(Deals!$I$2:$I$355,MATCH($C422,Deals!$A$2:$A$355,0))=0,"",INDEX(Deals!$I$2:$I$355,MATCH($C422,Deals!$A$2:$A$355,0))),""))</f>
        <v/>
      </c>
      <c r="M422" s="31">
        <f>IF($C422="","",IFERROR(IF(INDEX(Deals!$J$2:$J$355,MATCH($C422,Deals!$A$2:$A$355,0))=0,"",INDEX(Deals!$J$2:$J$355,MATCH($C422,Deals!$A$2:$A$355,0))),""))</f>
        <v/>
      </c>
      <c r="N422" s="24">
        <f>IF($L422="",DATE(1900,1,1),$L422)</f>
        <v/>
      </c>
      <c r="O422" s="24">
        <f>IF($M422="",DATE(2100,12,31),$M422)</f>
        <v/>
      </c>
      <c r="P422" s="16" t="inlineStr"/>
      <c r="Q422" s="16" t="inlineStr"/>
      <c r="R422" s="29">
        <f>IF($C422="","",IFERROR(IF(INDEX(Deals!$U$2:$U$355,MATCH($C422,Deals!$A$2:$A$355,0))=0,"",INDEX(Deals!$U$2:$U$355,MATCH($C422,Deals!$A$2:$A$355,0))),""))</f>
        <v/>
      </c>
      <c r="S422" s="22">
        <f>IFERROR(IF($U422="",1,INDEX(Deals!$V$2:$V$355,MATCH($C422,Deals!$A$2:$A$355,0))),1)</f>
        <v/>
      </c>
      <c r="T422" s="22">
        <f>IFERROR(IF($U422="",1,INDEX(Deals!$W$2:$W$355,MATCH($C422,Deals!$A$2:$A$355,0))),1)</f>
        <v/>
      </c>
      <c r="U422" s="31">
        <f>IF($C422="","",IFERROR(IF(INDEX(Deals!$Y$2:$Y$355,MATCH($C422,Deals!$A$2:$A$355,0))=0,"",INDEX(Deals!$Y$2:$Y$355,MATCH($C422,Deals!$A$2:$A$355,0))),""))</f>
        <v/>
      </c>
      <c r="V422" s="24">
        <f>IF($U422="",DATE(1900,1,1),$N422)</f>
        <v/>
      </c>
      <c r="W422" s="24">
        <f>IF($U422="",DATE(2100,12,31),$U422)</f>
        <v/>
      </c>
      <c r="X422" s="20">
        <f>IF($U422="",$K422,$K422*$S422)</f>
        <v/>
      </c>
      <c r="Y422" s="24">
        <f>IF($U422="",DATE(2100,12,31),$U422+1)</f>
        <v/>
      </c>
      <c r="Z422" s="24">
        <f>IF($U422="",DATE(1900,1,1),$O422)</f>
        <v/>
      </c>
      <c r="AA422" s="20">
        <f>IF($U422="",0,$K422*$T422)</f>
        <v/>
      </c>
    </row>
    <row r="423">
      <c r="A423" s="15" t="inlineStr">
        <is>
          <t>Vidhi</t>
        </is>
      </c>
      <c r="B423" s="29">
        <f>IF($A423="","",IFERROR(INDEX(Roster!$B$2:$B$40,MATCH($A423,Roster!$A$2:$A$40,0)),"?"))</f>
        <v/>
      </c>
      <c r="C423" s="15" t="inlineStr">
        <is>
          <t>Pocket_1</t>
        </is>
      </c>
      <c r="D423" s="29">
        <f>IF($C423="","",IFERROR(IF(INDEX(Deals!$C$2:$C$355,MATCH($C423,Deals!$A$2:$A$355,0))=0,"",INDEX(Deals!$C$2:$C$355,MATCH($C423,Deals!$A$2:$A$355,0))),"?"))</f>
        <v/>
      </c>
      <c r="E423" s="29">
        <f>IF($C423="","",IFERROR(INDEX(Deals!$F$2:$F$355,MATCH($C423,Deals!$A$2:$A$355,0)),"?"))</f>
        <v/>
      </c>
      <c r="F423" s="15" t="inlineStr">
        <is>
          <t>Senior Associate</t>
        </is>
      </c>
      <c r="G423" s="15" t="inlineStr">
        <is>
          <t>Active</t>
        </is>
      </c>
      <c r="H423" s="27" t="n"/>
      <c r="I423" s="20">
        <f>IF(OR($A423="",$G423&lt;&gt;"Active"),0,IF($H423&lt;&gt;"",$H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</f>
        <v/>
      </c>
      <c r="J423" s="23">
        <f>IF($C423="",0,IFERROR(INDEX(Deals!$H$2:$H$355,MATCH($C423,Deals!$A$2:$A$355,0)),0))</f>
        <v/>
      </c>
      <c r="K423" s="20">
        <f>IF(Settings!$B$4="Yes",$I423*$J423,$I423)</f>
        <v/>
      </c>
      <c r="L423" s="31">
        <f>IF($C423="","",IFERROR(IF(INDEX(Deals!$I$2:$I$355,MATCH($C423,Deals!$A$2:$A$355,0))=0,"",INDEX(Deals!$I$2:$I$355,MATCH($C423,Deals!$A$2:$A$355,0))),""))</f>
        <v/>
      </c>
      <c r="M423" s="31">
        <f>IF($C423="","",IFERROR(IF(INDEX(Deals!$J$2:$J$355,MATCH($C423,Deals!$A$2:$A$355,0))=0,"",INDEX(Deals!$J$2:$J$355,MATCH($C423,Deals!$A$2:$A$355,0))),""))</f>
        <v/>
      </c>
      <c r="N423" s="24">
        <f>IF($L423="",DATE(1900,1,1),$L423)</f>
        <v/>
      </c>
      <c r="O423" s="24">
        <f>IF($M423="",DATE(2100,12,31),$M423)</f>
        <v/>
      </c>
      <c r="P423" s="16" t="inlineStr"/>
      <c r="Q423" s="16" t="inlineStr"/>
      <c r="R423" s="29">
        <f>IF($C423="","",IFERROR(IF(INDEX(Deals!$U$2:$U$355,MATCH($C423,Deals!$A$2:$A$355,0))=0,"",INDEX(Deals!$U$2:$U$355,MATCH($C423,Deals!$A$2:$A$355,0))),""))</f>
        <v/>
      </c>
      <c r="S423" s="22">
        <f>IFERROR(IF($U423="",1,INDEX(Deals!$V$2:$V$355,MATCH($C423,Deals!$A$2:$A$355,0))),1)</f>
        <v/>
      </c>
      <c r="T423" s="22">
        <f>IFERROR(IF($U423="",1,INDEX(Deals!$W$2:$W$355,MATCH($C423,Deals!$A$2:$A$355,0))),1)</f>
        <v/>
      </c>
      <c r="U423" s="31">
        <f>IF($C423="","",IFERROR(IF(INDEX(Deals!$Y$2:$Y$355,MATCH($C423,Deals!$A$2:$A$355,0))=0,"",INDEX(Deals!$Y$2:$Y$355,MATCH($C423,Deals!$A$2:$A$355,0))),""))</f>
        <v/>
      </c>
      <c r="V423" s="24">
        <f>IF($U423="",DATE(1900,1,1),$N423)</f>
        <v/>
      </c>
      <c r="W423" s="24">
        <f>IF($U423="",DATE(2100,12,31),$U423)</f>
        <v/>
      </c>
      <c r="X423" s="20">
        <f>IF($U423="",$K423,$K423*$S423)</f>
        <v/>
      </c>
      <c r="Y423" s="24">
        <f>IF($U423="",DATE(2100,12,31),$U423+1)</f>
        <v/>
      </c>
      <c r="Z423" s="24">
        <f>IF($U423="",DATE(1900,1,1),$O423)</f>
        <v/>
      </c>
      <c r="AA423" s="20">
        <f>IF($U423="",0,$K423*$T423)</f>
        <v/>
      </c>
    </row>
    <row r="424">
      <c r="A424" s="15" t="inlineStr">
        <is>
          <t>Vidhi</t>
        </is>
      </c>
      <c r="B424" s="29">
        <f>IF($A424="","",IFERROR(INDEX(Roster!$B$2:$B$40,MATCH($A424,Roster!$A$2:$A$40,0)),"?"))</f>
        <v/>
      </c>
      <c r="C424" s="15" t="inlineStr">
        <is>
          <t>Prince_2</t>
        </is>
      </c>
      <c r="D424" s="29">
        <f>IF($C424="","",IFERROR(IF(INDEX(Deals!$C$2:$C$355,MATCH($C424,Deals!$A$2:$A$355,0))=0,"",INDEX(Deals!$C$2:$C$355,MATCH($C424,Deals!$A$2:$A$355,0))),"?"))</f>
        <v/>
      </c>
      <c r="E424" s="29">
        <f>IF($C424="","",IFERROR(INDEX(Deals!$F$2:$F$355,MATCH($C424,Deals!$A$2:$A$355,0)),"?"))</f>
        <v/>
      </c>
      <c r="F424" s="15" t="inlineStr">
        <is>
          <t>Senior Associate</t>
        </is>
      </c>
      <c r="G424" s="15" t="inlineStr">
        <is>
          <t>Active</t>
        </is>
      </c>
      <c r="H424" s="27" t="n"/>
      <c r="I424" s="20">
        <f>IF(OR($A424="",$G424&lt;&gt;"Active"),0,IF($H424&lt;&gt;"",$H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</f>
        <v/>
      </c>
      <c r="J424" s="23">
        <f>IF($C424="",0,IFERROR(INDEX(Deals!$H$2:$H$355,MATCH($C424,Deals!$A$2:$A$355,0)),0))</f>
        <v/>
      </c>
      <c r="K424" s="20">
        <f>IF(Settings!$B$4="Yes",$I424*$J424,$I424)</f>
        <v/>
      </c>
      <c r="L424" s="31">
        <f>IF($C424="","",IFERROR(IF(INDEX(Deals!$I$2:$I$355,MATCH($C424,Deals!$A$2:$A$355,0))=0,"",INDEX(Deals!$I$2:$I$355,MATCH($C424,Deals!$A$2:$A$355,0))),""))</f>
        <v/>
      </c>
      <c r="M424" s="31">
        <f>IF($C424="","",IFERROR(IF(INDEX(Deals!$J$2:$J$355,MATCH($C424,Deals!$A$2:$A$355,0))=0,"",INDEX(Deals!$J$2:$J$355,MATCH($C424,Deals!$A$2:$A$355,0))),""))</f>
        <v/>
      </c>
      <c r="N424" s="24">
        <f>IF($L424="",DATE(1900,1,1),$L424)</f>
        <v/>
      </c>
      <c r="O424" s="24">
        <f>IF($M424="",DATE(2100,12,31),$M424)</f>
        <v/>
      </c>
      <c r="P424" s="16" t="inlineStr"/>
      <c r="Q424" s="16" t="inlineStr"/>
      <c r="R424" s="29">
        <f>IF($C424="","",IFERROR(IF(INDEX(Deals!$U$2:$U$355,MATCH($C424,Deals!$A$2:$A$355,0))=0,"",INDEX(Deals!$U$2:$U$355,MATCH($C424,Deals!$A$2:$A$355,0))),""))</f>
        <v/>
      </c>
      <c r="S424" s="22">
        <f>IFERROR(IF($U424="",1,INDEX(Deals!$V$2:$V$355,MATCH($C424,Deals!$A$2:$A$355,0))),1)</f>
        <v/>
      </c>
      <c r="T424" s="22">
        <f>IFERROR(IF($U424="",1,INDEX(Deals!$W$2:$W$355,MATCH($C424,Deals!$A$2:$A$355,0))),1)</f>
        <v/>
      </c>
      <c r="U424" s="31">
        <f>IF($C424="","",IFERROR(IF(INDEX(Deals!$Y$2:$Y$355,MATCH($C424,Deals!$A$2:$A$355,0))=0,"",INDEX(Deals!$Y$2:$Y$355,MATCH($C424,Deals!$A$2:$A$355,0))),""))</f>
        <v/>
      </c>
      <c r="V424" s="24">
        <f>IF($U424="",DATE(1900,1,1),$N424)</f>
        <v/>
      </c>
      <c r="W424" s="24">
        <f>IF($U424="",DATE(2100,12,31),$U424)</f>
        <v/>
      </c>
      <c r="X424" s="20">
        <f>IF($U424="",$K424,$K424*$S424)</f>
        <v/>
      </c>
      <c r="Y424" s="24">
        <f>IF($U424="",DATE(2100,12,31),$U424+1)</f>
        <v/>
      </c>
      <c r="Z424" s="24">
        <f>IF($U424="",DATE(1900,1,1),$O424)</f>
        <v/>
      </c>
      <c r="AA424" s="20">
        <f>IF($U424="",0,$K424*$T424)</f>
        <v/>
      </c>
    </row>
    <row r="425">
      <c r="A425" s="15" t="inlineStr">
        <is>
          <t>Vidhi</t>
        </is>
      </c>
      <c r="B425" s="29">
        <f>IF($A425="","",IFERROR(INDEX(Roster!$B$2:$B$40,MATCH($A425,Roster!$A$2:$A$40,0)),"?"))</f>
        <v/>
      </c>
      <c r="C425" s="15" t="inlineStr">
        <is>
          <t>Prolydian_1</t>
        </is>
      </c>
      <c r="D425" s="29">
        <f>IF($C425="","",IFERROR(IF(INDEX(Deals!$C$2:$C$355,MATCH($C425,Deals!$A$2:$A$355,0))=0,"",INDEX(Deals!$C$2:$C$355,MATCH($C425,Deals!$A$2:$A$355,0))),"?"))</f>
        <v/>
      </c>
      <c r="E425" s="29">
        <f>IF($C425="","",IFERROR(INDEX(Deals!$F$2:$F$355,MATCH($C425,Deals!$A$2:$A$355,0)),"?"))</f>
        <v/>
      </c>
      <c r="F425" s="15" t="inlineStr">
        <is>
          <t>Senior Associate</t>
        </is>
      </c>
      <c r="G425" s="15" t="inlineStr">
        <is>
          <t>Active</t>
        </is>
      </c>
      <c r="H425" s="27" t="n"/>
      <c r="I425" s="20">
        <f>IF(OR($A425="",$G425&lt;&gt;"Active"),0,IF($H425&lt;&gt;"",$H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</f>
        <v/>
      </c>
      <c r="J425" s="23">
        <f>IF($C425="",0,IFERROR(INDEX(Deals!$H$2:$H$355,MATCH($C425,Deals!$A$2:$A$355,0)),0))</f>
        <v/>
      </c>
      <c r="K425" s="20">
        <f>IF(Settings!$B$4="Yes",$I425*$J425,$I425)</f>
        <v/>
      </c>
      <c r="L425" s="31">
        <f>IF($C425="","",IFERROR(IF(INDEX(Deals!$I$2:$I$355,MATCH($C425,Deals!$A$2:$A$355,0))=0,"",INDEX(Deals!$I$2:$I$355,MATCH($C425,Deals!$A$2:$A$355,0))),""))</f>
        <v/>
      </c>
      <c r="M425" s="31">
        <f>IF($C425="","",IFERROR(IF(INDEX(Deals!$J$2:$J$355,MATCH($C425,Deals!$A$2:$A$355,0))=0,"",INDEX(Deals!$J$2:$J$355,MATCH($C425,Deals!$A$2:$A$355,0))),""))</f>
        <v/>
      </c>
      <c r="N425" s="24">
        <f>IF($L425="",DATE(1900,1,1),$L425)</f>
        <v/>
      </c>
      <c r="O425" s="24">
        <f>IF($M425="",DATE(2100,12,31),$M425)</f>
        <v/>
      </c>
      <c r="P425" s="16" t="inlineStr"/>
      <c r="Q425" s="16" t="inlineStr"/>
      <c r="R425" s="29">
        <f>IF($C425="","",IFERROR(IF(INDEX(Deals!$U$2:$U$355,MATCH($C425,Deals!$A$2:$A$355,0))=0,"",INDEX(Deals!$U$2:$U$355,MATCH($C425,Deals!$A$2:$A$355,0))),""))</f>
        <v/>
      </c>
      <c r="S425" s="22">
        <f>IFERROR(IF($U425="",1,INDEX(Deals!$V$2:$V$355,MATCH($C425,Deals!$A$2:$A$355,0))),1)</f>
        <v/>
      </c>
      <c r="T425" s="22">
        <f>IFERROR(IF($U425="",1,INDEX(Deals!$W$2:$W$355,MATCH($C425,Deals!$A$2:$A$355,0))),1)</f>
        <v/>
      </c>
      <c r="U425" s="31">
        <f>IF($C425="","",IFERROR(IF(INDEX(Deals!$Y$2:$Y$355,MATCH($C425,Deals!$A$2:$A$355,0))=0,"",INDEX(Deals!$Y$2:$Y$355,MATCH($C425,Deals!$A$2:$A$355,0))),""))</f>
        <v/>
      </c>
      <c r="V425" s="24">
        <f>IF($U425="",DATE(1900,1,1),$N425)</f>
        <v/>
      </c>
      <c r="W425" s="24">
        <f>IF($U425="",DATE(2100,12,31),$U425)</f>
        <v/>
      </c>
      <c r="X425" s="20">
        <f>IF($U425="",$K425,$K425*$S425)</f>
        <v/>
      </c>
      <c r="Y425" s="24">
        <f>IF($U425="",DATE(2100,12,31),$U425+1)</f>
        <v/>
      </c>
      <c r="Z425" s="24">
        <f>IF($U425="",DATE(1900,1,1),$O425)</f>
        <v/>
      </c>
      <c r="AA425" s="20">
        <f>IF($U425="",0,$K425*$T425)</f>
        <v/>
      </c>
    </row>
    <row r="426">
      <c r="A426" s="15" t="inlineStr">
        <is>
          <t>Vidhi</t>
        </is>
      </c>
      <c r="B426" s="29">
        <f>IF($A426="","",IFERROR(INDEX(Roster!$B$2:$B$40,MATCH($A426,Roster!$A$2:$A$40,0)),"?"))</f>
        <v/>
      </c>
      <c r="C426" s="15" t="inlineStr">
        <is>
          <t>Pythagoras_1</t>
        </is>
      </c>
      <c r="D426" s="29">
        <f>IF($C426="","",IFERROR(IF(INDEX(Deals!$C$2:$C$355,MATCH($C426,Deals!$A$2:$A$355,0))=0,"",INDEX(Deals!$C$2:$C$355,MATCH($C426,Deals!$A$2:$A$355,0))),"?"))</f>
        <v/>
      </c>
      <c r="E426" s="29">
        <f>IF($C426="","",IFERROR(INDEX(Deals!$F$2:$F$355,MATCH($C426,Deals!$A$2:$A$355,0)),"?"))</f>
        <v/>
      </c>
      <c r="F426" s="15" t="inlineStr">
        <is>
          <t>Senior Associate</t>
        </is>
      </c>
      <c r="G426" s="15" t="inlineStr">
        <is>
          <t>Active</t>
        </is>
      </c>
      <c r="H426" s="27" t="n"/>
      <c r="I426" s="20">
        <f>IF(OR($A426="",$G426&lt;&gt;"Active"),0,IF($H426&lt;&gt;"",$H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</f>
        <v/>
      </c>
      <c r="J426" s="23">
        <f>IF($C426="",0,IFERROR(INDEX(Deals!$H$2:$H$355,MATCH($C426,Deals!$A$2:$A$355,0)),0))</f>
        <v/>
      </c>
      <c r="K426" s="20">
        <f>IF(Settings!$B$4="Yes",$I426*$J426,$I426)</f>
        <v/>
      </c>
      <c r="L426" s="31">
        <f>IF($C426="","",IFERROR(IF(INDEX(Deals!$I$2:$I$355,MATCH($C426,Deals!$A$2:$A$355,0))=0,"",INDEX(Deals!$I$2:$I$355,MATCH($C426,Deals!$A$2:$A$355,0))),""))</f>
        <v/>
      </c>
      <c r="M426" s="31">
        <f>IF($C426="","",IFERROR(IF(INDEX(Deals!$J$2:$J$355,MATCH($C426,Deals!$A$2:$A$355,0))=0,"",INDEX(Deals!$J$2:$J$355,MATCH($C426,Deals!$A$2:$A$355,0))),""))</f>
        <v/>
      </c>
      <c r="N426" s="24">
        <f>IF($L426="",DATE(1900,1,1),$L426)</f>
        <v/>
      </c>
      <c r="O426" s="24">
        <f>IF($M426="",DATE(2100,12,31),$M426)</f>
        <v/>
      </c>
      <c r="P426" s="16" t="inlineStr"/>
      <c r="Q426" s="16" t="inlineStr"/>
      <c r="R426" s="29">
        <f>IF($C426="","",IFERROR(IF(INDEX(Deals!$U$2:$U$355,MATCH($C426,Deals!$A$2:$A$355,0))=0,"",INDEX(Deals!$U$2:$U$355,MATCH($C426,Deals!$A$2:$A$355,0))),""))</f>
        <v/>
      </c>
      <c r="S426" s="22">
        <f>IFERROR(IF($U426="",1,INDEX(Deals!$V$2:$V$355,MATCH($C426,Deals!$A$2:$A$355,0))),1)</f>
        <v/>
      </c>
      <c r="T426" s="22">
        <f>IFERROR(IF($U426="",1,INDEX(Deals!$W$2:$W$355,MATCH($C426,Deals!$A$2:$A$355,0))),1)</f>
        <v/>
      </c>
      <c r="U426" s="31">
        <f>IF($C426="","",IFERROR(IF(INDEX(Deals!$Y$2:$Y$355,MATCH($C426,Deals!$A$2:$A$355,0))=0,"",INDEX(Deals!$Y$2:$Y$355,MATCH($C426,Deals!$A$2:$A$355,0))),""))</f>
        <v/>
      </c>
      <c r="V426" s="24">
        <f>IF($U426="",DATE(1900,1,1),$N426)</f>
        <v/>
      </c>
      <c r="W426" s="24">
        <f>IF($U426="",DATE(2100,12,31),$U426)</f>
        <v/>
      </c>
      <c r="X426" s="20">
        <f>IF($U426="",$K426,$K426*$S426)</f>
        <v/>
      </c>
      <c r="Y426" s="24">
        <f>IF($U426="",DATE(2100,12,31),$U426+1)</f>
        <v/>
      </c>
      <c r="Z426" s="24">
        <f>IF($U426="",DATE(1900,1,1),$O426)</f>
        <v/>
      </c>
      <c r="AA426" s="20">
        <f>IF($U426="",0,$K426*$T426)</f>
        <v/>
      </c>
    </row>
    <row r="427">
      <c r="A427" s="15" t="inlineStr">
        <is>
          <t>Vidhi</t>
        </is>
      </c>
      <c r="B427" s="29">
        <f>IF($A427="","",IFERROR(INDEX(Roster!$B$2:$B$40,MATCH($A427,Roster!$A$2:$A$40,0)),"?"))</f>
        <v/>
      </c>
      <c r="C427" s="15" t="inlineStr">
        <is>
          <t>Redwood_1</t>
        </is>
      </c>
      <c r="D427" s="29">
        <f>IF($C427="","",IFERROR(IF(INDEX(Deals!$C$2:$C$355,MATCH($C427,Deals!$A$2:$A$355,0))=0,"",INDEX(Deals!$C$2:$C$355,MATCH($C427,Deals!$A$2:$A$355,0))),"?"))</f>
        <v/>
      </c>
      <c r="E427" s="29">
        <f>IF($C427="","",IFERROR(INDEX(Deals!$F$2:$F$355,MATCH($C427,Deals!$A$2:$A$355,0)),"?"))</f>
        <v/>
      </c>
      <c r="F427" s="15" t="inlineStr">
        <is>
          <t>Senior Associate</t>
        </is>
      </c>
      <c r="G427" s="15" t="inlineStr">
        <is>
          <t>Active</t>
        </is>
      </c>
      <c r="H427" s="27" t="n"/>
      <c r="I427" s="20">
        <f>IF(OR($A427="",$G427&lt;&gt;"Active"),0,IF($H427&lt;&gt;"",$H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</f>
        <v/>
      </c>
      <c r="J427" s="23">
        <f>IF($C427="",0,IFERROR(INDEX(Deals!$H$2:$H$355,MATCH($C427,Deals!$A$2:$A$355,0)),0))</f>
        <v/>
      </c>
      <c r="K427" s="20">
        <f>IF(Settings!$B$4="Yes",$I427*$J427,$I427)</f>
        <v/>
      </c>
      <c r="L427" s="31">
        <f>IF($C427="","",IFERROR(IF(INDEX(Deals!$I$2:$I$355,MATCH($C427,Deals!$A$2:$A$355,0))=0,"",INDEX(Deals!$I$2:$I$355,MATCH($C427,Deals!$A$2:$A$355,0))),""))</f>
        <v/>
      </c>
      <c r="M427" s="31">
        <f>IF($C427="","",IFERROR(IF(INDEX(Deals!$J$2:$J$355,MATCH($C427,Deals!$A$2:$A$355,0))=0,"",INDEX(Deals!$J$2:$J$355,MATCH($C427,Deals!$A$2:$A$355,0))),""))</f>
        <v/>
      </c>
      <c r="N427" s="24">
        <f>IF($L427="",DATE(1900,1,1),$L427)</f>
        <v/>
      </c>
      <c r="O427" s="24">
        <f>IF($M427="",DATE(2100,12,31),$M427)</f>
        <v/>
      </c>
      <c r="P427" s="16" t="inlineStr"/>
      <c r="Q427" s="16" t="inlineStr"/>
      <c r="R427" s="29">
        <f>IF($C427="","",IFERROR(IF(INDEX(Deals!$U$2:$U$355,MATCH($C427,Deals!$A$2:$A$355,0))=0,"",INDEX(Deals!$U$2:$U$355,MATCH($C427,Deals!$A$2:$A$355,0))),""))</f>
        <v/>
      </c>
      <c r="S427" s="22">
        <f>IFERROR(IF($U427="",1,INDEX(Deals!$V$2:$V$355,MATCH($C427,Deals!$A$2:$A$355,0))),1)</f>
        <v/>
      </c>
      <c r="T427" s="22">
        <f>IFERROR(IF($U427="",1,INDEX(Deals!$W$2:$W$355,MATCH($C427,Deals!$A$2:$A$355,0))),1)</f>
        <v/>
      </c>
      <c r="U427" s="31">
        <f>IF($C427="","",IFERROR(IF(INDEX(Deals!$Y$2:$Y$355,MATCH($C427,Deals!$A$2:$A$355,0))=0,"",INDEX(Deals!$Y$2:$Y$355,MATCH($C427,Deals!$A$2:$A$355,0))),""))</f>
        <v/>
      </c>
      <c r="V427" s="24">
        <f>IF($U427="",DATE(1900,1,1),$N427)</f>
        <v/>
      </c>
      <c r="W427" s="24">
        <f>IF($U427="",DATE(2100,12,31),$U427)</f>
        <v/>
      </c>
      <c r="X427" s="20">
        <f>IF($U427="",$K427,$K427*$S427)</f>
        <v/>
      </c>
      <c r="Y427" s="24">
        <f>IF($U427="",DATE(2100,12,31),$U427+1)</f>
        <v/>
      </c>
      <c r="Z427" s="24">
        <f>IF($U427="",DATE(1900,1,1),$O427)</f>
        <v/>
      </c>
      <c r="AA427" s="20">
        <f>IF($U427="",0,$K427*$T427)</f>
        <v/>
      </c>
    </row>
    <row r="428">
      <c r="A428" s="15" t="inlineStr">
        <is>
          <t>Vidhi</t>
        </is>
      </c>
      <c r="B428" s="29">
        <f>IF($A428="","",IFERROR(INDEX(Roster!$B$2:$B$40,MATCH($A428,Roster!$A$2:$A$40,0)),"?"))</f>
        <v/>
      </c>
      <c r="C428" s="15" t="inlineStr">
        <is>
          <t>Resenergize_1</t>
        </is>
      </c>
      <c r="D428" s="29">
        <f>IF($C428="","",IFERROR(IF(INDEX(Deals!$C$2:$C$355,MATCH($C428,Deals!$A$2:$A$355,0))=0,"",INDEX(Deals!$C$2:$C$355,MATCH($C428,Deals!$A$2:$A$355,0))),"?"))</f>
        <v/>
      </c>
      <c r="E428" s="29">
        <f>IF($C428="","",IFERROR(INDEX(Deals!$F$2:$F$355,MATCH($C428,Deals!$A$2:$A$355,0)),"?"))</f>
        <v/>
      </c>
      <c r="F428" s="15" t="inlineStr">
        <is>
          <t>Senior Associate</t>
        </is>
      </c>
      <c r="G428" s="15" t="inlineStr">
        <is>
          <t>Active</t>
        </is>
      </c>
      <c r="H428" s="27" t="n"/>
      <c r="I428" s="20">
        <f>IF(OR($A428="",$G428&lt;&gt;"Active"),0,IF($H428&lt;&gt;"",$H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</f>
        <v/>
      </c>
      <c r="J428" s="23">
        <f>IF($C428="",0,IFERROR(INDEX(Deals!$H$2:$H$355,MATCH($C428,Deals!$A$2:$A$355,0)),0))</f>
        <v/>
      </c>
      <c r="K428" s="20">
        <f>IF(Settings!$B$4="Yes",$I428*$J428,$I428)</f>
        <v/>
      </c>
      <c r="L428" s="31">
        <f>IF($C428="","",IFERROR(IF(INDEX(Deals!$I$2:$I$355,MATCH($C428,Deals!$A$2:$A$355,0))=0,"",INDEX(Deals!$I$2:$I$355,MATCH($C428,Deals!$A$2:$A$355,0))),""))</f>
        <v/>
      </c>
      <c r="M428" s="31">
        <f>IF($C428="","",IFERROR(IF(INDEX(Deals!$J$2:$J$355,MATCH($C428,Deals!$A$2:$A$355,0))=0,"",INDEX(Deals!$J$2:$J$355,MATCH($C428,Deals!$A$2:$A$355,0))),""))</f>
        <v/>
      </c>
      <c r="N428" s="24">
        <f>IF($L428="",DATE(1900,1,1),$L428)</f>
        <v/>
      </c>
      <c r="O428" s="24">
        <f>IF($M428="",DATE(2100,12,31),$M428)</f>
        <v/>
      </c>
      <c r="P428" s="16" t="inlineStr"/>
      <c r="Q428" s="16" t="inlineStr"/>
      <c r="R428" s="29">
        <f>IF($C428="","",IFERROR(IF(INDEX(Deals!$U$2:$U$355,MATCH($C428,Deals!$A$2:$A$355,0))=0,"",INDEX(Deals!$U$2:$U$355,MATCH($C428,Deals!$A$2:$A$355,0))),""))</f>
        <v/>
      </c>
      <c r="S428" s="22">
        <f>IFERROR(IF($U428="",1,INDEX(Deals!$V$2:$V$355,MATCH($C428,Deals!$A$2:$A$355,0))),1)</f>
        <v/>
      </c>
      <c r="T428" s="22">
        <f>IFERROR(IF($U428="",1,INDEX(Deals!$W$2:$W$355,MATCH($C428,Deals!$A$2:$A$355,0))),1)</f>
        <v/>
      </c>
      <c r="U428" s="31">
        <f>IF($C428="","",IFERROR(IF(INDEX(Deals!$Y$2:$Y$355,MATCH($C428,Deals!$A$2:$A$355,0))=0,"",INDEX(Deals!$Y$2:$Y$355,MATCH($C428,Deals!$A$2:$A$355,0))),""))</f>
        <v/>
      </c>
      <c r="V428" s="24">
        <f>IF($U428="",DATE(1900,1,1),$N428)</f>
        <v/>
      </c>
      <c r="W428" s="24">
        <f>IF($U428="",DATE(2100,12,31),$U428)</f>
        <v/>
      </c>
      <c r="X428" s="20">
        <f>IF($U428="",$K428,$K428*$S428)</f>
        <v/>
      </c>
      <c r="Y428" s="24">
        <f>IF($U428="",DATE(2100,12,31),$U428+1)</f>
        <v/>
      </c>
      <c r="Z428" s="24">
        <f>IF($U428="",DATE(1900,1,1),$O428)</f>
        <v/>
      </c>
      <c r="AA428" s="20">
        <f>IF($U428="",0,$K428*$T428)</f>
        <v/>
      </c>
    </row>
    <row r="429">
      <c r="A429" s="15" t="inlineStr">
        <is>
          <t>Vidhi</t>
        </is>
      </c>
      <c r="B429" s="29">
        <f>IF($A429="","",IFERROR(INDEX(Roster!$B$2:$B$40,MATCH($A429,Roster!$A$2:$A$40,0)),"?"))</f>
        <v/>
      </c>
      <c r="C429" s="15" t="inlineStr">
        <is>
          <t>Scan_1</t>
        </is>
      </c>
      <c r="D429" s="29">
        <f>IF($C429="","",IFERROR(IF(INDEX(Deals!$C$2:$C$355,MATCH($C429,Deals!$A$2:$A$355,0))=0,"",INDEX(Deals!$C$2:$C$355,MATCH($C429,Deals!$A$2:$A$355,0))),"?"))</f>
        <v/>
      </c>
      <c r="E429" s="29">
        <f>IF($C429="","",IFERROR(INDEX(Deals!$F$2:$F$355,MATCH($C429,Deals!$A$2:$A$355,0)),"?"))</f>
        <v/>
      </c>
      <c r="F429" s="15" t="inlineStr">
        <is>
          <t>Senior Associate</t>
        </is>
      </c>
      <c r="G429" s="15" t="inlineStr">
        <is>
          <t>Active</t>
        </is>
      </c>
      <c r="H429" s="27" t="n"/>
      <c r="I429" s="20">
        <f>IF(OR($A429="",$G429&lt;&gt;"Active"),0,IF($H429&lt;&gt;"",$H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</f>
        <v/>
      </c>
      <c r="J429" s="23">
        <f>IF($C429="",0,IFERROR(INDEX(Deals!$H$2:$H$355,MATCH($C429,Deals!$A$2:$A$355,0)),0))</f>
        <v/>
      </c>
      <c r="K429" s="20">
        <f>IF(Settings!$B$4="Yes",$I429*$J429,$I429)</f>
        <v/>
      </c>
      <c r="L429" s="31">
        <f>IF($C429="","",IFERROR(IF(INDEX(Deals!$I$2:$I$355,MATCH($C429,Deals!$A$2:$A$355,0))=0,"",INDEX(Deals!$I$2:$I$355,MATCH($C429,Deals!$A$2:$A$355,0))),""))</f>
        <v/>
      </c>
      <c r="M429" s="31">
        <f>IF($C429="","",IFERROR(IF(INDEX(Deals!$J$2:$J$355,MATCH($C429,Deals!$A$2:$A$355,0))=0,"",INDEX(Deals!$J$2:$J$355,MATCH($C429,Deals!$A$2:$A$355,0))),""))</f>
        <v/>
      </c>
      <c r="N429" s="24">
        <f>IF($L429="",DATE(1900,1,1),$L429)</f>
        <v/>
      </c>
      <c r="O429" s="24">
        <f>IF($M429="",DATE(2100,12,31),$M429)</f>
        <v/>
      </c>
      <c r="P429" s="16" t="inlineStr"/>
      <c r="Q429" s="16" t="inlineStr"/>
      <c r="R429" s="29">
        <f>IF($C429="","",IFERROR(IF(INDEX(Deals!$U$2:$U$355,MATCH($C429,Deals!$A$2:$A$355,0))=0,"",INDEX(Deals!$U$2:$U$355,MATCH($C429,Deals!$A$2:$A$355,0))),""))</f>
        <v/>
      </c>
      <c r="S429" s="22">
        <f>IFERROR(IF($U429="",1,INDEX(Deals!$V$2:$V$355,MATCH($C429,Deals!$A$2:$A$355,0))),1)</f>
        <v/>
      </c>
      <c r="T429" s="22">
        <f>IFERROR(IF($U429="",1,INDEX(Deals!$W$2:$W$355,MATCH($C429,Deals!$A$2:$A$355,0))),1)</f>
        <v/>
      </c>
      <c r="U429" s="31">
        <f>IF($C429="","",IFERROR(IF(INDEX(Deals!$Y$2:$Y$355,MATCH($C429,Deals!$A$2:$A$355,0))=0,"",INDEX(Deals!$Y$2:$Y$355,MATCH($C429,Deals!$A$2:$A$355,0))),""))</f>
        <v/>
      </c>
      <c r="V429" s="24">
        <f>IF($U429="",DATE(1900,1,1),$N429)</f>
        <v/>
      </c>
      <c r="W429" s="24">
        <f>IF($U429="",DATE(2100,12,31),$U429)</f>
        <v/>
      </c>
      <c r="X429" s="20">
        <f>IF($U429="",$K429,$K429*$S429)</f>
        <v/>
      </c>
      <c r="Y429" s="24">
        <f>IF($U429="",DATE(2100,12,31),$U429+1)</f>
        <v/>
      </c>
      <c r="Z429" s="24">
        <f>IF($U429="",DATE(1900,1,1),$O429)</f>
        <v/>
      </c>
      <c r="AA429" s="20">
        <f>IF($U429="",0,$K429*$T429)</f>
        <v/>
      </c>
    </row>
    <row r="430">
      <c r="A430" s="15" t="inlineStr">
        <is>
          <t>Vidhi</t>
        </is>
      </c>
      <c r="B430" s="29">
        <f>IF($A430="","",IFERROR(INDEX(Roster!$B$2:$B$40,MATCH($A430,Roster!$A$2:$A$40,0)),"?"))</f>
        <v/>
      </c>
      <c r="C430" s="15" t="inlineStr">
        <is>
          <t>Scion_1</t>
        </is>
      </c>
      <c r="D430" s="29">
        <f>IF($C430="","",IFERROR(IF(INDEX(Deals!$C$2:$C$355,MATCH($C430,Deals!$A$2:$A$355,0))=0,"",INDEX(Deals!$C$2:$C$355,MATCH($C430,Deals!$A$2:$A$355,0))),"?"))</f>
        <v/>
      </c>
      <c r="E430" s="29">
        <f>IF($C430="","",IFERROR(INDEX(Deals!$F$2:$F$355,MATCH($C430,Deals!$A$2:$A$355,0)),"?"))</f>
        <v/>
      </c>
      <c r="F430" s="15" t="inlineStr">
        <is>
          <t>Senior Associate</t>
        </is>
      </c>
      <c r="G430" s="15" t="inlineStr">
        <is>
          <t>Active</t>
        </is>
      </c>
      <c r="H430" s="27" t="n"/>
      <c r="I430" s="20">
        <f>IF(OR($A430="",$G430&lt;&gt;"Active"),0,IF($H430&lt;&gt;"",$H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</f>
        <v/>
      </c>
      <c r="J430" s="23">
        <f>IF($C430="",0,IFERROR(INDEX(Deals!$H$2:$H$355,MATCH($C430,Deals!$A$2:$A$355,0)),0))</f>
        <v/>
      </c>
      <c r="K430" s="20">
        <f>IF(Settings!$B$4="Yes",$I430*$J430,$I430)</f>
        <v/>
      </c>
      <c r="L430" s="31">
        <f>IF($C430="","",IFERROR(IF(INDEX(Deals!$I$2:$I$355,MATCH($C430,Deals!$A$2:$A$355,0))=0,"",INDEX(Deals!$I$2:$I$355,MATCH($C430,Deals!$A$2:$A$355,0))),""))</f>
        <v/>
      </c>
      <c r="M430" s="31">
        <f>IF($C430="","",IFERROR(IF(INDEX(Deals!$J$2:$J$355,MATCH($C430,Deals!$A$2:$A$355,0))=0,"",INDEX(Deals!$J$2:$J$355,MATCH($C430,Deals!$A$2:$A$355,0))),""))</f>
        <v/>
      </c>
      <c r="N430" s="24">
        <f>IF($L430="",DATE(1900,1,1),$L430)</f>
        <v/>
      </c>
      <c r="O430" s="24">
        <f>IF($M430="",DATE(2100,12,31),$M430)</f>
        <v/>
      </c>
      <c r="P430" s="16" t="inlineStr"/>
      <c r="Q430" s="16" t="inlineStr"/>
      <c r="R430" s="29">
        <f>IF($C430="","",IFERROR(IF(INDEX(Deals!$U$2:$U$355,MATCH($C430,Deals!$A$2:$A$355,0))=0,"",INDEX(Deals!$U$2:$U$355,MATCH($C430,Deals!$A$2:$A$355,0))),""))</f>
        <v/>
      </c>
      <c r="S430" s="22">
        <f>IFERROR(IF($U430="",1,INDEX(Deals!$V$2:$V$355,MATCH($C430,Deals!$A$2:$A$355,0))),1)</f>
        <v/>
      </c>
      <c r="T430" s="22">
        <f>IFERROR(IF($U430="",1,INDEX(Deals!$W$2:$W$355,MATCH($C430,Deals!$A$2:$A$355,0))),1)</f>
        <v/>
      </c>
      <c r="U430" s="31">
        <f>IF($C430="","",IFERROR(IF(INDEX(Deals!$Y$2:$Y$355,MATCH($C430,Deals!$A$2:$A$355,0))=0,"",INDEX(Deals!$Y$2:$Y$355,MATCH($C430,Deals!$A$2:$A$355,0))),""))</f>
        <v/>
      </c>
      <c r="V430" s="24">
        <f>IF($U430="",DATE(1900,1,1),$N430)</f>
        <v/>
      </c>
      <c r="W430" s="24">
        <f>IF($U430="",DATE(2100,12,31),$U430)</f>
        <v/>
      </c>
      <c r="X430" s="20">
        <f>IF($U430="",$K430,$K430*$S430)</f>
        <v/>
      </c>
      <c r="Y430" s="24">
        <f>IF($U430="",DATE(2100,12,31),$U430+1)</f>
        <v/>
      </c>
      <c r="Z430" s="24">
        <f>IF($U430="",DATE(1900,1,1),$O430)</f>
        <v/>
      </c>
      <c r="AA430" s="20">
        <f>IF($U430="",0,$K430*$T430)</f>
        <v/>
      </c>
    </row>
    <row r="431">
      <c r="A431" s="15" t="inlineStr">
        <is>
          <t>Vidhi</t>
        </is>
      </c>
      <c r="B431" s="29">
        <f>IF($A431="","",IFERROR(INDEX(Roster!$B$2:$B$40,MATCH($A431,Roster!$A$2:$A$40,0)),"?"))</f>
        <v/>
      </c>
      <c r="C431" s="15" t="inlineStr">
        <is>
          <t>Sunrise_5</t>
        </is>
      </c>
      <c r="D431" s="29">
        <f>IF($C431="","",IFERROR(IF(INDEX(Deals!$C$2:$C$355,MATCH($C431,Deals!$A$2:$A$355,0))=0,"",INDEX(Deals!$C$2:$C$355,MATCH($C431,Deals!$A$2:$A$355,0))),"?"))</f>
        <v/>
      </c>
      <c r="E431" s="29">
        <f>IF($C431="","",IFERROR(INDEX(Deals!$F$2:$F$355,MATCH($C431,Deals!$A$2:$A$355,0)),"?"))</f>
        <v/>
      </c>
      <c r="F431" s="15" t="inlineStr">
        <is>
          <t>Senior Associate</t>
        </is>
      </c>
      <c r="G431" s="15" t="inlineStr">
        <is>
          <t>Active</t>
        </is>
      </c>
      <c r="H431" s="27" t="n"/>
      <c r="I431" s="20">
        <f>IF(OR($A431="",$G431&lt;&gt;"Active"),0,IF($H431&lt;&gt;"",$H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</f>
        <v/>
      </c>
      <c r="J431" s="23">
        <f>IF($C431="",0,IFERROR(INDEX(Deals!$H$2:$H$355,MATCH($C431,Deals!$A$2:$A$355,0)),0))</f>
        <v/>
      </c>
      <c r="K431" s="20">
        <f>IF(Settings!$B$4="Yes",$I431*$J431,$I431)</f>
        <v/>
      </c>
      <c r="L431" s="31">
        <f>IF($C431="","",IFERROR(IF(INDEX(Deals!$I$2:$I$355,MATCH($C431,Deals!$A$2:$A$355,0))=0,"",INDEX(Deals!$I$2:$I$355,MATCH($C431,Deals!$A$2:$A$355,0))),""))</f>
        <v/>
      </c>
      <c r="M431" s="31">
        <f>IF($C431="","",IFERROR(IF(INDEX(Deals!$J$2:$J$355,MATCH($C431,Deals!$A$2:$A$355,0))=0,"",INDEX(Deals!$J$2:$J$355,MATCH($C431,Deals!$A$2:$A$355,0))),""))</f>
        <v/>
      </c>
      <c r="N431" s="24">
        <f>IF($L431="",DATE(1900,1,1),$L431)</f>
        <v/>
      </c>
      <c r="O431" s="24">
        <f>IF($M431="",DATE(2100,12,31),$M431)</f>
        <v/>
      </c>
      <c r="P431" s="16" t="inlineStr"/>
      <c r="Q431" s="16" t="inlineStr"/>
      <c r="R431" s="29">
        <f>IF($C431="","",IFERROR(IF(INDEX(Deals!$U$2:$U$355,MATCH($C431,Deals!$A$2:$A$355,0))=0,"",INDEX(Deals!$U$2:$U$355,MATCH($C431,Deals!$A$2:$A$355,0))),""))</f>
        <v/>
      </c>
      <c r="S431" s="22">
        <f>IFERROR(IF($U431="",1,INDEX(Deals!$V$2:$V$355,MATCH($C431,Deals!$A$2:$A$355,0))),1)</f>
        <v/>
      </c>
      <c r="T431" s="22">
        <f>IFERROR(IF($U431="",1,INDEX(Deals!$W$2:$W$355,MATCH($C431,Deals!$A$2:$A$355,0))),1)</f>
        <v/>
      </c>
      <c r="U431" s="31">
        <f>IF($C431="","",IFERROR(IF(INDEX(Deals!$Y$2:$Y$355,MATCH($C431,Deals!$A$2:$A$355,0))=0,"",INDEX(Deals!$Y$2:$Y$355,MATCH($C431,Deals!$A$2:$A$355,0))),""))</f>
        <v/>
      </c>
      <c r="V431" s="24">
        <f>IF($U431="",DATE(1900,1,1),$N431)</f>
        <v/>
      </c>
      <c r="W431" s="24">
        <f>IF($U431="",DATE(2100,12,31),$U431)</f>
        <v/>
      </c>
      <c r="X431" s="20">
        <f>IF($U431="",$K431,$K431*$S431)</f>
        <v/>
      </c>
      <c r="Y431" s="24">
        <f>IF($U431="",DATE(2100,12,31),$U431+1)</f>
        <v/>
      </c>
      <c r="Z431" s="24">
        <f>IF($U431="",DATE(1900,1,1),$O431)</f>
        <v/>
      </c>
      <c r="AA431" s="20">
        <f>IF($U431="",0,$K431*$T431)</f>
        <v/>
      </c>
    </row>
    <row r="432">
      <c r="A432" s="15" t="inlineStr">
        <is>
          <t>Vidhi</t>
        </is>
      </c>
      <c r="B432" s="29">
        <f>IF($A432="","",IFERROR(INDEX(Roster!$B$2:$B$40,MATCH($A432,Roster!$A$2:$A$40,0)),"?"))</f>
        <v/>
      </c>
      <c r="C432" s="15" t="inlineStr">
        <is>
          <t>WASP_2</t>
        </is>
      </c>
      <c r="D432" s="29">
        <f>IF($C432="","",IFERROR(IF(INDEX(Deals!$C$2:$C$355,MATCH($C432,Deals!$A$2:$A$355,0))=0,"",INDEX(Deals!$C$2:$C$355,MATCH($C432,Deals!$A$2:$A$355,0))),"?"))</f>
        <v/>
      </c>
      <c r="E432" s="29">
        <f>IF($C432="","",IFERROR(INDEX(Deals!$F$2:$F$355,MATCH($C432,Deals!$A$2:$A$355,0)),"?"))</f>
        <v/>
      </c>
      <c r="F432" s="15" t="inlineStr">
        <is>
          <t>Senior Associate</t>
        </is>
      </c>
      <c r="G432" s="15" t="inlineStr">
        <is>
          <t>Active</t>
        </is>
      </c>
      <c r="H432" s="27" t="n"/>
      <c r="I432" s="20">
        <f>IF(OR($A432="",$G432&lt;&gt;"Active"),0,IF($H432&lt;&gt;"",$H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</f>
        <v/>
      </c>
      <c r="J432" s="23">
        <f>IF($C432="",0,IFERROR(INDEX(Deals!$H$2:$H$355,MATCH($C432,Deals!$A$2:$A$355,0)),0))</f>
        <v/>
      </c>
      <c r="K432" s="20">
        <f>IF(Settings!$B$4="Yes",$I432*$J432,$I432)</f>
        <v/>
      </c>
      <c r="L432" s="31">
        <f>IF($C432="","",IFERROR(IF(INDEX(Deals!$I$2:$I$355,MATCH($C432,Deals!$A$2:$A$355,0))=0,"",INDEX(Deals!$I$2:$I$355,MATCH($C432,Deals!$A$2:$A$355,0))),""))</f>
        <v/>
      </c>
      <c r="M432" s="31">
        <f>IF($C432="","",IFERROR(IF(INDEX(Deals!$J$2:$J$355,MATCH($C432,Deals!$A$2:$A$355,0))=0,"",INDEX(Deals!$J$2:$J$355,MATCH($C432,Deals!$A$2:$A$355,0))),""))</f>
        <v/>
      </c>
      <c r="N432" s="24">
        <f>IF($L432="",DATE(1900,1,1),$L432)</f>
        <v/>
      </c>
      <c r="O432" s="24">
        <f>IF($M432="",DATE(2100,12,31),$M432)</f>
        <v/>
      </c>
      <c r="P432" s="16" t="inlineStr"/>
      <c r="Q432" s="16" t="inlineStr"/>
      <c r="R432" s="29">
        <f>IF($C432="","",IFERROR(IF(INDEX(Deals!$U$2:$U$355,MATCH($C432,Deals!$A$2:$A$355,0))=0,"",INDEX(Deals!$U$2:$U$355,MATCH($C432,Deals!$A$2:$A$355,0))),""))</f>
        <v/>
      </c>
      <c r="S432" s="22">
        <f>IFERROR(IF($U432="",1,INDEX(Deals!$V$2:$V$355,MATCH($C432,Deals!$A$2:$A$355,0))),1)</f>
        <v/>
      </c>
      <c r="T432" s="22">
        <f>IFERROR(IF($U432="",1,INDEX(Deals!$W$2:$W$355,MATCH($C432,Deals!$A$2:$A$355,0))),1)</f>
        <v/>
      </c>
      <c r="U432" s="31">
        <f>IF($C432="","",IFERROR(IF(INDEX(Deals!$Y$2:$Y$355,MATCH($C432,Deals!$A$2:$A$355,0))=0,"",INDEX(Deals!$Y$2:$Y$355,MATCH($C432,Deals!$A$2:$A$355,0))),""))</f>
        <v/>
      </c>
      <c r="V432" s="24">
        <f>IF($U432="",DATE(1900,1,1),$N432)</f>
        <v/>
      </c>
      <c r="W432" s="24">
        <f>IF($U432="",DATE(2100,12,31),$U432)</f>
        <v/>
      </c>
      <c r="X432" s="20">
        <f>IF($U432="",$K432,$K432*$S432)</f>
        <v/>
      </c>
      <c r="Y432" s="24">
        <f>IF($U432="",DATE(2100,12,31),$U432+1)</f>
        <v/>
      </c>
      <c r="Z432" s="24">
        <f>IF($U432="",DATE(1900,1,1),$O432)</f>
        <v/>
      </c>
      <c r="AA432" s="20">
        <f>IF($U432="",0,$K432*$T432)</f>
        <v/>
      </c>
    </row>
    <row r="433">
      <c r="A433" s="15" t="inlineStr">
        <is>
          <t>Vidhi</t>
        </is>
      </c>
      <c r="B433" s="29">
        <f>IF($A433="","",IFERROR(INDEX(Roster!$B$2:$B$40,MATCH($A433,Roster!$A$2:$A$40,0)),"?"))</f>
        <v/>
      </c>
      <c r="C433" s="15" t="inlineStr">
        <is>
          <t>Zeus_2</t>
        </is>
      </c>
      <c r="D433" s="29">
        <f>IF($C433="","",IFERROR(IF(INDEX(Deals!$C$2:$C$355,MATCH($C433,Deals!$A$2:$A$355,0))=0,"",INDEX(Deals!$C$2:$C$355,MATCH($C433,Deals!$A$2:$A$355,0))),"?"))</f>
        <v/>
      </c>
      <c r="E433" s="29">
        <f>IF($C433="","",IFERROR(INDEX(Deals!$F$2:$F$355,MATCH($C433,Deals!$A$2:$A$355,0)),"?"))</f>
        <v/>
      </c>
      <c r="F433" s="15" t="inlineStr">
        <is>
          <t>Senior Associate</t>
        </is>
      </c>
      <c r="G433" s="15" t="inlineStr">
        <is>
          <t>Active</t>
        </is>
      </c>
      <c r="H433" s="27" t="n"/>
      <c r="I433" s="20">
        <f>IF(OR($A433="",$G433&lt;&gt;"Active"),0,IF($H433&lt;&gt;"",$H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</f>
        <v/>
      </c>
      <c r="J433" s="23">
        <f>IF($C433="",0,IFERROR(INDEX(Deals!$H$2:$H$355,MATCH($C433,Deals!$A$2:$A$355,0)),0))</f>
        <v/>
      </c>
      <c r="K433" s="20">
        <f>IF(Settings!$B$4="Yes",$I433*$J433,$I433)</f>
        <v/>
      </c>
      <c r="L433" s="31">
        <f>IF($C433="","",IFERROR(IF(INDEX(Deals!$I$2:$I$355,MATCH($C433,Deals!$A$2:$A$355,0))=0,"",INDEX(Deals!$I$2:$I$355,MATCH($C433,Deals!$A$2:$A$355,0))),""))</f>
        <v/>
      </c>
      <c r="M433" s="31">
        <f>IF($C433="","",IFERROR(IF(INDEX(Deals!$J$2:$J$355,MATCH($C433,Deals!$A$2:$A$355,0))=0,"",INDEX(Deals!$J$2:$J$355,MATCH($C433,Deals!$A$2:$A$355,0))),""))</f>
        <v/>
      </c>
      <c r="N433" s="24">
        <f>IF($L433="",DATE(1900,1,1),$L433)</f>
        <v/>
      </c>
      <c r="O433" s="24">
        <f>IF($M433="",DATE(2100,12,31),$M433)</f>
        <v/>
      </c>
      <c r="P433" s="16" t="inlineStr"/>
      <c r="Q433" s="16" t="inlineStr"/>
      <c r="R433" s="29">
        <f>IF($C433="","",IFERROR(IF(INDEX(Deals!$U$2:$U$355,MATCH($C433,Deals!$A$2:$A$355,0))=0,"",INDEX(Deals!$U$2:$U$355,MATCH($C433,Deals!$A$2:$A$355,0))),""))</f>
        <v/>
      </c>
      <c r="S433" s="22">
        <f>IFERROR(IF($U433="",1,INDEX(Deals!$V$2:$V$355,MATCH($C433,Deals!$A$2:$A$355,0))),1)</f>
        <v/>
      </c>
      <c r="T433" s="22">
        <f>IFERROR(IF($U433="",1,INDEX(Deals!$W$2:$W$355,MATCH($C433,Deals!$A$2:$A$355,0))),1)</f>
        <v/>
      </c>
      <c r="U433" s="31">
        <f>IF($C433="","",IFERROR(IF(INDEX(Deals!$Y$2:$Y$355,MATCH($C433,Deals!$A$2:$A$355,0))=0,"",INDEX(Deals!$Y$2:$Y$355,MATCH($C433,Deals!$A$2:$A$355,0))),""))</f>
        <v/>
      </c>
      <c r="V433" s="24">
        <f>IF($U433="",DATE(1900,1,1),$N433)</f>
        <v/>
      </c>
      <c r="W433" s="24">
        <f>IF($U433="",DATE(2100,12,31),$U433)</f>
        <v/>
      </c>
      <c r="X433" s="20">
        <f>IF($U433="",$K433,$K433*$S433)</f>
        <v/>
      </c>
      <c r="Y433" s="24">
        <f>IF($U433="",DATE(2100,12,31),$U433+1)</f>
        <v/>
      </c>
      <c r="Z433" s="24">
        <f>IF($U433="",DATE(1900,1,1),$O433)</f>
        <v/>
      </c>
      <c r="AA433" s="20">
        <f>IF($U433="",0,$K433*$T433)</f>
        <v/>
      </c>
    </row>
    <row r="434">
      <c r="A434" s="15" t="inlineStr">
        <is>
          <t>Nina</t>
        </is>
      </c>
      <c r="B434" s="29">
        <f>IF($A434="","",IFERROR(INDEX(Roster!$B$2:$B$40,MATCH($A434,Roster!$A$2:$A$40,0)),"?"))</f>
        <v/>
      </c>
      <c r="C434" s="15" t="inlineStr">
        <is>
          <t>Adanac_1</t>
        </is>
      </c>
      <c r="D434" s="29">
        <f>IF($C434="","",IFERROR(IF(INDEX(Deals!$C$2:$C$355,MATCH($C434,Deals!$A$2:$A$355,0))=0,"",INDEX(Deals!$C$2:$C$355,MATCH($C434,Deals!$A$2:$A$355,0))),"?"))</f>
        <v/>
      </c>
      <c r="E434" s="29">
        <f>IF($C434="","",IFERROR(INDEX(Deals!$F$2:$F$355,MATCH($C434,Deals!$A$2:$A$355,0)),"?"))</f>
        <v/>
      </c>
      <c r="F434" s="15" t="inlineStr">
        <is>
          <t>Senior Associate</t>
        </is>
      </c>
      <c r="G434" s="15" t="inlineStr">
        <is>
          <t>Inactive</t>
        </is>
      </c>
      <c r="H434" s="27" t="n"/>
      <c r="I434" s="20">
        <f>IF(OR($A434="",$G434&lt;&gt;"Active"),0,IF($H434&lt;&gt;"",$H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</f>
        <v/>
      </c>
      <c r="J434" s="23">
        <f>IF($C434="",0,IFERROR(INDEX(Deals!$H$2:$H$355,MATCH($C434,Deals!$A$2:$A$355,0)),0))</f>
        <v/>
      </c>
      <c r="K434" s="20">
        <f>IF(Settings!$B$4="Yes",$I434*$J434,$I434)</f>
        <v/>
      </c>
      <c r="L434" s="31">
        <f>IF($C434="","",IFERROR(IF(INDEX(Deals!$I$2:$I$355,MATCH($C434,Deals!$A$2:$A$355,0))=0,"",INDEX(Deals!$I$2:$I$355,MATCH($C434,Deals!$A$2:$A$355,0))),""))</f>
        <v/>
      </c>
      <c r="M434" s="31">
        <f>IF($C434="","",IFERROR(IF(INDEX(Deals!$J$2:$J$355,MATCH($C434,Deals!$A$2:$A$355,0))=0,"",INDEX(Deals!$J$2:$J$355,MATCH($C434,Deals!$A$2:$A$355,0))),""))</f>
        <v/>
      </c>
      <c r="N434" s="24">
        <f>IF($L434="",DATE(1900,1,1),$L434)</f>
        <v/>
      </c>
      <c r="O434" s="24">
        <f>IF($M434="",DATE(2100,12,31),$M434)</f>
        <v/>
      </c>
      <c r="P434" s="16" t="inlineStr">
        <is>
          <t>Invoiced</t>
        </is>
      </c>
      <c r="Q434" s="16" t="inlineStr"/>
      <c r="R434" s="29">
        <f>IF($C434="","",IFERROR(IF(INDEX(Deals!$U$2:$U$355,MATCH($C434,Deals!$A$2:$A$355,0))=0,"",INDEX(Deals!$U$2:$U$355,MATCH($C434,Deals!$A$2:$A$355,0))),""))</f>
        <v/>
      </c>
      <c r="S434" s="22">
        <f>IFERROR(IF($U434="",1,INDEX(Deals!$V$2:$V$355,MATCH($C434,Deals!$A$2:$A$355,0))),1)</f>
        <v/>
      </c>
      <c r="T434" s="22">
        <f>IFERROR(IF($U434="",1,INDEX(Deals!$W$2:$W$355,MATCH($C434,Deals!$A$2:$A$355,0))),1)</f>
        <v/>
      </c>
      <c r="U434" s="31">
        <f>IF($C434="","",IFERROR(IF(INDEX(Deals!$Y$2:$Y$355,MATCH($C434,Deals!$A$2:$A$355,0))=0,"",INDEX(Deals!$Y$2:$Y$355,MATCH($C434,Deals!$A$2:$A$355,0))),""))</f>
        <v/>
      </c>
      <c r="V434" s="24">
        <f>IF($U434="",DATE(1900,1,1),$N434)</f>
        <v/>
      </c>
      <c r="W434" s="24">
        <f>IF($U434="",DATE(2100,12,31),$U434)</f>
        <v/>
      </c>
      <c r="X434" s="20">
        <f>IF($U434="",$K434,$K434*$S434)</f>
        <v/>
      </c>
      <c r="Y434" s="24">
        <f>IF($U434="",DATE(2100,12,31),$U434+1)</f>
        <v/>
      </c>
      <c r="Z434" s="24">
        <f>IF($U434="",DATE(1900,1,1),$O434)</f>
        <v/>
      </c>
      <c r="AA434" s="20">
        <f>IF($U434="",0,$K434*$T434)</f>
        <v/>
      </c>
    </row>
    <row r="435">
      <c r="A435" s="15" t="inlineStr">
        <is>
          <t>Nina</t>
        </is>
      </c>
      <c r="B435" s="29">
        <f>IF($A435="","",IFERROR(INDEX(Roster!$B$2:$B$40,MATCH($A435,Roster!$A$2:$A$40,0)),"?"))</f>
        <v/>
      </c>
      <c r="C435" s="15" t="inlineStr">
        <is>
          <t>AIM_5</t>
        </is>
      </c>
      <c r="D435" s="29">
        <f>IF($C435="","",IFERROR(IF(INDEX(Deals!$C$2:$C$355,MATCH($C435,Deals!$A$2:$A$355,0))=0,"",INDEX(Deals!$C$2:$C$355,MATCH($C435,Deals!$A$2:$A$355,0))),"?"))</f>
        <v/>
      </c>
      <c r="E435" s="29">
        <f>IF($C435="","",IFERROR(INDEX(Deals!$F$2:$F$355,MATCH($C435,Deals!$A$2:$A$355,0)),"?"))</f>
        <v/>
      </c>
      <c r="F435" s="15" t="inlineStr">
        <is>
          <t>Senior Associate</t>
        </is>
      </c>
      <c r="G435" s="15" t="inlineStr">
        <is>
          <t>Inactive</t>
        </is>
      </c>
      <c r="H435" s="27" t="n"/>
      <c r="I435" s="20">
        <f>IF(OR($A435="",$G435&lt;&gt;"Active"),0,IF($H435&lt;&gt;"",$H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</f>
        <v/>
      </c>
      <c r="J435" s="23">
        <f>IF($C435="",0,IFERROR(INDEX(Deals!$H$2:$H$355,MATCH($C435,Deals!$A$2:$A$355,0)),0))</f>
        <v/>
      </c>
      <c r="K435" s="20">
        <f>IF(Settings!$B$4="Yes",$I435*$J435,$I435)</f>
        <v/>
      </c>
      <c r="L435" s="31">
        <f>IF($C435="","",IFERROR(IF(INDEX(Deals!$I$2:$I$355,MATCH($C435,Deals!$A$2:$A$355,0))=0,"",INDEX(Deals!$I$2:$I$355,MATCH($C435,Deals!$A$2:$A$355,0))),""))</f>
        <v/>
      </c>
      <c r="M435" s="31">
        <f>IF($C435="","",IFERROR(IF(INDEX(Deals!$J$2:$J$355,MATCH($C435,Deals!$A$2:$A$355,0))=0,"",INDEX(Deals!$J$2:$J$355,MATCH($C435,Deals!$A$2:$A$355,0))),""))</f>
        <v/>
      </c>
      <c r="N435" s="24">
        <f>IF($L435="",DATE(1900,1,1),$L435)</f>
        <v/>
      </c>
      <c r="O435" s="24">
        <f>IF($M435="",DATE(2100,12,31),$M435)</f>
        <v/>
      </c>
      <c r="P435" s="16" t="inlineStr">
        <is>
          <t>Client stopped responding to us re: invoicing.</t>
        </is>
      </c>
      <c r="Q435" s="16" t="inlineStr"/>
      <c r="R435" s="29">
        <f>IF($C435="","",IFERROR(IF(INDEX(Deals!$U$2:$U$355,MATCH($C435,Deals!$A$2:$A$355,0))=0,"",INDEX(Deals!$U$2:$U$355,MATCH($C435,Deals!$A$2:$A$355,0))),""))</f>
        <v/>
      </c>
      <c r="S435" s="22">
        <f>IFERROR(IF($U435="",1,INDEX(Deals!$V$2:$V$355,MATCH($C435,Deals!$A$2:$A$355,0))),1)</f>
        <v/>
      </c>
      <c r="T435" s="22">
        <f>IFERROR(IF($U435="",1,INDEX(Deals!$W$2:$W$355,MATCH($C435,Deals!$A$2:$A$355,0))),1)</f>
        <v/>
      </c>
      <c r="U435" s="31">
        <f>IF($C435="","",IFERROR(IF(INDEX(Deals!$Y$2:$Y$355,MATCH($C435,Deals!$A$2:$A$355,0))=0,"",INDEX(Deals!$Y$2:$Y$355,MATCH($C435,Deals!$A$2:$A$355,0))),""))</f>
        <v/>
      </c>
      <c r="V435" s="24">
        <f>IF($U435="",DATE(1900,1,1),$N435)</f>
        <v/>
      </c>
      <c r="W435" s="24">
        <f>IF($U435="",DATE(2100,12,31),$U435)</f>
        <v/>
      </c>
      <c r="X435" s="20">
        <f>IF($U435="",$K435,$K435*$S435)</f>
        <v/>
      </c>
      <c r="Y435" s="24">
        <f>IF($U435="",DATE(2100,12,31),$U435+1)</f>
        <v/>
      </c>
      <c r="Z435" s="24">
        <f>IF($U435="",DATE(1900,1,1),$O435)</f>
        <v/>
      </c>
      <c r="AA435" s="20">
        <f>IF($U435="",0,$K435*$T435)</f>
        <v/>
      </c>
    </row>
    <row r="436">
      <c r="A436" s="15" t="inlineStr">
        <is>
          <t>Nina</t>
        </is>
      </c>
      <c r="B436" s="29">
        <f>IF($A436="","",IFERROR(INDEX(Roster!$B$2:$B$40,MATCH($A436,Roster!$A$2:$A$40,0)),"?"))</f>
        <v/>
      </c>
      <c r="C436" s="15" t="inlineStr">
        <is>
          <t>Alliance_1</t>
        </is>
      </c>
      <c r="D436" s="29">
        <f>IF($C436="","",IFERROR(IF(INDEX(Deals!$C$2:$C$355,MATCH($C436,Deals!$A$2:$A$355,0))=0,"",INDEX(Deals!$C$2:$C$355,MATCH($C436,Deals!$A$2:$A$355,0))),"?"))</f>
        <v/>
      </c>
      <c r="E436" s="29">
        <f>IF($C436="","",IFERROR(INDEX(Deals!$F$2:$F$355,MATCH($C436,Deals!$A$2:$A$355,0)),"?"))</f>
        <v/>
      </c>
      <c r="F436" s="15" t="inlineStr">
        <is>
          <t>Senior Associate</t>
        </is>
      </c>
      <c r="G436" s="15" t="inlineStr">
        <is>
          <t>Inactive</t>
        </is>
      </c>
      <c r="H436" s="27" t="n"/>
      <c r="I436" s="20">
        <f>IF(OR($A436="",$G436&lt;&gt;"Active"),0,IF($H436&lt;&gt;"",$H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</f>
        <v/>
      </c>
      <c r="J436" s="23">
        <f>IF($C436="",0,IFERROR(INDEX(Deals!$H$2:$H$355,MATCH($C436,Deals!$A$2:$A$355,0)),0))</f>
        <v/>
      </c>
      <c r="K436" s="20">
        <f>IF(Settings!$B$4="Yes",$I436*$J436,$I436)</f>
        <v/>
      </c>
      <c r="L436" s="31">
        <f>IF($C436="","",IFERROR(IF(INDEX(Deals!$I$2:$I$355,MATCH($C436,Deals!$A$2:$A$355,0))=0,"",INDEX(Deals!$I$2:$I$355,MATCH($C436,Deals!$A$2:$A$355,0))),""))</f>
        <v/>
      </c>
      <c r="M436" s="31">
        <f>IF($C436="","",IFERROR(IF(INDEX(Deals!$J$2:$J$355,MATCH($C436,Deals!$A$2:$A$355,0))=0,"",INDEX(Deals!$J$2:$J$355,MATCH($C436,Deals!$A$2:$A$355,0))),""))</f>
        <v/>
      </c>
      <c r="N436" s="24">
        <f>IF($L436="",DATE(1900,1,1),$L436)</f>
        <v/>
      </c>
      <c r="O436" s="24">
        <f>IF($M436="",DATE(2100,12,31),$M436)</f>
        <v/>
      </c>
      <c r="P436" s="16" t="inlineStr">
        <is>
          <t>Pencils down</t>
        </is>
      </c>
      <c r="Q436" s="16" t="inlineStr"/>
      <c r="R436" s="29">
        <f>IF($C436="","",IFERROR(IF(INDEX(Deals!$U$2:$U$355,MATCH($C436,Deals!$A$2:$A$355,0))=0,"",INDEX(Deals!$U$2:$U$355,MATCH($C436,Deals!$A$2:$A$355,0))),""))</f>
        <v/>
      </c>
      <c r="S436" s="22">
        <f>IFERROR(IF($U436="",1,INDEX(Deals!$V$2:$V$355,MATCH($C436,Deals!$A$2:$A$355,0))),1)</f>
        <v/>
      </c>
      <c r="T436" s="22">
        <f>IFERROR(IF($U436="",1,INDEX(Deals!$W$2:$W$355,MATCH($C436,Deals!$A$2:$A$355,0))),1)</f>
        <v/>
      </c>
      <c r="U436" s="31">
        <f>IF($C436="","",IFERROR(IF(INDEX(Deals!$Y$2:$Y$355,MATCH($C436,Deals!$A$2:$A$355,0))=0,"",INDEX(Deals!$Y$2:$Y$355,MATCH($C436,Deals!$A$2:$A$355,0))),""))</f>
        <v/>
      </c>
      <c r="V436" s="24">
        <f>IF($U436="",DATE(1900,1,1),$N436)</f>
        <v/>
      </c>
      <c r="W436" s="24">
        <f>IF($U436="",DATE(2100,12,31),$U436)</f>
        <v/>
      </c>
      <c r="X436" s="20">
        <f>IF($U436="",$K436,$K436*$S436)</f>
        <v/>
      </c>
      <c r="Y436" s="24">
        <f>IF($U436="",DATE(2100,12,31),$U436+1)</f>
        <v/>
      </c>
      <c r="Z436" s="24">
        <f>IF($U436="",DATE(1900,1,1),$O436)</f>
        <v/>
      </c>
      <c r="AA436" s="20">
        <f>IF($U436="",0,$K436*$T436)</f>
        <v/>
      </c>
    </row>
    <row r="437">
      <c r="A437" s="15" t="inlineStr">
        <is>
          <t>Nina</t>
        </is>
      </c>
      <c r="B437" s="29">
        <f>IF($A437="","",IFERROR(INDEX(Roster!$B$2:$B$40,MATCH($A437,Roster!$A$2:$A$40,0)),"?"))</f>
        <v/>
      </c>
      <c r="C437" s="15" t="inlineStr">
        <is>
          <t>Atlas_4</t>
        </is>
      </c>
      <c r="D437" s="29">
        <f>IF($C437="","",IFERROR(IF(INDEX(Deals!$C$2:$C$355,MATCH($C437,Deals!$A$2:$A$355,0))=0,"",INDEX(Deals!$C$2:$C$355,MATCH($C437,Deals!$A$2:$A$355,0))),"?"))</f>
        <v/>
      </c>
      <c r="E437" s="29">
        <f>IF($C437="","",IFERROR(INDEX(Deals!$F$2:$F$355,MATCH($C437,Deals!$A$2:$A$355,0)),"?"))</f>
        <v/>
      </c>
      <c r="F437" s="15" t="inlineStr">
        <is>
          <t>Senior Associate</t>
        </is>
      </c>
      <c r="G437" s="15" t="inlineStr">
        <is>
          <t>Inactive</t>
        </is>
      </c>
      <c r="H437" s="27" t="n"/>
      <c r="I437" s="20">
        <f>IF(OR($A437="",$G437&lt;&gt;"Active"),0,IF($H437&lt;&gt;"",$H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</f>
        <v/>
      </c>
      <c r="J437" s="23">
        <f>IF($C437="",0,IFERROR(INDEX(Deals!$H$2:$H$355,MATCH($C437,Deals!$A$2:$A$355,0)),0))</f>
        <v/>
      </c>
      <c r="K437" s="20">
        <f>IF(Settings!$B$4="Yes",$I437*$J437,$I437)</f>
        <v/>
      </c>
      <c r="L437" s="31">
        <f>IF($C437="","",IFERROR(IF(INDEX(Deals!$I$2:$I$355,MATCH($C437,Deals!$A$2:$A$355,0))=0,"",INDEX(Deals!$I$2:$I$355,MATCH($C437,Deals!$A$2:$A$355,0))),""))</f>
        <v/>
      </c>
      <c r="M437" s="31">
        <f>IF($C437="","",IFERROR(IF(INDEX(Deals!$J$2:$J$355,MATCH($C437,Deals!$A$2:$A$355,0))=0,"",INDEX(Deals!$J$2:$J$355,MATCH($C437,Deals!$A$2:$A$355,0))),""))</f>
        <v/>
      </c>
      <c r="N437" s="24">
        <f>IF($L437="",DATE(1900,1,1),$L437)</f>
        <v/>
      </c>
      <c r="O437" s="24">
        <f>IF($M437="",DATE(2100,12,31),$M437)</f>
        <v/>
      </c>
      <c r="P437" s="16" t="inlineStr">
        <is>
          <t>Closed</t>
        </is>
      </c>
      <c r="Q437" s="16" t="inlineStr"/>
      <c r="R437" s="29">
        <f>IF($C437="","",IFERROR(IF(INDEX(Deals!$U$2:$U$355,MATCH($C437,Deals!$A$2:$A$355,0))=0,"",INDEX(Deals!$U$2:$U$355,MATCH($C437,Deals!$A$2:$A$355,0))),""))</f>
        <v/>
      </c>
      <c r="S437" s="22">
        <f>IFERROR(IF($U437="",1,INDEX(Deals!$V$2:$V$355,MATCH($C437,Deals!$A$2:$A$355,0))),1)</f>
        <v/>
      </c>
      <c r="T437" s="22">
        <f>IFERROR(IF($U437="",1,INDEX(Deals!$W$2:$W$355,MATCH($C437,Deals!$A$2:$A$355,0))),1)</f>
        <v/>
      </c>
      <c r="U437" s="31">
        <f>IF($C437="","",IFERROR(IF(INDEX(Deals!$Y$2:$Y$355,MATCH($C437,Deals!$A$2:$A$355,0))=0,"",INDEX(Deals!$Y$2:$Y$355,MATCH($C437,Deals!$A$2:$A$355,0))),""))</f>
        <v/>
      </c>
      <c r="V437" s="24">
        <f>IF($U437="",DATE(1900,1,1),$N437)</f>
        <v/>
      </c>
      <c r="W437" s="24">
        <f>IF($U437="",DATE(2100,12,31),$U437)</f>
        <v/>
      </c>
      <c r="X437" s="20">
        <f>IF($U437="",$K437,$K437*$S437)</f>
        <v/>
      </c>
      <c r="Y437" s="24">
        <f>IF($U437="",DATE(2100,12,31),$U437+1)</f>
        <v/>
      </c>
      <c r="Z437" s="24">
        <f>IF($U437="",DATE(1900,1,1),$O437)</f>
        <v/>
      </c>
      <c r="AA437" s="20">
        <f>IF($U437="",0,$K437*$T437)</f>
        <v/>
      </c>
    </row>
    <row r="438">
      <c r="A438" s="15" t="inlineStr">
        <is>
          <t>Nina</t>
        </is>
      </c>
      <c r="B438" s="29">
        <f>IF($A438="","",IFERROR(INDEX(Roster!$B$2:$B$40,MATCH($A438,Roster!$A$2:$A$40,0)),"?"))</f>
        <v/>
      </c>
      <c r="C438" s="15" t="inlineStr">
        <is>
          <t>Avlino_1</t>
        </is>
      </c>
      <c r="D438" s="29">
        <f>IF($C438="","",IFERROR(IF(INDEX(Deals!$C$2:$C$355,MATCH($C438,Deals!$A$2:$A$355,0))=0,"",INDEX(Deals!$C$2:$C$355,MATCH($C438,Deals!$A$2:$A$355,0))),"?"))</f>
        <v/>
      </c>
      <c r="E438" s="29">
        <f>IF($C438="","",IFERROR(INDEX(Deals!$F$2:$F$355,MATCH($C438,Deals!$A$2:$A$355,0)),"?"))</f>
        <v/>
      </c>
      <c r="F438" s="15" t="inlineStr">
        <is>
          <t>Senior Associate</t>
        </is>
      </c>
      <c r="G438" s="15" t="inlineStr">
        <is>
          <t>Active</t>
        </is>
      </c>
      <c r="H438" s="27" t="n"/>
      <c r="I438" s="20">
        <f>IF(OR($A438="",$G438&lt;&gt;"Active"),0,IF($H438&lt;&gt;"",$H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</f>
        <v/>
      </c>
      <c r="J438" s="23">
        <f>IF($C438="",0,IFERROR(INDEX(Deals!$H$2:$H$355,MATCH($C438,Deals!$A$2:$A$355,0)),0))</f>
        <v/>
      </c>
      <c r="K438" s="20">
        <f>IF(Settings!$B$4="Yes",$I438*$J438,$I438)</f>
        <v/>
      </c>
      <c r="L438" s="31">
        <f>IF($C438="","",IFERROR(IF(INDEX(Deals!$I$2:$I$355,MATCH($C438,Deals!$A$2:$A$355,0))=0,"",INDEX(Deals!$I$2:$I$355,MATCH($C438,Deals!$A$2:$A$355,0))),""))</f>
        <v/>
      </c>
      <c r="M438" s="31">
        <f>IF($C438="","",IFERROR(IF(INDEX(Deals!$J$2:$J$355,MATCH($C438,Deals!$A$2:$A$355,0))=0,"",INDEX(Deals!$J$2:$J$355,MATCH($C438,Deals!$A$2:$A$355,0))),""))</f>
        <v/>
      </c>
      <c r="N438" s="24">
        <f>IF($L438="",DATE(1900,1,1),$L438)</f>
        <v/>
      </c>
      <c r="O438" s="24">
        <f>IF($M438="",DATE(2100,12,31),$M438)</f>
        <v/>
      </c>
      <c r="P438" s="16" t="inlineStr">
        <is>
          <t>Ongoing</t>
        </is>
      </c>
      <c r="Q438" s="16" t="inlineStr">
        <is>
          <t>Added from Summary tab</t>
        </is>
      </c>
      <c r="R438" s="29">
        <f>IF($C438="","",IFERROR(IF(INDEX(Deals!$U$2:$U$355,MATCH($C438,Deals!$A$2:$A$355,0))=0,"",INDEX(Deals!$U$2:$U$355,MATCH($C438,Deals!$A$2:$A$355,0))),""))</f>
        <v/>
      </c>
      <c r="S438" s="22">
        <f>IFERROR(IF($U438="",1,INDEX(Deals!$V$2:$V$355,MATCH($C438,Deals!$A$2:$A$355,0))),1)</f>
        <v/>
      </c>
      <c r="T438" s="22">
        <f>IFERROR(IF($U438="",1,INDEX(Deals!$W$2:$W$355,MATCH($C438,Deals!$A$2:$A$355,0))),1)</f>
        <v/>
      </c>
      <c r="U438" s="31">
        <f>IF($C438="","",IFERROR(IF(INDEX(Deals!$Y$2:$Y$355,MATCH($C438,Deals!$A$2:$A$355,0))=0,"",INDEX(Deals!$Y$2:$Y$355,MATCH($C438,Deals!$A$2:$A$355,0))),""))</f>
        <v/>
      </c>
      <c r="V438" s="24">
        <f>IF($U438="",DATE(1900,1,1),$N438)</f>
        <v/>
      </c>
      <c r="W438" s="24">
        <f>IF($U438="",DATE(2100,12,31),$U438)</f>
        <v/>
      </c>
      <c r="X438" s="20">
        <f>IF($U438="",$K438,$K438*$S438)</f>
        <v/>
      </c>
      <c r="Y438" s="24">
        <f>IF($U438="",DATE(2100,12,31),$U438+1)</f>
        <v/>
      </c>
      <c r="Z438" s="24">
        <f>IF($U438="",DATE(1900,1,1),$O438)</f>
        <v/>
      </c>
      <c r="AA438" s="20">
        <f>IF($U438="",0,$K438*$T438)</f>
        <v/>
      </c>
    </row>
    <row r="439">
      <c r="A439" s="15" t="inlineStr">
        <is>
          <t>Nina</t>
        </is>
      </c>
      <c r="B439" s="29">
        <f>IF($A439="","",IFERROR(INDEX(Roster!$B$2:$B$40,MATCH($A439,Roster!$A$2:$A$40,0)),"?"))</f>
        <v/>
      </c>
      <c r="C439" s="15" t="inlineStr">
        <is>
          <t>Bishopville_1</t>
        </is>
      </c>
      <c r="D439" s="29">
        <f>IF($C439="","",IFERROR(IF(INDEX(Deals!$C$2:$C$355,MATCH($C439,Deals!$A$2:$A$355,0))=0,"",INDEX(Deals!$C$2:$C$355,MATCH($C439,Deals!$A$2:$A$355,0))),"?"))</f>
        <v/>
      </c>
      <c r="E439" s="29">
        <f>IF($C439="","",IFERROR(INDEX(Deals!$F$2:$F$355,MATCH($C439,Deals!$A$2:$A$355,0)),"?"))</f>
        <v/>
      </c>
      <c r="F439" s="15" t="inlineStr">
        <is>
          <t>Senior Associate</t>
        </is>
      </c>
      <c r="G439" s="15" t="inlineStr">
        <is>
          <t>Active</t>
        </is>
      </c>
      <c r="H439" s="27" t="n"/>
      <c r="I439" s="20">
        <f>IF(OR($A439="",$G439&lt;&gt;"Active"),0,IF($H439&lt;&gt;"",$H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</f>
        <v/>
      </c>
      <c r="J439" s="23">
        <f>IF($C439="",0,IFERROR(INDEX(Deals!$H$2:$H$355,MATCH($C439,Deals!$A$2:$A$355,0)),0))</f>
        <v/>
      </c>
      <c r="K439" s="20">
        <f>IF(Settings!$B$4="Yes",$I439*$J439,$I439)</f>
        <v/>
      </c>
      <c r="L439" s="31">
        <f>IF($C439="","",IFERROR(IF(INDEX(Deals!$I$2:$I$355,MATCH($C439,Deals!$A$2:$A$355,0))=0,"",INDEX(Deals!$I$2:$I$355,MATCH($C439,Deals!$A$2:$A$355,0))),""))</f>
        <v/>
      </c>
      <c r="M439" s="31">
        <f>IF($C439="","",IFERROR(IF(INDEX(Deals!$J$2:$J$355,MATCH($C439,Deals!$A$2:$A$355,0))=0,"",INDEX(Deals!$J$2:$J$355,MATCH($C439,Deals!$A$2:$A$355,0))),""))</f>
        <v/>
      </c>
      <c r="N439" s="24">
        <f>IF($L439="",DATE(1900,1,1),$L439)</f>
        <v/>
      </c>
      <c r="O439" s="24">
        <f>IF($M439="",DATE(2100,12,31),$M439)</f>
        <v/>
      </c>
      <c r="P439" s="16" t="inlineStr"/>
      <c r="Q439" s="16" t="inlineStr"/>
      <c r="R439" s="29">
        <f>IF($C439="","",IFERROR(IF(INDEX(Deals!$U$2:$U$355,MATCH($C439,Deals!$A$2:$A$355,0))=0,"",INDEX(Deals!$U$2:$U$355,MATCH($C439,Deals!$A$2:$A$355,0))),""))</f>
        <v/>
      </c>
      <c r="S439" s="22">
        <f>IFERROR(IF($U439="",1,INDEX(Deals!$V$2:$V$355,MATCH($C439,Deals!$A$2:$A$355,0))),1)</f>
        <v/>
      </c>
      <c r="T439" s="22">
        <f>IFERROR(IF($U439="",1,INDEX(Deals!$W$2:$W$355,MATCH($C439,Deals!$A$2:$A$355,0))),1)</f>
        <v/>
      </c>
      <c r="U439" s="31">
        <f>IF($C439="","",IFERROR(IF(INDEX(Deals!$Y$2:$Y$355,MATCH($C439,Deals!$A$2:$A$355,0))=0,"",INDEX(Deals!$Y$2:$Y$355,MATCH($C439,Deals!$A$2:$A$355,0))),""))</f>
        <v/>
      </c>
      <c r="V439" s="24">
        <f>IF($U439="",DATE(1900,1,1),$N439)</f>
        <v/>
      </c>
      <c r="W439" s="24">
        <f>IF($U439="",DATE(2100,12,31),$U439)</f>
        <v/>
      </c>
      <c r="X439" s="20">
        <f>IF($U439="",$K439,$K439*$S439)</f>
        <v/>
      </c>
      <c r="Y439" s="24">
        <f>IF($U439="",DATE(2100,12,31),$U439+1)</f>
        <v/>
      </c>
      <c r="Z439" s="24">
        <f>IF($U439="",DATE(1900,1,1),$O439)</f>
        <v/>
      </c>
      <c r="AA439" s="20">
        <f>IF($U439="",0,$K439*$T439)</f>
        <v/>
      </c>
    </row>
    <row r="440">
      <c r="A440" s="15" t="inlineStr">
        <is>
          <t>Nina</t>
        </is>
      </c>
      <c r="B440" s="29">
        <f>IF($A440="","",IFERROR(INDEX(Roster!$B$2:$B$40,MATCH($A440,Roster!$A$2:$A$40,0)),"?"))</f>
        <v/>
      </c>
      <c r="C440" s="15" t="inlineStr">
        <is>
          <t>Bledsoe_1</t>
        </is>
      </c>
      <c r="D440" s="29">
        <f>IF($C440="","",IFERROR(IF(INDEX(Deals!$C$2:$C$355,MATCH($C440,Deals!$A$2:$A$355,0))=0,"",INDEX(Deals!$C$2:$C$355,MATCH($C440,Deals!$A$2:$A$355,0))),"?"))</f>
        <v/>
      </c>
      <c r="E440" s="29">
        <f>IF($C440="","",IFERROR(INDEX(Deals!$F$2:$F$355,MATCH($C440,Deals!$A$2:$A$355,0)),"?"))</f>
        <v/>
      </c>
      <c r="F440" s="15" t="inlineStr">
        <is>
          <t>Senior Associate</t>
        </is>
      </c>
      <c r="G440" s="15" t="inlineStr">
        <is>
          <t>Active</t>
        </is>
      </c>
      <c r="H440" s="27" t="n"/>
      <c r="I440" s="20">
        <f>IF(OR($A440="",$G440&lt;&gt;"Active"),0,IF($H440&lt;&gt;"",$H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</f>
        <v/>
      </c>
      <c r="J440" s="23">
        <f>IF($C440="",0,IFERROR(INDEX(Deals!$H$2:$H$355,MATCH($C440,Deals!$A$2:$A$355,0)),0))</f>
        <v/>
      </c>
      <c r="K440" s="20">
        <f>IF(Settings!$B$4="Yes",$I440*$J440,$I440)</f>
        <v/>
      </c>
      <c r="L440" s="31">
        <f>IF($C440="","",IFERROR(IF(INDEX(Deals!$I$2:$I$355,MATCH($C440,Deals!$A$2:$A$355,0))=0,"",INDEX(Deals!$I$2:$I$355,MATCH($C440,Deals!$A$2:$A$355,0))),""))</f>
        <v/>
      </c>
      <c r="M440" s="31">
        <f>IF($C440="","",IFERROR(IF(INDEX(Deals!$J$2:$J$355,MATCH($C440,Deals!$A$2:$A$355,0))=0,"",INDEX(Deals!$J$2:$J$355,MATCH($C440,Deals!$A$2:$A$355,0))),""))</f>
        <v/>
      </c>
      <c r="N440" s="24">
        <f>IF($L440="",DATE(1900,1,1),$L440)</f>
        <v/>
      </c>
      <c r="O440" s="24">
        <f>IF($M440="",DATE(2100,12,31),$M440)</f>
        <v/>
      </c>
      <c r="P440" s="16" t="inlineStr">
        <is>
          <t>Ongoing</t>
        </is>
      </c>
      <c r="Q440" s="16" t="inlineStr"/>
      <c r="R440" s="29">
        <f>IF($C440="","",IFERROR(IF(INDEX(Deals!$U$2:$U$355,MATCH($C440,Deals!$A$2:$A$355,0))=0,"",INDEX(Deals!$U$2:$U$355,MATCH($C440,Deals!$A$2:$A$355,0))),""))</f>
        <v/>
      </c>
      <c r="S440" s="22">
        <f>IFERROR(IF($U440="",1,INDEX(Deals!$V$2:$V$355,MATCH($C440,Deals!$A$2:$A$355,0))),1)</f>
        <v/>
      </c>
      <c r="T440" s="22">
        <f>IFERROR(IF($U440="",1,INDEX(Deals!$W$2:$W$355,MATCH($C440,Deals!$A$2:$A$355,0))),1)</f>
        <v/>
      </c>
      <c r="U440" s="31">
        <f>IF($C440="","",IFERROR(IF(INDEX(Deals!$Y$2:$Y$355,MATCH($C440,Deals!$A$2:$A$355,0))=0,"",INDEX(Deals!$Y$2:$Y$355,MATCH($C440,Deals!$A$2:$A$355,0))),""))</f>
        <v/>
      </c>
      <c r="V440" s="24">
        <f>IF($U440="",DATE(1900,1,1),$N440)</f>
        <v/>
      </c>
      <c r="W440" s="24">
        <f>IF($U440="",DATE(2100,12,31),$U440)</f>
        <v/>
      </c>
      <c r="X440" s="20">
        <f>IF($U440="",$K440,$K440*$S440)</f>
        <v/>
      </c>
      <c r="Y440" s="24">
        <f>IF($U440="",DATE(2100,12,31),$U440+1)</f>
        <v/>
      </c>
      <c r="Z440" s="24">
        <f>IF($U440="",DATE(1900,1,1),$O440)</f>
        <v/>
      </c>
      <c r="AA440" s="20">
        <f>IF($U440="",0,$K440*$T440)</f>
        <v/>
      </c>
    </row>
    <row r="441">
      <c r="A441" s="15" t="inlineStr">
        <is>
          <t>Nina</t>
        </is>
      </c>
      <c r="B441" s="29">
        <f>IF($A441="","",IFERROR(INDEX(Roster!$B$2:$B$40,MATCH($A441,Roster!$A$2:$A$40,0)),"?"))</f>
        <v/>
      </c>
      <c r="C441" s="15" t="inlineStr">
        <is>
          <t>Brass_2</t>
        </is>
      </c>
      <c r="D441" s="29">
        <f>IF($C441="","",IFERROR(IF(INDEX(Deals!$C$2:$C$355,MATCH($C441,Deals!$A$2:$A$355,0))=0,"",INDEX(Deals!$C$2:$C$355,MATCH($C441,Deals!$A$2:$A$355,0))),"?"))</f>
        <v/>
      </c>
      <c r="E441" s="29">
        <f>IF($C441="","",IFERROR(INDEX(Deals!$F$2:$F$355,MATCH($C441,Deals!$A$2:$A$355,0)),"?"))</f>
        <v/>
      </c>
      <c r="F441" s="15" t="inlineStr">
        <is>
          <t>Senior Associate</t>
        </is>
      </c>
      <c r="G441" s="15" t="inlineStr">
        <is>
          <t>Active</t>
        </is>
      </c>
      <c r="H441" s="27" t="n"/>
      <c r="I441" s="20">
        <f>IF(OR($A441="",$G441&lt;&gt;"Active"),0,IF($H441&lt;&gt;"",$H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</f>
        <v/>
      </c>
      <c r="J441" s="23">
        <f>IF($C441="",0,IFERROR(INDEX(Deals!$H$2:$H$355,MATCH($C441,Deals!$A$2:$A$355,0)),0))</f>
        <v/>
      </c>
      <c r="K441" s="20">
        <f>IF(Settings!$B$4="Yes",$I441*$J441,$I441)</f>
        <v/>
      </c>
      <c r="L441" s="31">
        <f>IF($C441="","",IFERROR(IF(INDEX(Deals!$I$2:$I$355,MATCH($C441,Deals!$A$2:$A$355,0))=0,"",INDEX(Deals!$I$2:$I$355,MATCH($C441,Deals!$A$2:$A$355,0))),""))</f>
        <v/>
      </c>
      <c r="M441" s="31">
        <f>IF($C441="","",IFERROR(IF(INDEX(Deals!$J$2:$J$355,MATCH($C441,Deals!$A$2:$A$355,0))=0,"",INDEX(Deals!$J$2:$J$355,MATCH($C441,Deals!$A$2:$A$355,0))),""))</f>
        <v/>
      </c>
      <c r="N441" s="24">
        <f>IF($L441="",DATE(1900,1,1),$L441)</f>
        <v/>
      </c>
      <c r="O441" s="24">
        <f>IF($M441="",DATE(2100,12,31),$M441)</f>
        <v/>
      </c>
      <c r="P441" s="16" t="inlineStr"/>
      <c r="Q441" s="16" t="inlineStr"/>
      <c r="R441" s="29">
        <f>IF($C441="","",IFERROR(IF(INDEX(Deals!$U$2:$U$355,MATCH($C441,Deals!$A$2:$A$355,0))=0,"",INDEX(Deals!$U$2:$U$355,MATCH($C441,Deals!$A$2:$A$355,0))),""))</f>
        <v/>
      </c>
      <c r="S441" s="22">
        <f>IFERROR(IF($U441="",1,INDEX(Deals!$V$2:$V$355,MATCH($C441,Deals!$A$2:$A$355,0))),1)</f>
        <v/>
      </c>
      <c r="T441" s="22">
        <f>IFERROR(IF($U441="",1,INDEX(Deals!$W$2:$W$355,MATCH($C441,Deals!$A$2:$A$355,0))),1)</f>
        <v/>
      </c>
      <c r="U441" s="31">
        <f>IF($C441="","",IFERROR(IF(INDEX(Deals!$Y$2:$Y$355,MATCH($C441,Deals!$A$2:$A$355,0))=0,"",INDEX(Deals!$Y$2:$Y$355,MATCH($C441,Deals!$A$2:$A$355,0))),""))</f>
        <v/>
      </c>
      <c r="V441" s="24">
        <f>IF($U441="",DATE(1900,1,1),$N441)</f>
        <v/>
      </c>
      <c r="W441" s="24">
        <f>IF($U441="",DATE(2100,12,31),$U441)</f>
        <v/>
      </c>
      <c r="X441" s="20">
        <f>IF($U441="",$K441,$K441*$S441)</f>
        <v/>
      </c>
      <c r="Y441" s="24">
        <f>IF($U441="",DATE(2100,12,31),$U441+1)</f>
        <v/>
      </c>
      <c r="Z441" s="24">
        <f>IF($U441="",DATE(1900,1,1),$O441)</f>
        <v/>
      </c>
      <c r="AA441" s="20">
        <f>IF($U441="",0,$K441*$T441)</f>
        <v/>
      </c>
    </row>
    <row r="442">
      <c r="A442" s="15" t="inlineStr">
        <is>
          <t>Nina</t>
        </is>
      </c>
      <c r="B442" s="29">
        <f>IF($A442="","",IFERROR(INDEX(Roster!$B$2:$B$40,MATCH($A442,Roster!$A$2:$A$40,0)),"?"))</f>
        <v/>
      </c>
      <c r="C442" s="15" t="inlineStr">
        <is>
          <t>Broadway_1</t>
        </is>
      </c>
      <c r="D442" s="29">
        <f>IF($C442="","",IFERROR(IF(INDEX(Deals!$C$2:$C$355,MATCH($C442,Deals!$A$2:$A$355,0))=0,"",INDEX(Deals!$C$2:$C$355,MATCH($C442,Deals!$A$2:$A$355,0))),"?"))</f>
        <v/>
      </c>
      <c r="E442" s="29">
        <f>IF($C442="","",IFERROR(INDEX(Deals!$F$2:$F$355,MATCH($C442,Deals!$A$2:$A$355,0)),"?"))</f>
        <v/>
      </c>
      <c r="F442" s="15" t="inlineStr">
        <is>
          <t>Senior Associate</t>
        </is>
      </c>
      <c r="G442" s="15" t="inlineStr">
        <is>
          <t>Inactive</t>
        </is>
      </c>
      <c r="H442" s="27" t="n"/>
      <c r="I442" s="20">
        <f>IF(OR($A442="",$G442&lt;&gt;"Active"),0,IF($H442&lt;&gt;"",$H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</f>
        <v/>
      </c>
      <c r="J442" s="23">
        <f>IF($C442="",0,IFERROR(INDEX(Deals!$H$2:$H$355,MATCH($C442,Deals!$A$2:$A$355,0)),0))</f>
        <v/>
      </c>
      <c r="K442" s="20">
        <f>IF(Settings!$B$4="Yes",$I442*$J442,$I442)</f>
        <v/>
      </c>
      <c r="L442" s="31">
        <f>IF($C442="","",IFERROR(IF(INDEX(Deals!$I$2:$I$355,MATCH($C442,Deals!$A$2:$A$355,0))=0,"",INDEX(Deals!$I$2:$I$355,MATCH($C442,Deals!$A$2:$A$355,0))),""))</f>
        <v/>
      </c>
      <c r="M442" s="31">
        <f>IF($C442="","",IFERROR(IF(INDEX(Deals!$J$2:$J$355,MATCH($C442,Deals!$A$2:$A$355,0))=0,"",INDEX(Deals!$J$2:$J$355,MATCH($C442,Deals!$A$2:$A$355,0))),""))</f>
        <v/>
      </c>
      <c r="N442" s="24">
        <f>IF($L442="",DATE(1900,1,1),$L442)</f>
        <v/>
      </c>
      <c r="O442" s="24">
        <f>IF($M442="",DATE(2100,12,31),$M442)</f>
        <v/>
      </c>
      <c r="P442" s="16" t="inlineStr">
        <is>
          <t>Not involved in ongoing work</t>
        </is>
      </c>
      <c r="Q442" s="16" t="inlineStr"/>
      <c r="R442" s="29">
        <f>IF($C442="","",IFERROR(IF(INDEX(Deals!$U$2:$U$355,MATCH($C442,Deals!$A$2:$A$355,0))=0,"",INDEX(Deals!$U$2:$U$355,MATCH($C442,Deals!$A$2:$A$355,0))),""))</f>
        <v/>
      </c>
      <c r="S442" s="22">
        <f>IFERROR(IF($U442="",1,INDEX(Deals!$V$2:$V$355,MATCH($C442,Deals!$A$2:$A$355,0))),1)</f>
        <v/>
      </c>
      <c r="T442" s="22">
        <f>IFERROR(IF($U442="",1,INDEX(Deals!$W$2:$W$355,MATCH($C442,Deals!$A$2:$A$355,0))),1)</f>
        <v/>
      </c>
      <c r="U442" s="31">
        <f>IF($C442="","",IFERROR(IF(INDEX(Deals!$Y$2:$Y$355,MATCH($C442,Deals!$A$2:$A$355,0))=0,"",INDEX(Deals!$Y$2:$Y$355,MATCH($C442,Deals!$A$2:$A$355,0))),""))</f>
        <v/>
      </c>
      <c r="V442" s="24">
        <f>IF($U442="",DATE(1900,1,1),$N442)</f>
        <v/>
      </c>
      <c r="W442" s="24">
        <f>IF($U442="",DATE(2100,12,31),$U442)</f>
        <v/>
      </c>
      <c r="X442" s="20">
        <f>IF($U442="",$K442,$K442*$S442)</f>
        <v/>
      </c>
      <c r="Y442" s="24">
        <f>IF($U442="",DATE(2100,12,31),$U442+1)</f>
        <v/>
      </c>
      <c r="Z442" s="24">
        <f>IF($U442="",DATE(1900,1,1),$O442)</f>
        <v/>
      </c>
      <c r="AA442" s="20">
        <f>IF($U442="",0,$K442*$T442)</f>
        <v/>
      </c>
    </row>
    <row r="443">
      <c r="A443" s="15" t="inlineStr">
        <is>
          <t>Nina</t>
        </is>
      </c>
      <c r="B443" s="29">
        <f>IF($A443="","",IFERROR(INDEX(Roster!$B$2:$B$40,MATCH($A443,Roster!$A$2:$A$40,0)),"?"))</f>
        <v/>
      </c>
      <c r="C443" s="15" t="inlineStr">
        <is>
          <t>Canyon_1</t>
        </is>
      </c>
      <c r="D443" s="29">
        <f>IF($C443="","",IFERROR(IF(INDEX(Deals!$C$2:$C$355,MATCH($C443,Deals!$A$2:$A$355,0))=0,"",INDEX(Deals!$C$2:$C$355,MATCH($C443,Deals!$A$2:$A$355,0))),"?"))</f>
        <v/>
      </c>
      <c r="E443" s="29">
        <f>IF($C443="","",IFERROR(INDEX(Deals!$F$2:$F$355,MATCH($C443,Deals!$A$2:$A$355,0)),"?"))</f>
        <v/>
      </c>
      <c r="F443" s="15" t="inlineStr">
        <is>
          <t>Senior Associate</t>
        </is>
      </c>
      <c r="G443" s="15" t="inlineStr">
        <is>
          <t>Inactive</t>
        </is>
      </c>
      <c r="H443" s="27" t="n"/>
      <c r="I443" s="20">
        <f>IF(OR($A443="",$G443&lt;&gt;"Active"),0,IF($H443&lt;&gt;"",$H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</f>
        <v/>
      </c>
      <c r="J443" s="23">
        <f>IF($C443="",0,IFERROR(INDEX(Deals!$H$2:$H$355,MATCH($C443,Deals!$A$2:$A$355,0)),0))</f>
        <v/>
      </c>
      <c r="K443" s="20">
        <f>IF(Settings!$B$4="Yes",$I443*$J443,$I443)</f>
        <v/>
      </c>
      <c r="L443" s="31">
        <f>IF($C443="","",IFERROR(IF(INDEX(Deals!$I$2:$I$355,MATCH($C443,Deals!$A$2:$A$355,0))=0,"",INDEX(Deals!$I$2:$I$355,MATCH($C443,Deals!$A$2:$A$355,0))),""))</f>
        <v/>
      </c>
      <c r="M443" s="31">
        <f>IF($C443="","",IFERROR(IF(INDEX(Deals!$J$2:$J$355,MATCH($C443,Deals!$A$2:$A$355,0))=0,"",INDEX(Deals!$J$2:$J$355,MATCH($C443,Deals!$A$2:$A$355,0))),""))</f>
        <v/>
      </c>
      <c r="N443" s="24">
        <f>IF($L443="",DATE(1900,1,1),$L443)</f>
        <v/>
      </c>
      <c r="O443" s="24">
        <f>IF($M443="",DATE(2100,12,31),$M443)</f>
        <v/>
      </c>
      <c r="P443" s="16" t="inlineStr">
        <is>
          <t>Closed</t>
        </is>
      </c>
      <c r="Q443" s="16" t="inlineStr"/>
      <c r="R443" s="29">
        <f>IF($C443="","",IFERROR(IF(INDEX(Deals!$U$2:$U$355,MATCH($C443,Deals!$A$2:$A$355,0))=0,"",INDEX(Deals!$U$2:$U$355,MATCH($C443,Deals!$A$2:$A$355,0))),""))</f>
        <v/>
      </c>
      <c r="S443" s="22">
        <f>IFERROR(IF($U443="",1,INDEX(Deals!$V$2:$V$355,MATCH($C443,Deals!$A$2:$A$355,0))),1)</f>
        <v/>
      </c>
      <c r="T443" s="22">
        <f>IFERROR(IF($U443="",1,INDEX(Deals!$W$2:$W$355,MATCH($C443,Deals!$A$2:$A$355,0))),1)</f>
        <v/>
      </c>
      <c r="U443" s="31">
        <f>IF($C443="","",IFERROR(IF(INDEX(Deals!$Y$2:$Y$355,MATCH($C443,Deals!$A$2:$A$355,0))=0,"",INDEX(Deals!$Y$2:$Y$355,MATCH($C443,Deals!$A$2:$A$355,0))),""))</f>
        <v/>
      </c>
      <c r="V443" s="24">
        <f>IF($U443="",DATE(1900,1,1),$N443)</f>
        <v/>
      </c>
      <c r="W443" s="24">
        <f>IF($U443="",DATE(2100,12,31),$U443)</f>
        <v/>
      </c>
      <c r="X443" s="20">
        <f>IF($U443="",$K443,$K443*$S443)</f>
        <v/>
      </c>
      <c r="Y443" s="24">
        <f>IF($U443="",DATE(2100,12,31),$U443+1)</f>
        <v/>
      </c>
      <c r="Z443" s="24">
        <f>IF($U443="",DATE(1900,1,1),$O443)</f>
        <v/>
      </c>
      <c r="AA443" s="20">
        <f>IF($U443="",0,$K443*$T443)</f>
        <v/>
      </c>
    </row>
    <row r="444">
      <c r="A444" s="15" t="inlineStr">
        <is>
          <t>Nina</t>
        </is>
      </c>
      <c r="B444" s="29">
        <f>IF($A444="","",IFERROR(INDEX(Roster!$B$2:$B$40,MATCH($A444,Roster!$A$2:$A$40,0)),"?"))</f>
        <v/>
      </c>
      <c r="C444" s="15" t="inlineStr">
        <is>
          <t>Celestial_1</t>
        </is>
      </c>
      <c r="D444" s="29">
        <f>IF($C444="","",IFERROR(IF(INDEX(Deals!$C$2:$C$355,MATCH($C444,Deals!$A$2:$A$355,0))=0,"",INDEX(Deals!$C$2:$C$355,MATCH($C444,Deals!$A$2:$A$355,0))),"?"))</f>
        <v/>
      </c>
      <c r="E444" s="29">
        <f>IF($C444="","",IFERROR(INDEX(Deals!$F$2:$F$355,MATCH($C444,Deals!$A$2:$A$355,0)),"?"))</f>
        <v/>
      </c>
      <c r="F444" s="15" t="inlineStr">
        <is>
          <t>Senior Associate</t>
        </is>
      </c>
      <c r="G444" s="15" t="inlineStr">
        <is>
          <t>Inactive</t>
        </is>
      </c>
      <c r="H444" s="27" t="n"/>
      <c r="I444" s="20">
        <f>IF(OR($A444="",$G444&lt;&gt;"Active"),0,IF($H444&lt;&gt;"",$H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</f>
        <v/>
      </c>
      <c r="J444" s="23">
        <f>IF($C444="",0,IFERROR(INDEX(Deals!$H$2:$H$355,MATCH($C444,Deals!$A$2:$A$355,0)),0))</f>
        <v/>
      </c>
      <c r="K444" s="20">
        <f>IF(Settings!$B$4="Yes",$I444*$J444,$I444)</f>
        <v/>
      </c>
      <c r="L444" s="31">
        <f>IF($C444="","",IFERROR(IF(INDEX(Deals!$I$2:$I$355,MATCH($C444,Deals!$A$2:$A$355,0))=0,"",INDEX(Deals!$I$2:$I$355,MATCH($C444,Deals!$A$2:$A$355,0))),""))</f>
        <v/>
      </c>
      <c r="M444" s="31">
        <f>IF($C444="","",IFERROR(IF(INDEX(Deals!$J$2:$J$355,MATCH($C444,Deals!$A$2:$A$355,0))=0,"",INDEX(Deals!$J$2:$J$355,MATCH($C444,Deals!$A$2:$A$355,0))),""))</f>
        <v/>
      </c>
      <c r="N444" s="24">
        <f>IF($L444="",DATE(1900,1,1),$L444)</f>
        <v/>
      </c>
      <c r="O444" s="24">
        <f>IF($M444="",DATE(2100,12,31),$M444)</f>
        <v/>
      </c>
      <c r="P444" s="16" t="inlineStr">
        <is>
          <t>Closed</t>
        </is>
      </c>
      <c r="Q444" s="16" t="inlineStr"/>
      <c r="R444" s="29">
        <f>IF($C444="","",IFERROR(IF(INDEX(Deals!$U$2:$U$355,MATCH($C444,Deals!$A$2:$A$355,0))=0,"",INDEX(Deals!$U$2:$U$355,MATCH($C444,Deals!$A$2:$A$355,0))),""))</f>
        <v/>
      </c>
      <c r="S444" s="22">
        <f>IFERROR(IF($U444="",1,INDEX(Deals!$V$2:$V$355,MATCH($C444,Deals!$A$2:$A$355,0))),1)</f>
        <v/>
      </c>
      <c r="T444" s="22">
        <f>IFERROR(IF($U444="",1,INDEX(Deals!$W$2:$W$355,MATCH($C444,Deals!$A$2:$A$355,0))),1)</f>
        <v/>
      </c>
      <c r="U444" s="31">
        <f>IF($C444="","",IFERROR(IF(INDEX(Deals!$Y$2:$Y$355,MATCH($C444,Deals!$A$2:$A$355,0))=0,"",INDEX(Deals!$Y$2:$Y$355,MATCH($C444,Deals!$A$2:$A$355,0))),""))</f>
        <v/>
      </c>
      <c r="V444" s="24">
        <f>IF($U444="",DATE(1900,1,1),$N444)</f>
        <v/>
      </c>
      <c r="W444" s="24">
        <f>IF($U444="",DATE(2100,12,31),$U444)</f>
        <v/>
      </c>
      <c r="X444" s="20">
        <f>IF($U444="",$K444,$K444*$S444)</f>
        <v/>
      </c>
      <c r="Y444" s="24">
        <f>IF($U444="",DATE(2100,12,31),$U444+1)</f>
        <v/>
      </c>
      <c r="Z444" s="24">
        <f>IF($U444="",DATE(1900,1,1),$O444)</f>
        <v/>
      </c>
      <c r="AA444" s="20">
        <f>IF($U444="",0,$K444*$T444)</f>
        <v/>
      </c>
    </row>
    <row r="445">
      <c r="A445" s="15" t="inlineStr">
        <is>
          <t>Nina</t>
        </is>
      </c>
      <c r="B445" s="29">
        <f>IF($A445="","",IFERROR(INDEX(Roster!$B$2:$B$40,MATCH($A445,Roster!$A$2:$A$40,0)),"?"))</f>
        <v/>
      </c>
      <c r="C445" s="15" t="inlineStr">
        <is>
          <t>Chile_1</t>
        </is>
      </c>
      <c r="D445" s="29">
        <f>IF($C445="","",IFERROR(IF(INDEX(Deals!$C$2:$C$355,MATCH($C445,Deals!$A$2:$A$355,0))=0,"",INDEX(Deals!$C$2:$C$355,MATCH($C445,Deals!$A$2:$A$355,0))),"?"))</f>
        <v/>
      </c>
      <c r="E445" s="29">
        <f>IF($C445="","",IFERROR(INDEX(Deals!$F$2:$F$355,MATCH($C445,Deals!$A$2:$A$355,0)),"?"))</f>
        <v/>
      </c>
      <c r="F445" s="15" t="inlineStr">
        <is>
          <t>Senior Associate</t>
        </is>
      </c>
      <c r="G445" s="15" t="inlineStr">
        <is>
          <t>Active</t>
        </is>
      </c>
      <c r="H445" s="27" t="n"/>
      <c r="I445" s="20">
        <f>IF(OR($A445="",$G445&lt;&gt;"Active"),0,IF($H445&lt;&gt;"",$H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</f>
        <v/>
      </c>
      <c r="J445" s="23">
        <f>IF($C445="",0,IFERROR(INDEX(Deals!$H$2:$H$355,MATCH($C445,Deals!$A$2:$A$355,0)),0))</f>
        <v/>
      </c>
      <c r="K445" s="20">
        <f>IF(Settings!$B$4="Yes",$I445*$J445,$I445)</f>
        <v/>
      </c>
      <c r="L445" s="31">
        <f>IF($C445="","",IFERROR(IF(INDEX(Deals!$I$2:$I$355,MATCH($C445,Deals!$A$2:$A$355,0))=0,"",INDEX(Deals!$I$2:$I$355,MATCH($C445,Deals!$A$2:$A$355,0))),""))</f>
        <v/>
      </c>
      <c r="M445" s="31">
        <f>IF($C445="","",IFERROR(IF(INDEX(Deals!$J$2:$J$355,MATCH($C445,Deals!$A$2:$A$355,0))=0,"",INDEX(Deals!$J$2:$J$355,MATCH($C445,Deals!$A$2:$A$355,0))),""))</f>
        <v/>
      </c>
      <c r="N445" s="24">
        <f>IF($L445="",DATE(1900,1,1),$L445)</f>
        <v/>
      </c>
      <c r="O445" s="24">
        <f>IF($M445="",DATE(2100,12,31),$M445)</f>
        <v/>
      </c>
      <c r="P445" s="16" t="inlineStr">
        <is>
          <t>Ongoing</t>
        </is>
      </c>
      <c r="Q445" s="16" t="inlineStr">
        <is>
          <t>Added from Summary tab</t>
        </is>
      </c>
      <c r="R445" s="29">
        <f>IF($C445="","",IFERROR(IF(INDEX(Deals!$U$2:$U$355,MATCH($C445,Deals!$A$2:$A$355,0))=0,"",INDEX(Deals!$U$2:$U$355,MATCH($C445,Deals!$A$2:$A$355,0))),""))</f>
        <v/>
      </c>
      <c r="S445" s="22">
        <f>IFERROR(IF($U445="",1,INDEX(Deals!$V$2:$V$355,MATCH($C445,Deals!$A$2:$A$355,0))),1)</f>
        <v/>
      </c>
      <c r="T445" s="22">
        <f>IFERROR(IF($U445="",1,INDEX(Deals!$W$2:$W$355,MATCH($C445,Deals!$A$2:$A$355,0))),1)</f>
        <v/>
      </c>
      <c r="U445" s="31">
        <f>IF($C445="","",IFERROR(IF(INDEX(Deals!$Y$2:$Y$355,MATCH($C445,Deals!$A$2:$A$355,0))=0,"",INDEX(Deals!$Y$2:$Y$355,MATCH($C445,Deals!$A$2:$A$355,0))),""))</f>
        <v/>
      </c>
      <c r="V445" s="24">
        <f>IF($U445="",DATE(1900,1,1),$N445)</f>
        <v/>
      </c>
      <c r="W445" s="24">
        <f>IF($U445="",DATE(2100,12,31),$U445)</f>
        <v/>
      </c>
      <c r="X445" s="20">
        <f>IF($U445="",$K445,$K445*$S445)</f>
        <v/>
      </c>
      <c r="Y445" s="24">
        <f>IF($U445="",DATE(2100,12,31),$U445+1)</f>
        <v/>
      </c>
      <c r="Z445" s="24">
        <f>IF($U445="",DATE(1900,1,1),$O445)</f>
        <v/>
      </c>
      <c r="AA445" s="20">
        <f>IF($U445="",0,$K445*$T445)</f>
        <v/>
      </c>
    </row>
    <row r="446">
      <c r="A446" s="15" t="inlineStr">
        <is>
          <t>Nina</t>
        </is>
      </c>
      <c r="B446" s="29">
        <f>IF($A446="","",IFERROR(INDEX(Roster!$B$2:$B$40,MATCH($A446,Roster!$A$2:$A$40,0)),"?"))</f>
        <v/>
      </c>
      <c r="C446" s="15" t="inlineStr">
        <is>
          <t>Cirque</t>
        </is>
      </c>
      <c r="D446" s="29">
        <f>IF($C446="","",IFERROR(IF(INDEX(Deals!$C$2:$C$355,MATCH($C446,Deals!$A$2:$A$355,0))=0,"",INDEX(Deals!$C$2:$C$355,MATCH($C446,Deals!$A$2:$A$355,0))),"?"))</f>
        <v/>
      </c>
      <c r="E446" s="29">
        <f>IF($C446="","",IFERROR(INDEX(Deals!$F$2:$F$355,MATCH($C446,Deals!$A$2:$A$355,0)),"?"))</f>
        <v/>
      </c>
      <c r="F446" s="15" t="inlineStr">
        <is>
          <t>Senior Associate</t>
        </is>
      </c>
      <c r="G446" s="15" t="inlineStr">
        <is>
          <t>Active</t>
        </is>
      </c>
      <c r="H446" s="27" t="n"/>
      <c r="I446" s="20">
        <f>IF(OR($A446="",$G446&lt;&gt;"Active"),0,IF($H446&lt;&gt;"",$H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</f>
        <v/>
      </c>
      <c r="J446" s="23">
        <f>IF($C446="",0,IFERROR(INDEX(Deals!$H$2:$H$355,MATCH($C446,Deals!$A$2:$A$355,0)),0))</f>
        <v/>
      </c>
      <c r="K446" s="20">
        <f>IF(Settings!$B$4="Yes",$I446*$J446,$I446)</f>
        <v/>
      </c>
      <c r="L446" s="31">
        <f>IF($C446="","",IFERROR(IF(INDEX(Deals!$I$2:$I$355,MATCH($C446,Deals!$A$2:$A$355,0))=0,"",INDEX(Deals!$I$2:$I$355,MATCH($C446,Deals!$A$2:$A$355,0))),""))</f>
        <v/>
      </c>
      <c r="M446" s="31">
        <f>IF($C446="","",IFERROR(IF(INDEX(Deals!$J$2:$J$355,MATCH($C446,Deals!$A$2:$A$355,0))=0,"",INDEX(Deals!$J$2:$J$355,MATCH($C446,Deals!$A$2:$A$355,0))),""))</f>
        <v/>
      </c>
      <c r="N446" s="24">
        <f>IF($L446="",DATE(1900,1,1),$L446)</f>
        <v/>
      </c>
      <c r="O446" s="24">
        <f>IF($M446="",DATE(2100,12,31),$M446)</f>
        <v/>
      </c>
      <c r="P446" s="16" t="inlineStr">
        <is>
          <t>Proposal sent</t>
        </is>
      </c>
      <c r="Q446" s="16" t="inlineStr">
        <is>
          <t>Added from Summary tab</t>
        </is>
      </c>
      <c r="R446" s="29">
        <f>IF($C446="","",IFERROR(IF(INDEX(Deals!$U$2:$U$355,MATCH($C446,Deals!$A$2:$A$355,0))=0,"",INDEX(Deals!$U$2:$U$355,MATCH($C446,Deals!$A$2:$A$355,0))),""))</f>
        <v/>
      </c>
      <c r="S446" s="22">
        <f>IFERROR(IF($U446="",1,INDEX(Deals!$V$2:$V$355,MATCH($C446,Deals!$A$2:$A$355,0))),1)</f>
        <v/>
      </c>
      <c r="T446" s="22">
        <f>IFERROR(IF($U446="",1,INDEX(Deals!$W$2:$W$355,MATCH($C446,Deals!$A$2:$A$355,0))),1)</f>
        <v/>
      </c>
      <c r="U446" s="31">
        <f>IF($C446="","",IFERROR(IF(INDEX(Deals!$Y$2:$Y$355,MATCH($C446,Deals!$A$2:$A$355,0))=0,"",INDEX(Deals!$Y$2:$Y$355,MATCH($C446,Deals!$A$2:$A$355,0))),""))</f>
        <v/>
      </c>
      <c r="V446" s="24">
        <f>IF($U446="",DATE(1900,1,1),$N446)</f>
        <v/>
      </c>
      <c r="W446" s="24">
        <f>IF($U446="",DATE(2100,12,31),$U446)</f>
        <v/>
      </c>
      <c r="X446" s="20">
        <f>IF($U446="",$K446,$K446*$S446)</f>
        <v/>
      </c>
      <c r="Y446" s="24">
        <f>IF($U446="",DATE(2100,12,31),$U446+1)</f>
        <v/>
      </c>
      <c r="Z446" s="24">
        <f>IF($U446="",DATE(1900,1,1),$O446)</f>
        <v/>
      </c>
      <c r="AA446" s="20">
        <f>IF($U446="",0,$K446*$T446)</f>
        <v/>
      </c>
    </row>
    <row r="447">
      <c r="A447" s="15" t="inlineStr">
        <is>
          <t>Nina</t>
        </is>
      </c>
      <c r="B447" s="29">
        <f>IF($A447="","",IFERROR(INDEX(Roster!$B$2:$B$40,MATCH($A447,Roster!$A$2:$A$40,0)),"?"))</f>
        <v/>
      </c>
      <c r="C447" s="15" t="inlineStr">
        <is>
          <t>code not yet requested</t>
        </is>
      </c>
      <c r="D447" s="29">
        <f>IF($C447="","",IFERROR(IF(INDEX(Deals!$C$2:$C$355,MATCH($C447,Deals!$A$2:$A$355,0))=0,"",INDEX(Deals!$C$2:$C$355,MATCH($C447,Deals!$A$2:$A$355,0))),"?"))</f>
        <v/>
      </c>
      <c r="E447" s="29">
        <f>IF($C447="","",IFERROR(INDEX(Deals!$F$2:$F$355,MATCH($C447,Deals!$A$2:$A$355,0)),"?"))</f>
        <v/>
      </c>
      <c r="F447" s="15" t="inlineStr">
        <is>
          <t>Senior Associate</t>
        </is>
      </c>
      <c r="G447" s="15" t="inlineStr">
        <is>
          <t>Active</t>
        </is>
      </c>
      <c r="H447" s="27" t="n"/>
      <c r="I447" s="20">
        <f>IF(OR($A447="",$G447&lt;&gt;"Active"),0,IF($H447&lt;&gt;"",$H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</f>
        <v/>
      </c>
      <c r="J447" s="23">
        <f>IF($C447="",0,IFERROR(INDEX(Deals!$H$2:$H$355,MATCH($C447,Deals!$A$2:$A$355,0)),0))</f>
        <v/>
      </c>
      <c r="K447" s="20">
        <f>IF(Settings!$B$4="Yes",$I447*$J447,$I447)</f>
        <v/>
      </c>
      <c r="L447" s="31">
        <f>IF($C447="","",IFERROR(IF(INDEX(Deals!$I$2:$I$355,MATCH($C447,Deals!$A$2:$A$355,0))=0,"",INDEX(Deals!$I$2:$I$355,MATCH($C447,Deals!$A$2:$A$355,0))),""))</f>
        <v/>
      </c>
      <c r="M447" s="31">
        <f>IF($C447="","",IFERROR(IF(INDEX(Deals!$J$2:$J$355,MATCH($C447,Deals!$A$2:$A$355,0))=0,"",INDEX(Deals!$J$2:$J$355,MATCH($C447,Deals!$A$2:$A$355,0))),""))</f>
        <v/>
      </c>
      <c r="N447" s="24">
        <f>IF($L447="",DATE(1900,1,1),$L447)</f>
        <v/>
      </c>
      <c r="O447" s="24">
        <f>IF($M447="",DATE(2100,12,31),$M447)</f>
        <v/>
      </c>
      <c r="P447" s="16" t="inlineStr">
        <is>
          <t>Proposal</t>
        </is>
      </c>
      <c r="Q447" s="16" t="inlineStr">
        <is>
          <t>Added from Summary tab</t>
        </is>
      </c>
      <c r="R447" s="29">
        <f>IF($C447="","",IFERROR(IF(INDEX(Deals!$U$2:$U$355,MATCH($C447,Deals!$A$2:$A$355,0))=0,"",INDEX(Deals!$U$2:$U$355,MATCH($C447,Deals!$A$2:$A$355,0))),""))</f>
        <v/>
      </c>
      <c r="S447" s="22">
        <f>IFERROR(IF($U447="",1,INDEX(Deals!$V$2:$V$355,MATCH($C447,Deals!$A$2:$A$355,0))),1)</f>
        <v/>
      </c>
      <c r="T447" s="22">
        <f>IFERROR(IF($U447="",1,INDEX(Deals!$W$2:$W$355,MATCH($C447,Deals!$A$2:$A$355,0))),1)</f>
        <v/>
      </c>
      <c r="U447" s="31">
        <f>IF($C447="","",IFERROR(IF(INDEX(Deals!$Y$2:$Y$355,MATCH($C447,Deals!$A$2:$A$355,0))=0,"",INDEX(Deals!$Y$2:$Y$355,MATCH($C447,Deals!$A$2:$A$355,0))),""))</f>
        <v/>
      </c>
      <c r="V447" s="24">
        <f>IF($U447="",DATE(1900,1,1),$N447)</f>
        <v/>
      </c>
      <c r="W447" s="24">
        <f>IF($U447="",DATE(2100,12,31),$U447)</f>
        <v/>
      </c>
      <c r="X447" s="20">
        <f>IF($U447="",$K447,$K447*$S447)</f>
        <v/>
      </c>
      <c r="Y447" s="24">
        <f>IF($U447="",DATE(2100,12,31),$U447+1)</f>
        <v/>
      </c>
      <c r="Z447" s="24">
        <f>IF($U447="",DATE(1900,1,1),$O447)</f>
        <v/>
      </c>
      <c r="AA447" s="20">
        <f>IF($U447="",0,$K447*$T447)</f>
        <v/>
      </c>
    </row>
    <row r="448">
      <c r="A448" s="15" t="inlineStr">
        <is>
          <t>Nina</t>
        </is>
      </c>
      <c r="B448" s="29">
        <f>IF($A448="","",IFERROR(INDEX(Roster!$B$2:$B$40,MATCH($A448,Roster!$A$2:$A$40,0)),"?"))</f>
        <v/>
      </c>
      <c r="C448" s="15" t="inlineStr">
        <is>
          <t>Denali_3</t>
        </is>
      </c>
      <c r="D448" s="29">
        <f>IF($C448="","",IFERROR(IF(INDEX(Deals!$C$2:$C$355,MATCH($C448,Deals!$A$2:$A$355,0))=0,"",INDEX(Deals!$C$2:$C$355,MATCH($C448,Deals!$A$2:$A$355,0))),"?"))</f>
        <v/>
      </c>
      <c r="E448" s="29">
        <f>IF($C448="","",IFERROR(INDEX(Deals!$F$2:$F$355,MATCH($C448,Deals!$A$2:$A$355,0)),"?"))</f>
        <v/>
      </c>
      <c r="F448" s="15" t="inlineStr">
        <is>
          <t>Senior Associate</t>
        </is>
      </c>
      <c r="G448" s="15" t="inlineStr">
        <is>
          <t>Active</t>
        </is>
      </c>
      <c r="H448" s="27" t="n"/>
      <c r="I448" s="20">
        <f>IF(OR($A448="",$G448&lt;&gt;"Active"),0,IF($H448&lt;&gt;"",$H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</f>
        <v/>
      </c>
      <c r="J448" s="23">
        <f>IF($C448="",0,IFERROR(INDEX(Deals!$H$2:$H$355,MATCH($C448,Deals!$A$2:$A$355,0)),0))</f>
        <v/>
      </c>
      <c r="K448" s="20">
        <f>IF(Settings!$B$4="Yes",$I448*$J448,$I448)</f>
        <v/>
      </c>
      <c r="L448" s="31">
        <f>IF($C448="","",IFERROR(IF(INDEX(Deals!$I$2:$I$355,MATCH($C448,Deals!$A$2:$A$355,0))=0,"",INDEX(Deals!$I$2:$I$355,MATCH($C448,Deals!$A$2:$A$355,0))),""))</f>
        <v/>
      </c>
      <c r="M448" s="31">
        <f>IF($C448="","",IFERROR(IF(INDEX(Deals!$J$2:$J$355,MATCH($C448,Deals!$A$2:$A$355,0))=0,"",INDEX(Deals!$J$2:$J$355,MATCH($C448,Deals!$A$2:$A$355,0))),""))</f>
        <v/>
      </c>
      <c r="N448" s="24">
        <f>IF($L448="",DATE(1900,1,1),$L448)</f>
        <v/>
      </c>
      <c r="O448" s="24">
        <f>IF($M448="",DATE(2100,12,31),$M448)</f>
        <v/>
      </c>
      <c r="P448" s="16" t="inlineStr"/>
      <c r="Q448" s="16" t="inlineStr"/>
      <c r="R448" s="29">
        <f>IF($C448="","",IFERROR(IF(INDEX(Deals!$U$2:$U$355,MATCH($C448,Deals!$A$2:$A$355,0))=0,"",INDEX(Deals!$U$2:$U$355,MATCH($C448,Deals!$A$2:$A$355,0))),""))</f>
        <v/>
      </c>
      <c r="S448" s="22">
        <f>IFERROR(IF($U448="",1,INDEX(Deals!$V$2:$V$355,MATCH($C448,Deals!$A$2:$A$355,0))),1)</f>
        <v/>
      </c>
      <c r="T448" s="22">
        <f>IFERROR(IF($U448="",1,INDEX(Deals!$W$2:$W$355,MATCH($C448,Deals!$A$2:$A$355,0))),1)</f>
        <v/>
      </c>
      <c r="U448" s="31">
        <f>IF($C448="","",IFERROR(IF(INDEX(Deals!$Y$2:$Y$355,MATCH($C448,Deals!$A$2:$A$355,0))=0,"",INDEX(Deals!$Y$2:$Y$355,MATCH($C448,Deals!$A$2:$A$355,0))),""))</f>
        <v/>
      </c>
      <c r="V448" s="24">
        <f>IF($U448="",DATE(1900,1,1),$N448)</f>
        <v/>
      </c>
      <c r="W448" s="24">
        <f>IF($U448="",DATE(2100,12,31),$U448)</f>
        <v/>
      </c>
      <c r="X448" s="20">
        <f>IF($U448="",$K448,$K448*$S448)</f>
        <v/>
      </c>
      <c r="Y448" s="24">
        <f>IF($U448="",DATE(2100,12,31),$U448+1)</f>
        <v/>
      </c>
      <c r="Z448" s="24">
        <f>IF($U448="",DATE(1900,1,1),$O448)</f>
        <v/>
      </c>
      <c r="AA448" s="20">
        <f>IF($U448="",0,$K448*$T448)</f>
        <v/>
      </c>
    </row>
    <row r="449">
      <c r="A449" s="15" t="inlineStr">
        <is>
          <t>Nina</t>
        </is>
      </c>
      <c r="B449" s="29">
        <f>IF($A449="","",IFERROR(INDEX(Roster!$B$2:$B$40,MATCH($A449,Roster!$A$2:$A$40,0)),"?"))</f>
        <v/>
      </c>
      <c r="C449" s="15" t="inlineStr">
        <is>
          <t>Destiny_1</t>
        </is>
      </c>
      <c r="D449" s="29">
        <f>IF($C449="","",IFERROR(IF(INDEX(Deals!$C$2:$C$355,MATCH($C449,Deals!$A$2:$A$355,0))=0,"",INDEX(Deals!$C$2:$C$355,MATCH($C449,Deals!$A$2:$A$355,0))),"?"))</f>
        <v/>
      </c>
      <c r="E449" s="29">
        <f>IF($C449="","",IFERROR(INDEX(Deals!$F$2:$F$355,MATCH($C449,Deals!$A$2:$A$355,0)),"?"))</f>
        <v/>
      </c>
      <c r="F449" s="15" t="inlineStr">
        <is>
          <t>Senior Associate</t>
        </is>
      </c>
      <c r="G449" s="15" t="inlineStr">
        <is>
          <t>Active</t>
        </is>
      </c>
      <c r="H449" s="27" t="n"/>
      <c r="I449" s="20">
        <f>IF(OR($A449="",$G449&lt;&gt;"Active"),0,IF($H449&lt;&gt;"",$H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</f>
        <v/>
      </c>
      <c r="J449" s="23">
        <f>IF($C449="",0,IFERROR(INDEX(Deals!$H$2:$H$355,MATCH($C449,Deals!$A$2:$A$355,0)),0))</f>
        <v/>
      </c>
      <c r="K449" s="20">
        <f>IF(Settings!$B$4="Yes",$I449*$J449,$I449)</f>
        <v/>
      </c>
      <c r="L449" s="31">
        <f>IF($C449="","",IFERROR(IF(INDEX(Deals!$I$2:$I$355,MATCH($C449,Deals!$A$2:$A$355,0))=0,"",INDEX(Deals!$I$2:$I$355,MATCH($C449,Deals!$A$2:$A$355,0))),""))</f>
        <v/>
      </c>
      <c r="M449" s="31">
        <f>IF($C449="","",IFERROR(IF(INDEX(Deals!$J$2:$J$355,MATCH($C449,Deals!$A$2:$A$355,0))=0,"",INDEX(Deals!$J$2:$J$355,MATCH($C449,Deals!$A$2:$A$355,0))),""))</f>
        <v/>
      </c>
      <c r="N449" s="24">
        <f>IF($L449="",DATE(1900,1,1),$L449)</f>
        <v/>
      </c>
      <c r="O449" s="24">
        <f>IF($M449="",DATE(2100,12,31),$M449)</f>
        <v/>
      </c>
      <c r="P449" s="16" t="inlineStr"/>
      <c r="Q449" s="16" t="inlineStr"/>
      <c r="R449" s="29">
        <f>IF($C449="","",IFERROR(IF(INDEX(Deals!$U$2:$U$355,MATCH($C449,Deals!$A$2:$A$355,0))=0,"",INDEX(Deals!$U$2:$U$355,MATCH($C449,Deals!$A$2:$A$355,0))),""))</f>
        <v/>
      </c>
      <c r="S449" s="22">
        <f>IFERROR(IF($U449="",1,INDEX(Deals!$V$2:$V$355,MATCH($C449,Deals!$A$2:$A$355,0))),1)</f>
        <v/>
      </c>
      <c r="T449" s="22">
        <f>IFERROR(IF($U449="",1,INDEX(Deals!$W$2:$W$355,MATCH($C449,Deals!$A$2:$A$355,0))),1)</f>
        <v/>
      </c>
      <c r="U449" s="31">
        <f>IF($C449="","",IFERROR(IF(INDEX(Deals!$Y$2:$Y$355,MATCH($C449,Deals!$A$2:$A$355,0))=0,"",INDEX(Deals!$Y$2:$Y$355,MATCH($C449,Deals!$A$2:$A$355,0))),""))</f>
        <v/>
      </c>
      <c r="V449" s="24">
        <f>IF($U449="",DATE(1900,1,1),$N449)</f>
        <v/>
      </c>
      <c r="W449" s="24">
        <f>IF($U449="",DATE(2100,12,31),$U449)</f>
        <v/>
      </c>
      <c r="X449" s="20">
        <f>IF($U449="",$K449,$K449*$S449)</f>
        <v/>
      </c>
      <c r="Y449" s="24">
        <f>IF($U449="",DATE(2100,12,31),$U449+1)</f>
        <v/>
      </c>
      <c r="Z449" s="24">
        <f>IF($U449="",DATE(1900,1,1),$O449)</f>
        <v/>
      </c>
      <c r="AA449" s="20">
        <f>IF($U449="",0,$K449*$T449)</f>
        <v/>
      </c>
    </row>
    <row r="450">
      <c r="A450" s="15" t="inlineStr">
        <is>
          <t>Nina</t>
        </is>
      </c>
      <c r="B450" s="29">
        <f>IF($A450="","",IFERROR(INDEX(Roster!$B$2:$B$40,MATCH($A450,Roster!$A$2:$A$40,0)),"?"))</f>
        <v/>
      </c>
      <c r="C450" s="15" t="inlineStr">
        <is>
          <t>Eagle_5</t>
        </is>
      </c>
      <c r="D450" s="29">
        <f>IF($C450="","",IFERROR(IF(INDEX(Deals!$C$2:$C$355,MATCH($C450,Deals!$A$2:$A$355,0))=0,"",INDEX(Deals!$C$2:$C$355,MATCH($C450,Deals!$A$2:$A$355,0))),"?"))</f>
        <v/>
      </c>
      <c r="E450" s="29">
        <f>IF($C450="","",IFERROR(INDEX(Deals!$F$2:$F$355,MATCH($C450,Deals!$A$2:$A$355,0)),"?"))</f>
        <v/>
      </c>
      <c r="F450" s="15" t="inlineStr">
        <is>
          <t>Senior Associate</t>
        </is>
      </c>
      <c r="G450" s="15" t="inlineStr">
        <is>
          <t>Active</t>
        </is>
      </c>
      <c r="H450" s="27" t="n"/>
      <c r="I450" s="20">
        <f>IF(OR($A450="",$G450&lt;&gt;"Active"),0,IF($H450&lt;&gt;"",$H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</f>
        <v/>
      </c>
      <c r="J450" s="23">
        <f>IF($C450="",0,IFERROR(INDEX(Deals!$H$2:$H$355,MATCH($C450,Deals!$A$2:$A$355,0)),0))</f>
        <v/>
      </c>
      <c r="K450" s="20">
        <f>IF(Settings!$B$4="Yes",$I450*$J450,$I450)</f>
        <v/>
      </c>
      <c r="L450" s="31">
        <f>IF($C450="","",IFERROR(IF(INDEX(Deals!$I$2:$I$355,MATCH($C450,Deals!$A$2:$A$355,0))=0,"",INDEX(Deals!$I$2:$I$355,MATCH($C450,Deals!$A$2:$A$355,0))),""))</f>
        <v/>
      </c>
      <c r="M450" s="31">
        <f>IF($C450="","",IFERROR(IF(INDEX(Deals!$J$2:$J$355,MATCH($C450,Deals!$A$2:$A$355,0))=0,"",INDEX(Deals!$J$2:$J$355,MATCH($C450,Deals!$A$2:$A$355,0))),""))</f>
        <v/>
      </c>
      <c r="N450" s="24">
        <f>IF($L450="",DATE(1900,1,1),$L450)</f>
        <v/>
      </c>
      <c r="O450" s="24">
        <f>IF($M450="",DATE(2100,12,31),$M450)</f>
        <v/>
      </c>
      <c r="P450" s="16" t="inlineStr">
        <is>
          <t>Ongoing</t>
        </is>
      </c>
      <c r="Q450" s="16" t="inlineStr"/>
      <c r="R450" s="29">
        <f>IF($C450="","",IFERROR(IF(INDEX(Deals!$U$2:$U$355,MATCH($C450,Deals!$A$2:$A$355,0))=0,"",INDEX(Deals!$U$2:$U$355,MATCH($C450,Deals!$A$2:$A$355,0))),""))</f>
        <v/>
      </c>
      <c r="S450" s="22">
        <f>IFERROR(IF($U450="",1,INDEX(Deals!$V$2:$V$355,MATCH($C450,Deals!$A$2:$A$355,0))),1)</f>
        <v/>
      </c>
      <c r="T450" s="22">
        <f>IFERROR(IF($U450="",1,INDEX(Deals!$W$2:$W$355,MATCH($C450,Deals!$A$2:$A$355,0))),1)</f>
        <v/>
      </c>
      <c r="U450" s="31">
        <f>IF($C450="","",IFERROR(IF(INDEX(Deals!$Y$2:$Y$355,MATCH($C450,Deals!$A$2:$A$355,0))=0,"",INDEX(Deals!$Y$2:$Y$355,MATCH($C450,Deals!$A$2:$A$355,0))),""))</f>
        <v/>
      </c>
      <c r="V450" s="24">
        <f>IF($U450="",DATE(1900,1,1),$N450)</f>
        <v/>
      </c>
      <c r="W450" s="24">
        <f>IF($U450="",DATE(2100,12,31),$U450)</f>
        <v/>
      </c>
      <c r="X450" s="20">
        <f>IF($U450="",$K450,$K450*$S450)</f>
        <v/>
      </c>
      <c r="Y450" s="24">
        <f>IF($U450="",DATE(2100,12,31),$U450+1)</f>
        <v/>
      </c>
      <c r="Z450" s="24">
        <f>IF($U450="",DATE(1900,1,1),$O450)</f>
        <v/>
      </c>
      <c r="AA450" s="20">
        <f>IF($U450="",0,$K450*$T450)</f>
        <v/>
      </c>
    </row>
    <row r="451">
      <c r="A451" s="15" t="inlineStr">
        <is>
          <t>Nina</t>
        </is>
      </c>
      <c r="B451" s="29">
        <f>IF($A451="","",IFERROR(INDEX(Roster!$B$2:$B$40,MATCH($A451,Roster!$A$2:$A$40,0)),"?"))</f>
        <v/>
      </c>
      <c r="C451" s="15" t="inlineStr">
        <is>
          <t>Earthshine_2</t>
        </is>
      </c>
      <c r="D451" s="29">
        <f>IF($C451="","",IFERROR(IF(INDEX(Deals!$C$2:$C$355,MATCH($C451,Deals!$A$2:$A$355,0))=0,"",INDEX(Deals!$C$2:$C$355,MATCH($C451,Deals!$A$2:$A$355,0))),"?"))</f>
        <v/>
      </c>
      <c r="E451" s="29">
        <f>IF($C451="","",IFERROR(INDEX(Deals!$F$2:$F$355,MATCH($C451,Deals!$A$2:$A$355,0)),"?"))</f>
        <v/>
      </c>
      <c r="F451" s="15" t="inlineStr">
        <is>
          <t>Senior Associate</t>
        </is>
      </c>
      <c r="G451" s="15" t="inlineStr">
        <is>
          <t>Active</t>
        </is>
      </c>
      <c r="H451" s="27" t="n"/>
      <c r="I451" s="20">
        <f>IF(OR($A451="",$G451&lt;&gt;"Active"),0,IF($H451&lt;&gt;"",$H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</f>
        <v/>
      </c>
      <c r="J451" s="23">
        <f>IF($C451="",0,IFERROR(INDEX(Deals!$H$2:$H$355,MATCH($C451,Deals!$A$2:$A$355,0)),0))</f>
        <v/>
      </c>
      <c r="K451" s="20">
        <f>IF(Settings!$B$4="Yes",$I451*$J451,$I451)</f>
        <v/>
      </c>
      <c r="L451" s="31">
        <f>IF($C451="","",IFERROR(IF(INDEX(Deals!$I$2:$I$355,MATCH($C451,Deals!$A$2:$A$355,0))=0,"",INDEX(Deals!$I$2:$I$355,MATCH($C451,Deals!$A$2:$A$355,0))),""))</f>
        <v/>
      </c>
      <c r="M451" s="31">
        <f>IF($C451="","",IFERROR(IF(INDEX(Deals!$J$2:$J$355,MATCH($C451,Deals!$A$2:$A$355,0))=0,"",INDEX(Deals!$J$2:$J$355,MATCH($C451,Deals!$A$2:$A$355,0))),""))</f>
        <v/>
      </c>
      <c r="N451" s="24">
        <f>IF($L451="",DATE(1900,1,1),$L451)</f>
        <v/>
      </c>
      <c r="O451" s="24">
        <f>IF($M451="",DATE(2100,12,31),$M451)</f>
        <v/>
      </c>
      <c r="P451" s="16" t="inlineStr"/>
      <c r="Q451" s="16" t="inlineStr"/>
      <c r="R451" s="29">
        <f>IF($C451="","",IFERROR(IF(INDEX(Deals!$U$2:$U$355,MATCH($C451,Deals!$A$2:$A$355,0))=0,"",INDEX(Deals!$U$2:$U$355,MATCH($C451,Deals!$A$2:$A$355,0))),""))</f>
        <v/>
      </c>
      <c r="S451" s="22">
        <f>IFERROR(IF($U451="",1,INDEX(Deals!$V$2:$V$355,MATCH($C451,Deals!$A$2:$A$355,0))),1)</f>
        <v/>
      </c>
      <c r="T451" s="22">
        <f>IFERROR(IF($U451="",1,INDEX(Deals!$W$2:$W$355,MATCH($C451,Deals!$A$2:$A$355,0))),1)</f>
        <v/>
      </c>
      <c r="U451" s="31">
        <f>IF($C451="","",IFERROR(IF(INDEX(Deals!$Y$2:$Y$355,MATCH($C451,Deals!$A$2:$A$355,0))=0,"",INDEX(Deals!$Y$2:$Y$355,MATCH($C451,Deals!$A$2:$A$355,0))),""))</f>
        <v/>
      </c>
      <c r="V451" s="24">
        <f>IF($U451="",DATE(1900,1,1),$N451)</f>
        <v/>
      </c>
      <c r="W451" s="24">
        <f>IF($U451="",DATE(2100,12,31),$U451)</f>
        <v/>
      </c>
      <c r="X451" s="20">
        <f>IF($U451="",$K451,$K451*$S451)</f>
        <v/>
      </c>
      <c r="Y451" s="24">
        <f>IF($U451="",DATE(2100,12,31),$U451+1)</f>
        <v/>
      </c>
      <c r="Z451" s="24">
        <f>IF($U451="",DATE(1900,1,1),$O451)</f>
        <v/>
      </c>
      <c r="AA451" s="20">
        <f>IF($U451="",0,$K451*$T451)</f>
        <v/>
      </c>
    </row>
    <row r="452">
      <c r="A452" s="15" t="inlineStr">
        <is>
          <t>Nina</t>
        </is>
      </c>
      <c r="B452" s="29">
        <f>IF($A452="","",IFERROR(INDEX(Roster!$B$2:$B$40,MATCH($A452,Roster!$A$2:$A$40,0)),"?"))</f>
        <v/>
      </c>
      <c r="C452" s="15" t="inlineStr">
        <is>
          <t>Elm_2</t>
        </is>
      </c>
      <c r="D452" s="29">
        <f>IF($C452="","",IFERROR(IF(INDEX(Deals!$C$2:$C$355,MATCH($C452,Deals!$A$2:$A$355,0))=0,"",INDEX(Deals!$C$2:$C$355,MATCH($C452,Deals!$A$2:$A$355,0))),"?"))</f>
        <v/>
      </c>
      <c r="E452" s="29">
        <f>IF($C452="","",IFERROR(INDEX(Deals!$F$2:$F$355,MATCH($C452,Deals!$A$2:$A$355,0)),"?"))</f>
        <v/>
      </c>
      <c r="F452" s="15" t="inlineStr">
        <is>
          <t>Senior Associate</t>
        </is>
      </c>
      <c r="G452" s="15" t="inlineStr">
        <is>
          <t>Active</t>
        </is>
      </c>
      <c r="H452" s="27" t="n"/>
      <c r="I452" s="20">
        <f>IF(OR($A452="",$G452&lt;&gt;"Active"),0,IF($H452&lt;&gt;"",$H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</f>
        <v/>
      </c>
      <c r="J452" s="23">
        <f>IF($C452="",0,IFERROR(INDEX(Deals!$H$2:$H$355,MATCH($C452,Deals!$A$2:$A$355,0)),0))</f>
        <v/>
      </c>
      <c r="K452" s="20">
        <f>IF(Settings!$B$4="Yes",$I452*$J452,$I452)</f>
        <v/>
      </c>
      <c r="L452" s="31">
        <f>IF($C452="","",IFERROR(IF(INDEX(Deals!$I$2:$I$355,MATCH($C452,Deals!$A$2:$A$355,0))=0,"",INDEX(Deals!$I$2:$I$355,MATCH($C452,Deals!$A$2:$A$355,0))),""))</f>
        <v/>
      </c>
      <c r="M452" s="31">
        <f>IF($C452="","",IFERROR(IF(INDEX(Deals!$J$2:$J$355,MATCH($C452,Deals!$A$2:$A$355,0))=0,"",INDEX(Deals!$J$2:$J$355,MATCH($C452,Deals!$A$2:$A$355,0))),""))</f>
        <v/>
      </c>
      <c r="N452" s="24">
        <f>IF($L452="",DATE(1900,1,1),$L452)</f>
        <v/>
      </c>
      <c r="O452" s="24">
        <f>IF($M452="",DATE(2100,12,31),$M452)</f>
        <v/>
      </c>
      <c r="P452" s="16" t="inlineStr">
        <is>
          <t>Ongoing</t>
        </is>
      </c>
      <c r="Q452" s="16" t="inlineStr"/>
      <c r="R452" s="29">
        <f>IF($C452="","",IFERROR(IF(INDEX(Deals!$U$2:$U$355,MATCH($C452,Deals!$A$2:$A$355,0))=0,"",INDEX(Deals!$U$2:$U$355,MATCH($C452,Deals!$A$2:$A$355,0))),""))</f>
        <v/>
      </c>
      <c r="S452" s="22">
        <f>IFERROR(IF($U452="",1,INDEX(Deals!$V$2:$V$355,MATCH($C452,Deals!$A$2:$A$355,0))),1)</f>
        <v/>
      </c>
      <c r="T452" s="22">
        <f>IFERROR(IF($U452="",1,INDEX(Deals!$W$2:$W$355,MATCH($C452,Deals!$A$2:$A$355,0))),1)</f>
        <v/>
      </c>
      <c r="U452" s="31">
        <f>IF($C452="","",IFERROR(IF(INDEX(Deals!$Y$2:$Y$355,MATCH($C452,Deals!$A$2:$A$355,0))=0,"",INDEX(Deals!$Y$2:$Y$355,MATCH($C452,Deals!$A$2:$A$355,0))),""))</f>
        <v/>
      </c>
      <c r="V452" s="24">
        <f>IF($U452="",DATE(1900,1,1),$N452)</f>
        <v/>
      </c>
      <c r="W452" s="24">
        <f>IF($U452="",DATE(2100,12,31),$U452)</f>
        <v/>
      </c>
      <c r="X452" s="20">
        <f>IF($U452="",$K452,$K452*$S452)</f>
        <v/>
      </c>
      <c r="Y452" s="24">
        <f>IF($U452="",DATE(2100,12,31),$U452+1)</f>
        <v/>
      </c>
      <c r="Z452" s="24">
        <f>IF($U452="",DATE(1900,1,1),$O452)</f>
        <v/>
      </c>
      <c r="AA452" s="20">
        <f>IF($U452="",0,$K452*$T452)</f>
        <v/>
      </c>
    </row>
    <row r="453">
      <c r="A453" s="15" t="inlineStr">
        <is>
          <t>Nina</t>
        </is>
      </c>
      <c r="B453" s="29">
        <f>IF($A453="","",IFERROR(INDEX(Roster!$B$2:$B$40,MATCH($A453,Roster!$A$2:$A$40,0)),"?"))</f>
        <v/>
      </c>
      <c r="C453" s="15" t="inlineStr">
        <is>
          <t>Enterprise_1</t>
        </is>
      </c>
      <c r="D453" s="29">
        <f>IF($C453="","",IFERROR(IF(INDEX(Deals!$C$2:$C$355,MATCH($C453,Deals!$A$2:$A$355,0))=0,"",INDEX(Deals!$C$2:$C$355,MATCH($C453,Deals!$A$2:$A$355,0))),"?"))</f>
        <v/>
      </c>
      <c r="E453" s="29">
        <f>IF($C453="","",IFERROR(INDEX(Deals!$F$2:$F$355,MATCH($C453,Deals!$A$2:$A$355,0)),"?"))</f>
        <v/>
      </c>
      <c r="F453" s="15" t="inlineStr">
        <is>
          <t>Senior Associate</t>
        </is>
      </c>
      <c r="G453" s="15" t="inlineStr">
        <is>
          <t>Inactive</t>
        </is>
      </c>
      <c r="H453" s="27" t="n"/>
      <c r="I453" s="20">
        <f>IF(OR($A453="",$G453&lt;&gt;"Active"),0,IF($H453&lt;&gt;"",$H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</f>
        <v/>
      </c>
      <c r="J453" s="23">
        <f>IF($C453="",0,IFERROR(INDEX(Deals!$H$2:$H$355,MATCH($C453,Deals!$A$2:$A$355,0)),0))</f>
        <v/>
      </c>
      <c r="K453" s="20">
        <f>IF(Settings!$B$4="Yes",$I453*$J453,$I453)</f>
        <v/>
      </c>
      <c r="L453" s="31">
        <f>IF($C453="","",IFERROR(IF(INDEX(Deals!$I$2:$I$355,MATCH($C453,Deals!$A$2:$A$355,0))=0,"",INDEX(Deals!$I$2:$I$355,MATCH($C453,Deals!$A$2:$A$355,0))),""))</f>
        <v/>
      </c>
      <c r="M453" s="31">
        <f>IF($C453="","",IFERROR(IF(INDEX(Deals!$J$2:$J$355,MATCH($C453,Deals!$A$2:$A$355,0))=0,"",INDEX(Deals!$J$2:$J$355,MATCH($C453,Deals!$A$2:$A$355,0))),""))</f>
        <v/>
      </c>
      <c r="N453" s="24">
        <f>IF($L453="",DATE(1900,1,1),$L453)</f>
        <v/>
      </c>
      <c r="O453" s="24">
        <f>IF($M453="",DATE(2100,12,31),$M453)</f>
        <v/>
      </c>
      <c r="P453" s="16" t="inlineStr">
        <is>
          <t>Closed</t>
        </is>
      </c>
      <c r="Q453" s="16" t="inlineStr"/>
      <c r="R453" s="29">
        <f>IF($C453="","",IFERROR(IF(INDEX(Deals!$U$2:$U$355,MATCH($C453,Deals!$A$2:$A$355,0))=0,"",INDEX(Deals!$U$2:$U$355,MATCH($C453,Deals!$A$2:$A$355,0))),""))</f>
        <v/>
      </c>
      <c r="S453" s="22">
        <f>IFERROR(IF($U453="",1,INDEX(Deals!$V$2:$V$355,MATCH($C453,Deals!$A$2:$A$355,0))),1)</f>
        <v/>
      </c>
      <c r="T453" s="22">
        <f>IFERROR(IF($U453="",1,INDEX(Deals!$W$2:$W$355,MATCH($C453,Deals!$A$2:$A$355,0))),1)</f>
        <v/>
      </c>
      <c r="U453" s="31">
        <f>IF($C453="","",IFERROR(IF(INDEX(Deals!$Y$2:$Y$355,MATCH($C453,Deals!$A$2:$A$355,0))=0,"",INDEX(Deals!$Y$2:$Y$355,MATCH($C453,Deals!$A$2:$A$355,0))),""))</f>
        <v/>
      </c>
      <c r="V453" s="24">
        <f>IF($U453="",DATE(1900,1,1),$N453)</f>
        <v/>
      </c>
      <c r="W453" s="24">
        <f>IF($U453="",DATE(2100,12,31),$U453)</f>
        <v/>
      </c>
      <c r="X453" s="20">
        <f>IF($U453="",$K453,$K453*$S453)</f>
        <v/>
      </c>
      <c r="Y453" s="24">
        <f>IF($U453="",DATE(2100,12,31),$U453+1)</f>
        <v/>
      </c>
      <c r="Z453" s="24">
        <f>IF($U453="",DATE(1900,1,1),$O453)</f>
        <v/>
      </c>
      <c r="AA453" s="20">
        <f>IF($U453="",0,$K453*$T453)</f>
        <v/>
      </c>
    </row>
    <row r="454">
      <c r="A454" s="15" t="inlineStr">
        <is>
          <t>Nina</t>
        </is>
      </c>
      <c r="B454" s="29">
        <f>IF($A454="","",IFERROR(INDEX(Roster!$B$2:$B$40,MATCH($A454,Roster!$A$2:$A$40,0)),"?"))</f>
        <v/>
      </c>
      <c r="C454" s="15" t="inlineStr">
        <is>
          <t>EOS VDD_1</t>
        </is>
      </c>
      <c r="D454" s="29">
        <f>IF($C454="","",IFERROR(IF(INDEX(Deals!$C$2:$C$355,MATCH($C454,Deals!$A$2:$A$355,0))=0,"",INDEX(Deals!$C$2:$C$355,MATCH($C454,Deals!$A$2:$A$355,0))),"?"))</f>
        <v/>
      </c>
      <c r="E454" s="29">
        <f>IF($C454="","",IFERROR(INDEX(Deals!$F$2:$F$355,MATCH($C454,Deals!$A$2:$A$355,0)),"?"))</f>
        <v/>
      </c>
      <c r="F454" s="15" t="inlineStr">
        <is>
          <t>Senior Associate</t>
        </is>
      </c>
      <c r="G454" s="15" t="inlineStr">
        <is>
          <t>Active</t>
        </is>
      </c>
      <c r="H454" s="27" t="n"/>
      <c r="I454" s="20">
        <f>IF(OR($A454="",$G454&lt;&gt;"Active"),0,IF($H454&lt;&gt;"",$H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</f>
        <v/>
      </c>
      <c r="J454" s="23">
        <f>IF($C454="",0,IFERROR(INDEX(Deals!$H$2:$H$355,MATCH($C454,Deals!$A$2:$A$355,0)),0))</f>
        <v/>
      </c>
      <c r="K454" s="20">
        <f>IF(Settings!$B$4="Yes",$I454*$J454,$I454)</f>
        <v/>
      </c>
      <c r="L454" s="31">
        <f>IF($C454="","",IFERROR(IF(INDEX(Deals!$I$2:$I$355,MATCH($C454,Deals!$A$2:$A$355,0))=0,"",INDEX(Deals!$I$2:$I$355,MATCH($C454,Deals!$A$2:$A$355,0))),""))</f>
        <v/>
      </c>
      <c r="M454" s="31">
        <f>IF($C454="","",IFERROR(IF(INDEX(Deals!$J$2:$J$355,MATCH($C454,Deals!$A$2:$A$355,0))=0,"",INDEX(Deals!$J$2:$J$355,MATCH($C454,Deals!$A$2:$A$355,0))),""))</f>
        <v/>
      </c>
      <c r="N454" s="24">
        <f>IF($L454="",DATE(1900,1,1),$L454)</f>
        <v/>
      </c>
      <c r="O454" s="24">
        <f>IF($M454="",DATE(2100,12,31),$M454)</f>
        <v/>
      </c>
      <c r="P454" s="16" t="inlineStr">
        <is>
          <t>Ongoing</t>
        </is>
      </c>
      <c r="Q454" s="16" t="inlineStr">
        <is>
          <t>Added from Summary tab</t>
        </is>
      </c>
      <c r="R454" s="29">
        <f>IF($C454="","",IFERROR(IF(INDEX(Deals!$U$2:$U$355,MATCH($C454,Deals!$A$2:$A$355,0))=0,"",INDEX(Deals!$U$2:$U$355,MATCH($C454,Deals!$A$2:$A$355,0))),""))</f>
        <v/>
      </c>
      <c r="S454" s="22">
        <f>IFERROR(IF($U454="",1,INDEX(Deals!$V$2:$V$355,MATCH($C454,Deals!$A$2:$A$355,0))),1)</f>
        <v/>
      </c>
      <c r="T454" s="22">
        <f>IFERROR(IF($U454="",1,INDEX(Deals!$W$2:$W$355,MATCH($C454,Deals!$A$2:$A$355,0))),1)</f>
        <v/>
      </c>
      <c r="U454" s="31">
        <f>IF($C454="","",IFERROR(IF(INDEX(Deals!$Y$2:$Y$355,MATCH($C454,Deals!$A$2:$A$355,0))=0,"",INDEX(Deals!$Y$2:$Y$355,MATCH($C454,Deals!$A$2:$A$355,0))),""))</f>
        <v/>
      </c>
      <c r="V454" s="24">
        <f>IF($U454="",DATE(1900,1,1),$N454)</f>
        <v/>
      </c>
      <c r="W454" s="24">
        <f>IF($U454="",DATE(2100,12,31),$U454)</f>
        <v/>
      </c>
      <c r="X454" s="20">
        <f>IF($U454="",$K454,$K454*$S454)</f>
        <v/>
      </c>
      <c r="Y454" s="24">
        <f>IF($U454="",DATE(2100,12,31),$U454+1)</f>
        <v/>
      </c>
      <c r="Z454" s="24">
        <f>IF($U454="",DATE(1900,1,1),$O454)</f>
        <v/>
      </c>
      <c r="AA454" s="20">
        <f>IF($U454="",0,$K454*$T454)</f>
        <v/>
      </c>
    </row>
    <row r="455">
      <c r="A455" s="15" t="inlineStr">
        <is>
          <t>Nina</t>
        </is>
      </c>
      <c r="B455" s="29">
        <f>IF($A455="","",IFERROR(INDEX(Roster!$B$2:$B$40,MATCH($A455,Roster!$A$2:$A$40,0)),"?"))</f>
        <v/>
      </c>
      <c r="C455" s="15" t="inlineStr">
        <is>
          <t>EV3_1</t>
        </is>
      </c>
      <c r="D455" s="29">
        <f>IF($C455="","",IFERROR(IF(INDEX(Deals!$C$2:$C$355,MATCH($C455,Deals!$A$2:$A$355,0))=0,"",INDEX(Deals!$C$2:$C$355,MATCH($C455,Deals!$A$2:$A$355,0))),"?"))</f>
        <v/>
      </c>
      <c r="E455" s="29">
        <f>IF($C455="","",IFERROR(INDEX(Deals!$F$2:$F$355,MATCH($C455,Deals!$A$2:$A$355,0)),"?"))</f>
        <v/>
      </c>
      <c r="F455" s="15" t="inlineStr">
        <is>
          <t>Senior Associate</t>
        </is>
      </c>
      <c r="G455" s="15" t="inlineStr">
        <is>
          <t>Active</t>
        </is>
      </c>
      <c r="H455" s="27" t="n"/>
      <c r="I455" s="20">
        <f>IF(OR($A455="",$G455&lt;&gt;"Active"),0,IF($H455&lt;&gt;"",$H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</f>
        <v/>
      </c>
      <c r="J455" s="23">
        <f>IF($C455="",0,IFERROR(INDEX(Deals!$H$2:$H$355,MATCH($C455,Deals!$A$2:$A$355,0)),0))</f>
        <v/>
      </c>
      <c r="K455" s="20">
        <f>IF(Settings!$B$4="Yes",$I455*$J455,$I455)</f>
        <v/>
      </c>
      <c r="L455" s="31">
        <f>IF($C455="","",IFERROR(IF(INDEX(Deals!$I$2:$I$355,MATCH($C455,Deals!$A$2:$A$355,0))=0,"",INDEX(Deals!$I$2:$I$355,MATCH($C455,Deals!$A$2:$A$355,0))),""))</f>
        <v/>
      </c>
      <c r="M455" s="31">
        <f>IF($C455="","",IFERROR(IF(INDEX(Deals!$J$2:$J$355,MATCH($C455,Deals!$A$2:$A$355,0))=0,"",INDEX(Deals!$J$2:$J$355,MATCH($C455,Deals!$A$2:$A$355,0))),""))</f>
        <v/>
      </c>
      <c r="N455" s="24">
        <f>IF($L455="",DATE(1900,1,1),$L455)</f>
        <v/>
      </c>
      <c r="O455" s="24">
        <f>IF($M455="",DATE(2100,12,31),$M455)</f>
        <v/>
      </c>
      <c r="P455" s="16" t="inlineStr">
        <is>
          <t>Proposal sent</t>
        </is>
      </c>
      <c r="Q455" s="16" t="inlineStr">
        <is>
          <t>Added from Summary tab</t>
        </is>
      </c>
      <c r="R455" s="29">
        <f>IF($C455="","",IFERROR(IF(INDEX(Deals!$U$2:$U$355,MATCH($C455,Deals!$A$2:$A$355,0))=0,"",INDEX(Deals!$U$2:$U$355,MATCH($C455,Deals!$A$2:$A$355,0))),""))</f>
        <v/>
      </c>
      <c r="S455" s="22">
        <f>IFERROR(IF($U455="",1,INDEX(Deals!$V$2:$V$355,MATCH($C455,Deals!$A$2:$A$355,0))),1)</f>
        <v/>
      </c>
      <c r="T455" s="22">
        <f>IFERROR(IF($U455="",1,INDEX(Deals!$W$2:$W$355,MATCH($C455,Deals!$A$2:$A$355,0))),1)</f>
        <v/>
      </c>
      <c r="U455" s="31">
        <f>IF($C455="","",IFERROR(IF(INDEX(Deals!$Y$2:$Y$355,MATCH($C455,Deals!$A$2:$A$355,0))=0,"",INDEX(Deals!$Y$2:$Y$355,MATCH($C455,Deals!$A$2:$A$355,0))),""))</f>
        <v/>
      </c>
      <c r="V455" s="24">
        <f>IF($U455="",DATE(1900,1,1),$N455)</f>
        <v/>
      </c>
      <c r="W455" s="24">
        <f>IF($U455="",DATE(2100,12,31),$U455)</f>
        <v/>
      </c>
      <c r="X455" s="20">
        <f>IF($U455="",$K455,$K455*$S455)</f>
        <v/>
      </c>
      <c r="Y455" s="24">
        <f>IF($U455="",DATE(2100,12,31),$U455+1)</f>
        <v/>
      </c>
      <c r="Z455" s="24">
        <f>IF($U455="",DATE(1900,1,1),$O455)</f>
        <v/>
      </c>
      <c r="AA455" s="20">
        <f>IF($U455="",0,$K455*$T455)</f>
        <v/>
      </c>
    </row>
    <row r="456">
      <c r="A456" s="15" t="inlineStr">
        <is>
          <t>Nina</t>
        </is>
      </c>
      <c r="B456" s="29">
        <f>IF($A456="","",IFERROR(INDEX(Roster!$B$2:$B$40,MATCH($A456,Roster!$A$2:$A$40,0)),"?"))</f>
        <v/>
      </c>
      <c r="C456" s="15" t="inlineStr">
        <is>
          <t>Hatch_1</t>
        </is>
      </c>
      <c r="D456" s="29">
        <f>IF($C456="","",IFERROR(IF(INDEX(Deals!$C$2:$C$355,MATCH($C456,Deals!$A$2:$A$355,0))=0,"",INDEX(Deals!$C$2:$C$355,MATCH($C456,Deals!$A$2:$A$355,0))),"?"))</f>
        <v/>
      </c>
      <c r="E456" s="29">
        <f>IF($C456="","",IFERROR(INDEX(Deals!$F$2:$F$355,MATCH($C456,Deals!$A$2:$A$355,0)),"?"))</f>
        <v/>
      </c>
      <c r="F456" s="15" t="inlineStr">
        <is>
          <t>Senior Associate</t>
        </is>
      </c>
      <c r="G456" s="15" t="inlineStr">
        <is>
          <t>Active</t>
        </is>
      </c>
      <c r="H456" s="27" t="n"/>
      <c r="I456" s="20">
        <f>IF(OR($A456="",$G456&lt;&gt;"Active"),0,IF($H456&lt;&gt;"",$H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</f>
        <v/>
      </c>
      <c r="J456" s="23">
        <f>IF($C456="",0,IFERROR(INDEX(Deals!$H$2:$H$355,MATCH($C456,Deals!$A$2:$A$355,0)),0))</f>
        <v/>
      </c>
      <c r="K456" s="20">
        <f>IF(Settings!$B$4="Yes",$I456*$J456,$I456)</f>
        <v/>
      </c>
      <c r="L456" s="31">
        <f>IF($C456="","",IFERROR(IF(INDEX(Deals!$I$2:$I$355,MATCH($C456,Deals!$A$2:$A$355,0))=0,"",INDEX(Deals!$I$2:$I$355,MATCH($C456,Deals!$A$2:$A$355,0))),""))</f>
        <v/>
      </c>
      <c r="M456" s="31">
        <f>IF($C456="","",IFERROR(IF(INDEX(Deals!$J$2:$J$355,MATCH($C456,Deals!$A$2:$A$355,0))=0,"",INDEX(Deals!$J$2:$J$355,MATCH($C456,Deals!$A$2:$A$355,0))),""))</f>
        <v/>
      </c>
      <c r="N456" s="24">
        <f>IF($L456="",DATE(1900,1,1),$L456)</f>
        <v/>
      </c>
      <c r="O456" s="24">
        <f>IF($M456="",DATE(2100,12,31),$M456)</f>
        <v/>
      </c>
      <c r="P456" s="16" t="inlineStr">
        <is>
          <t>Ongoing</t>
        </is>
      </c>
      <c r="Q456" s="16" t="inlineStr"/>
      <c r="R456" s="29">
        <f>IF($C456="","",IFERROR(IF(INDEX(Deals!$U$2:$U$355,MATCH($C456,Deals!$A$2:$A$355,0))=0,"",INDEX(Deals!$U$2:$U$355,MATCH($C456,Deals!$A$2:$A$355,0))),""))</f>
        <v/>
      </c>
      <c r="S456" s="22">
        <f>IFERROR(IF($U456="",1,INDEX(Deals!$V$2:$V$355,MATCH($C456,Deals!$A$2:$A$355,0))),1)</f>
        <v/>
      </c>
      <c r="T456" s="22">
        <f>IFERROR(IF($U456="",1,INDEX(Deals!$W$2:$W$355,MATCH($C456,Deals!$A$2:$A$355,0))),1)</f>
        <v/>
      </c>
      <c r="U456" s="31">
        <f>IF($C456="","",IFERROR(IF(INDEX(Deals!$Y$2:$Y$355,MATCH($C456,Deals!$A$2:$A$355,0))=0,"",INDEX(Deals!$Y$2:$Y$355,MATCH($C456,Deals!$A$2:$A$355,0))),""))</f>
        <v/>
      </c>
      <c r="V456" s="24">
        <f>IF($U456="",DATE(1900,1,1),$N456)</f>
        <v/>
      </c>
      <c r="W456" s="24">
        <f>IF($U456="",DATE(2100,12,31),$U456)</f>
        <v/>
      </c>
      <c r="X456" s="20">
        <f>IF($U456="",$K456,$K456*$S456)</f>
        <v/>
      </c>
      <c r="Y456" s="24">
        <f>IF($U456="",DATE(2100,12,31),$U456+1)</f>
        <v/>
      </c>
      <c r="Z456" s="24">
        <f>IF($U456="",DATE(1900,1,1),$O456)</f>
        <v/>
      </c>
      <c r="AA456" s="20">
        <f>IF($U456="",0,$K456*$T456)</f>
        <v/>
      </c>
    </row>
    <row r="457">
      <c r="A457" s="15" t="inlineStr">
        <is>
          <t>Nina</t>
        </is>
      </c>
      <c r="B457" s="29">
        <f>IF($A457="","",IFERROR(INDEX(Roster!$B$2:$B$40,MATCH($A457,Roster!$A$2:$A$40,0)),"?"))</f>
        <v/>
      </c>
      <c r="C457" s="15" t="inlineStr">
        <is>
          <t>Hidden _1</t>
        </is>
      </c>
      <c r="D457" s="29">
        <f>IF($C457="","",IFERROR(IF(INDEX(Deals!$C$2:$C$355,MATCH($C457,Deals!$A$2:$A$355,0))=0,"",INDEX(Deals!$C$2:$C$355,MATCH($C457,Deals!$A$2:$A$355,0))),"?"))</f>
        <v/>
      </c>
      <c r="E457" s="29">
        <f>IF($C457="","",IFERROR(INDEX(Deals!$F$2:$F$355,MATCH($C457,Deals!$A$2:$A$355,0)),"?"))</f>
        <v/>
      </c>
      <c r="F457" s="15" t="inlineStr">
        <is>
          <t>Senior Associate</t>
        </is>
      </c>
      <c r="G457" s="15" t="inlineStr">
        <is>
          <t>Active</t>
        </is>
      </c>
      <c r="H457" s="27" t="n"/>
      <c r="I457" s="20">
        <f>IF(OR($A457="",$G457&lt;&gt;"Active"),0,IF($H457&lt;&gt;"",$H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</f>
        <v/>
      </c>
      <c r="J457" s="23">
        <f>IF($C457="",0,IFERROR(INDEX(Deals!$H$2:$H$355,MATCH($C457,Deals!$A$2:$A$355,0)),0))</f>
        <v/>
      </c>
      <c r="K457" s="20">
        <f>IF(Settings!$B$4="Yes",$I457*$J457,$I457)</f>
        <v/>
      </c>
      <c r="L457" s="31">
        <f>IF($C457="","",IFERROR(IF(INDEX(Deals!$I$2:$I$355,MATCH($C457,Deals!$A$2:$A$355,0))=0,"",INDEX(Deals!$I$2:$I$355,MATCH($C457,Deals!$A$2:$A$355,0))),""))</f>
        <v/>
      </c>
      <c r="M457" s="31">
        <f>IF($C457="","",IFERROR(IF(INDEX(Deals!$J$2:$J$355,MATCH($C457,Deals!$A$2:$A$355,0))=0,"",INDEX(Deals!$J$2:$J$355,MATCH($C457,Deals!$A$2:$A$355,0))),""))</f>
        <v/>
      </c>
      <c r="N457" s="24">
        <f>IF($L457="",DATE(1900,1,1),$L457)</f>
        <v/>
      </c>
      <c r="O457" s="24">
        <f>IF($M457="",DATE(2100,12,31),$M457)</f>
        <v/>
      </c>
      <c r="P457" s="16" t="inlineStr"/>
      <c r="Q457" s="16" t="inlineStr"/>
      <c r="R457" s="29">
        <f>IF($C457="","",IFERROR(IF(INDEX(Deals!$U$2:$U$355,MATCH($C457,Deals!$A$2:$A$355,0))=0,"",INDEX(Deals!$U$2:$U$355,MATCH($C457,Deals!$A$2:$A$355,0))),""))</f>
        <v/>
      </c>
      <c r="S457" s="22">
        <f>IFERROR(IF($U457="",1,INDEX(Deals!$V$2:$V$355,MATCH($C457,Deals!$A$2:$A$355,0))),1)</f>
        <v/>
      </c>
      <c r="T457" s="22">
        <f>IFERROR(IF($U457="",1,INDEX(Deals!$W$2:$W$355,MATCH($C457,Deals!$A$2:$A$355,0))),1)</f>
        <v/>
      </c>
      <c r="U457" s="31">
        <f>IF($C457="","",IFERROR(IF(INDEX(Deals!$Y$2:$Y$355,MATCH($C457,Deals!$A$2:$A$355,0))=0,"",INDEX(Deals!$Y$2:$Y$355,MATCH($C457,Deals!$A$2:$A$355,0))),""))</f>
        <v/>
      </c>
      <c r="V457" s="24">
        <f>IF($U457="",DATE(1900,1,1),$N457)</f>
        <v/>
      </c>
      <c r="W457" s="24">
        <f>IF($U457="",DATE(2100,12,31),$U457)</f>
        <v/>
      </c>
      <c r="X457" s="20">
        <f>IF($U457="",$K457,$K457*$S457)</f>
        <v/>
      </c>
      <c r="Y457" s="24">
        <f>IF($U457="",DATE(2100,12,31),$U457+1)</f>
        <v/>
      </c>
      <c r="Z457" s="24">
        <f>IF($U457="",DATE(1900,1,1),$O457)</f>
        <v/>
      </c>
      <c r="AA457" s="20">
        <f>IF($U457="",0,$K457*$T457)</f>
        <v/>
      </c>
    </row>
    <row r="458">
      <c r="A458" s="15" t="inlineStr">
        <is>
          <t>Nina</t>
        </is>
      </c>
      <c r="B458" s="29">
        <f>IF($A458="","",IFERROR(INDEX(Roster!$B$2:$B$40,MATCH($A458,Roster!$A$2:$A$40,0)),"?"))</f>
        <v/>
      </c>
      <c r="C458" s="15" t="inlineStr">
        <is>
          <t>Hyacinth_1</t>
        </is>
      </c>
      <c r="D458" s="29">
        <f>IF($C458="","",IFERROR(IF(INDEX(Deals!$C$2:$C$355,MATCH($C458,Deals!$A$2:$A$355,0))=0,"",INDEX(Deals!$C$2:$C$355,MATCH($C458,Deals!$A$2:$A$355,0))),"?"))</f>
        <v/>
      </c>
      <c r="E458" s="29">
        <f>IF($C458="","",IFERROR(INDEX(Deals!$F$2:$F$355,MATCH($C458,Deals!$A$2:$A$355,0)),"?"))</f>
        <v/>
      </c>
      <c r="F458" s="15" t="inlineStr">
        <is>
          <t>Senior Associate</t>
        </is>
      </c>
      <c r="G458" s="15" t="inlineStr">
        <is>
          <t>Active</t>
        </is>
      </c>
      <c r="H458" s="27" t="n"/>
      <c r="I458" s="20">
        <f>IF(OR($A458="",$G458&lt;&gt;"Active"),0,IF($H458&lt;&gt;"",$H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</f>
        <v/>
      </c>
      <c r="J458" s="23">
        <f>IF($C458="",0,IFERROR(INDEX(Deals!$H$2:$H$355,MATCH($C458,Deals!$A$2:$A$355,0)),0))</f>
        <v/>
      </c>
      <c r="K458" s="20">
        <f>IF(Settings!$B$4="Yes",$I458*$J458,$I458)</f>
        <v/>
      </c>
      <c r="L458" s="31">
        <f>IF($C458="","",IFERROR(IF(INDEX(Deals!$I$2:$I$355,MATCH($C458,Deals!$A$2:$A$355,0))=0,"",INDEX(Deals!$I$2:$I$355,MATCH($C458,Deals!$A$2:$A$355,0))),""))</f>
        <v/>
      </c>
      <c r="M458" s="31">
        <f>IF($C458="","",IFERROR(IF(INDEX(Deals!$J$2:$J$355,MATCH($C458,Deals!$A$2:$A$355,0))=0,"",INDEX(Deals!$J$2:$J$355,MATCH($C458,Deals!$A$2:$A$355,0))),""))</f>
        <v/>
      </c>
      <c r="N458" s="24">
        <f>IF($L458="",DATE(1900,1,1),$L458)</f>
        <v/>
      </c>
      <c r="O458" s="24">
        <f>IF($M458="",DATE(2100,12,31),$M458)</f>
        <v/>
      </c>
      <c r="P458" s="16" t="inlineStr"/>
      <c r="Q458" s="16" t="inlineStr"/>
      <c r="R458" s="29">
        <f>IF($C458="","",IFERROR(IF(INDEX(Deals!$U$2:$U$355,MATCH($C458,Deals!$A$2:$A$355,0))=0,"",INDEX(Deals!$U$2:$U$355,MATCH($C458,Deals!$A$2:$A$355,0))),""))</f>
        <v/>
      </c>
      <c r="S458" s="22">
        <f>IFERROR(IF($U458="",1,INDEX(Deals!$V$2:$V$355,MATCH($C458,Deals!$A$2:$A$355,0))),1)</f>
        <v/>
      </c>
      <c r="T458" s="22">
        <f>IFERROR(IF($U458="",1,INDEX(Deals!$W$2:$W$355,MATCH($C458,Deals!$A$2:$A$355,0))),1)</f>
        <v/>
      </c>
      <c r="U458" s="31">
        <f>IF($C458="","",IFERROR(IF(INDEX(Deals!$Y$2:$Y$355,MATCH($C458,Deals!$A$2:$A$355,0))=0,"",INDEX(Deals!$Y$2:$Y$355,MATCH($C458,Deals!$A$2:$A$355,0))),""))</f>
        <v/>
      </c>
      <c r="V458" s="24">
        <f>IF($U458="",DATE(1900,1,1),$N458)</f>
        <v/>
      </c>
      <c r="W458" s="24">
        <f>IF($U458="",DATE(2100,12,31),$U458)</f>
        <v/>
      </c>
      <c r="X458" s="20">
        <f>IF($U458="",$K458,$K458*$S458)</f>
        <v/>
      </c>
      <c r="Y458" s="24">
        <f>IF($U458="",DATE(2100,12,31),$U458+1)</f>
        <v/>
      </c>
      <c r="Z458" s="24">
        <f>IF($U458="",DATE(1900,1,1),$O458)</f>
        <v/>
      </c>
      <c r="AA458" s="20">
        <f>IF($U458="",0,$K458*$T458)</f>
        <v/>
      </c>
    </row>
    <row r="459">
      <c r="A459" s="15" t="inlineStr">
        <is>
          <t>Nina</t>
        </is>
      </c>
      <c r="B459" s="29">
        <f>IF($A459="","",IFERROR(INDEX(Roster!$B$2:$B$40,MATCH($A459,Roster!$A$2:$A$40,0)),"?"))</f>
        <v/>
      </c>
      <c r="C459" s="15" t="inlineStr">
        <is>
          <t>Irradiant_ITC_1</t>
        </is>
      </c>
      <c r="D459" s="29">
        <f>IF($C459="","",IFERROR(IF(INDEX(Deals!$C$2:$C$355,MATCH($C459,Deals!$A$2:$A$355,0))=0,"",INDEX(Deals!$C$2:$C$355,MATCH($C459,Deals!$A$2:$A$355,0))),"?"))</f>
        <v/>
      </c>
      <c r="E459" s="29">
        <f>IF($C459="","",IFERROR(INDEX(Deals!$F$2:$F$355,MATCH($C459,Deals!$A$2:$A$355,0)),"?"))</f>
        <v/>
      </c>
      <c r="F459" s="15" t="inlineStr">
        <is>
          <t>Senior Associate</t>
        </is>
      </c>
      <c r="G459" s="15" t="inlineStr">
        <is>
          <t>Active</t>
        </is>
      </c>
      <c r="H459" s="27" t="n"/>
      <c r="I459" s="20">
        <f>IF(OR($A459="",$G459&lt;&gt;"Active"),0,IF($H459&lt;&gt;"",$H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</f>
        <v/>
      </c>
      <c r="J459" s="23">
        <f>IF($C459="",0,IFERROR(INDEX(Deals!$H$2:$H$355,MATCH($C459,Deals!$A$2:$A$355,0)),0))</f>
        <v/>
      </c>
      <c r="K459" s="20">
        <f>IF(Settings!$B$4="Yes",$I459*$J459,$I459)</f>
        <v/>
      </c>
      <c r="L459" s="31">
        <f>IF($C459="","",IFERROR(IF(INDEX(Deals!$I$2:$I$355,MATCH($C459,Deals!$A$2:$A$355,0))=0,"",INDEX(Deals!$I$2:$I$355,MATCH($C459,Deals!$A$2:$A$355,0))),""))</f>
        <v/>
      </c>
      <c r="M459" s="31">
        <f>IF($C459="","",IFERROR(IF(INDEX(Deals!$J$2:$J$355,MATCH($C459,Deals!$A$2:$A$355,0))=0,"",INDEX(Deals!$J$2:$J$355,MATCH($C459,Deals!$A$2:$A$355,0))),""))</f>
        <v/>
      </c>
      <c r="N459" s="24">
        <f>IF($L459="",DATE(1900,1,1),$L459)</f>
        <v/>
      </c>
      <c r="O459" s="24">
        <f>IF($M459="",DATE(2100,12,31),$M459)</f>
        <v/>
      </c>
      <c r="P459" s="16" t="inlineStr">
        <is>
          <t>Ongoing</t>
        </is>
      </c>
      <c r="Q459" s="16" t="inlineStr">
        <is>
          <t>Added from Summary tab</t>
        </is>
      </c>
      <c r="R459" s="29">
        <f>IF($C459="","",IFERROR(IF(INDEX(Deals!$U$2:$U$355,MATCH($C459,Deals!$A$2:$A$355,0))=0,"",INDEX(Deals!$U$2:$U$355,MATCH($C459,Deals!$A$2:$A$355,0))),""))</f>
        <v/>
      </c>
      <c r="S459" s="22">
        <f>IFERROR(IF($U459="",1,INDEX(Deals!$V$2:$V$355,MATCH($C459,Deals!$A$2:$A$355,0))),1)</f>
        <v/>
      </c>
      <c r="T459" s="22">
        <f>IFERROR(IF($U459="",1,INDEX(Deals!$W$2:$W$355,MATCH($C459,Deals!$A$2:$A$355,0))),1)</f>
        <v/>
      </c>
      <c r="U459" s="31">
        <f>IF($C459="","",IFERROR(IF(INDEX(Deals!$Y$2:$Y$355,MATCH($C459,Deals!$A$2:$A$355,0))=0,"",INDEX(Deals!$Y$2:$Y$355,MATCH($C459,Deals!$A$2:$A$355,0))),""))</f>
        <v/>
      </c>
      <c r="V459" s="24">
        <f>IF($U459="",DATE(1900,1,1),$N459)</f>
        <v/>
      </c>
      <c r="W459" s="24">
        <f>IF($U459="",DATE(2100,12,31),$U459)</f>
        <v/>
      </c>
      <c r="X459" s="20">
        <f>IF($U459="",$K459,$K459*$S459)</f>
        <v/>
      </c>
      <c r="Y459" s="24">
        <f>IF($U459="",DATE(2100,12,31),$U459+1)</f>
        <v/>
      </c>
      <c r="Z459" s="24">
        <f>IF($U459="",DATE(1900,1,1),$O459)</f>
        <v/>
      </c>
      <c r="AA459" s="20">
        <f>IF($U459="",0,$K459*$T459)</f>
        <v/>
      </c>
    </row>
    <row r="460">
      <c r="A460" s="15" t="inlineStr">
        <is>
          <t>Nina</t>
        </is>
      </c>
      <c r="B460" s="29">
        <f>IF($A460="","",IFERROR(INDEX(Roster!$B$2:$B$40,MATCH($A460,Roster!$A$2:$A$40,0)),"?"))</f>
        <v/>
      </c>
      <c r="C460" s="15" t="inlineStr">
        <is>
          <t>Justin_2</t>
        </is>
      </c>
      <c r="D460" s="29">
        <f>IF($C460="","",IFERROR(IF(INDEX(Deals!$C$2:$C$355,MATCH($C460,Deals!$A$2:$A$355,0))=0,"",INDEX(Deals!$C$2:$C$355,MATCH($C460,Deals!$A$2:$A$355,0))),"?"))</f>
        <v/>
      </c>
      <c r="E460" s="29">
        <f>IF($C460="","",IFERROR(INDEX(Deals!$F$2:$F$355,MATCH($C460,Deals!$A$2:$A$355,0)),"?"))</f>
        <v/>
      </c>
      <c r="F460" s="15" t="inlineStr">
        <is>
          <t>Senior Associate</t>
        </is>
      </c>
      <c r="G460" s="15" t="inlineStr">
        <is>
          <t>Active</t>
        </is>
      </c>
      <c r="H460" s="27" t="n"/>
      <c r="I460" s="20">
        <f>IF(OR($A460="",$G460&lt;&gt;"Active"),0,IF($H460&lt;&gt;"",$H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</f>
        <v/>
      </c>
      <c r="J460" s="23">
        <f>IF($C460="",0,IFERROR(INDEX(Deals!$H$2:$H$355,MATCH($C460,Deals!$A$2:$A$355,0)),0))</f>
        <v/>
      </c>
      <c r="K460" s="20">
        <f>IF(Settings!$B$4="Yes",$I460*$J460,$I460)</f>
        <v/>
      </c>
      <c r="L460" s="31">
        <f>IF($C460="","",IFERROR(IF(INDEX(Deals!$I$2:$I$355,MATCH($C460,Deals!$A$2:$A$355,0))=0,"",INDEX(Deals!$I$2:$I$355,MATCH($C460,Deals!$A$2:$A$355,0))),""))</f>
        <v/>
      </c>
      <c r="M460" s="31">
        <f>IF($C460="","",IFERROR(IF(INDEX(Deals!$J$2:$J$355,MATCH($C460,Deals!$A$2:$A$355,0))=0,"",INDEX(Deals!$J$2:$J$355,MATCH($C460,Deals!$A$2:$A$355,0))),""))</f>
        <v/>
      </c>
      <c r="N460" s="24">
        <f>IF($L460="",DATE(1900,1,1),$L460)</f>
        <v/>
      </c>
      <c r="O460" s="24">
        <f>IF($M460="",DATE(2100,12,31),$M460)</f>
        <v/>
      </c>
      <c r="P460" s="16" t="inlineStr"/>
      <c r="Q460" s="16" t="inlineStr"/>
      <c r="R460" s="29">
        <f>IF($C460="","",IFERROR(IF(INDEX(Deals!$U$2:$U$355,MATCH($C460,Deals!$A$2:$A$355,0))=0,"",INDEX(Deals!$U$2:$U$355,MATCH($C460,Deals!$A$2:$A$355,0))),""))</f>
        <v/>
      </c>
      <c r="S460" s="22">
        <f>IFERROR(IF($U460="",1,INDEX(Deals!$V$2:$V$355,MATCH($C460,Deals!$A$2:$A$355,0))),1)</f>
        <v/>
      </c>
      <c r="T460" s="22">
        <f>IFERROR(IF($U460="",1,INDEX(Deals!$W$2:$W$355,MATCH($C460,Deals!$A$2:$A$355,0))),1)</f>
        <v/>
      </c>
      <c r="U460" s="31">
        <f>IF($C460="","",IFERROR(IF(INDEX(Deals!$Y$2:$Y$355,MATCH($C460,Deals!$A$2:$A$355,0))=0,"",INDEX(Deals!$Y$2:$Y$355,MATCH($C460,Deals!$A$2:$A$355,0))),""))</f>
        <v/>
      </c>
      <c r="V460" s="24">
        <f>IF($U460="",DATE(1900,1,1),$N460)</f>
        <v/>
      </c>
      <c r="W460" s="24">
        <f>IF($U460="",DATE(2100,12,31),$U460)</f>
        <v/>
      </c>
      <c r="X460" s="20">
        <f>IF($U460="",$K460,$K460*$S460)</f>
        <v/>
      </c>
      <c r="Y460" s="24">
        <f>IF($U460="",DATE(2100,12,31),$U460+1)</f>
        <v/>
      </c>
      <c r="Z460" s="24">
        <f>IF($U460="",DATE(1900,1,1),$O460)</f>
        <v/>
      </c>
      <c r="AA460" s="20">
        <f>IF($U460="",0,$K460*$T460)</f>
        <v/>
      </c>
    </row>
    <row r="461">
      <c r="A461" s="15" t="inlineStr">
        <is>
          <t>Nina</t>
        </is>
      </c>
      <c r="B461" s="29">
        <f>IF($A461="","",IFERROR(INDEX(Roster!$B$2:$B$40,MATCH($A461,Roster!$A$2:$A$40,0)),"?"))</f>
        <v/>
      </c>
      <c r="C461" s="15" t="inlineStr">
        <is>
          <t>kingfisher FIRPTA</t>
        </is>
      </c>
      <c r="D461" s="29">
        <f>IF($C461="","",IFERROR(IF(INDEX(Deals!$C$2:$C$355,MATCH($C461,Deals!$A$2:$A$355,0))=0,"",INDEX(Deals!$C$2:$C$355,MATCH($C461,Deals!$A$2:$A$355,0))),"?"))</f>
        <v/>
      </c>
      <c r="E461" s="29">
        <f>IF($C461="","",IFERROR(INDEX(Deals!$F$2:$F$355,MATCH($C461,Deals!$A$2:$A$355,0)),"?"))</f>
        <v/>
      </c>
      <c r="F461" s="15" t="inlineStr">
        <is>
          <t>Senior Associate</t>
        </is>
      </c>
      <c r="G461" s="15" t="inlineStr">
        <is>
          <t>Active</t>
        </is>
      </c>
      <c r="H461" s="27" t="n"/>
      <c r="I461" s="20">
        <f>IF(OR($A461="",$G461&lt;&gt;"Active"),0,IF($H461&lt;&gt;"",$H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</f>
        <v/>
      </c>
      <c r="J461" s="23">
        <f>IF($C461="",0,IFERROR(INDEX(Deals!$H$2:$H$355,MATCH($C461,Deals!$A$2:$A$355,0)),0))</f>
        <v/>
      </c>
      <c r="K461" s="20">
        <f>IF(Settings!$B$4="Yes",$I461*$J461,$I461)</f>
        <v/>
      </c>
      <c r="L461" s="31">
        <f>IF($C461="","",IFERROR(IF(INDEX(Deals!$I$2:$I$355,MATCH($C461,Deals!$A$2:$A$355,0))=0,"",INDEX(Deals!$I$2:$I$355,MATCH($C461,Deals!$A$2:$A$355,0))),""))</f>
        <v/>
      </c>
      <c r="M461" s="31">
        <f>IF($C461="","",IFERROR(IF(INDEX(Deals!$J$2:$J$355,MATCH($C461,Deals!$A$2:$A$355,0))=0,"",INDEX(Deals!$J$2:$J$355,MATCH($C461,Deals!$A$2:$A$355,0))),""))</f>
        <v/>
      </c>
      <c r="N461" s="24">
        <f>IF($L461="",DATE(1900,1,1),$L461)</f>
        <v/>
      </c>
      <c r="O461" s="24">
        <f>IF($M461="",DATE(2100,12,31),$M461)</f>
        <v/>
      </c>
      <c r="P461" s="16" t="inlineStr">
        <is>
          <t>Proposal sent</t>
        </is>
      </c>
      <c r="Q461" s="16" t="inlineStr">
        <is>
          <t>Added from Summary tab</t>
        </is>
      </c>
      <c r="R461" s="29">
        <f>IF($C461="","",IFERROR(IF(INDEX(Deals!$U$2:$U$355,MATCH($C461,Deals!$A$2:$A$355,0))=0,"",INDEX(Deals!$U$2:$U$355,MATCH($C461,Deals!$A$2:$A$355,0))),""))</f>
        <v/>
      </c>
      <c r="S461" s="22">
        <f>IFERROR(IF($U461="",1,INDEX(Deals!$V$2:$V$355,MATCH($C461,Deals!$A$2:$A$355,0))),1)</f>
        <v/>
      </c>
      <c r="T461" s="22">
        <f>IFERROR(IF($U461="",1,INDEX(Deals!$W$2:$W$355,MATCH($C461,Deals!$A$2:$A$355,0))),1)</f>
        <v/>
      </c>
      <c r="U461" s="31">
        <f>IF($C461="","",IFERROR(IF(INDEX(Deals!$Y$2:$Y$355,MATCH($C461,Deals!$A$2:$A$355,0))=0,"",INDEX(Deals!$Y$2:$Y$355,MATCH($C461,Deals!$A$2:$A$355,0))),""))</f>
        <v/>
      </c>
      <c r="V461" s="24">
        <f>IF($U461="",DATE(1900,1,1),$N461)</f>
        <v/>
      </c>
      <c r="W461" s="24">
        <f>IF($U461="",DATE(2100,12,31),$U461)</f>
        <v/>
      </c>
      <c r="X461" s="20">
        <f>IF($U461="",$K461,$K461*$S461)</f>
        <v/>
      </c>
      <c r="Y461" s="24">
        <f>IF($U461="",DATE(2100,12,31),$U461+1)</f>
        <v/>
      </c>
      <c r="Z461" s="24">
        <f>IF($U461="",DATE(1900,1,1),$O461)</f>
        <v/>
      </c>
      <c r="AA461" s="20">
        <f>IF($U461="",0,$K461*$T461)</f>
        <v/>
      </c>
    </row>
    <row r="462">
      <c r="A462" s="15" t="inlineStr">
        <is>
          <t>Nina</t>
        </is>
      </c>
      <c r="B462" s="29">
        <f>IF($A462="","",IFERROR(INDEX(Roster!$B$2:$B$40,MATCH($A462,Roster!$A$2:$A$40,0)),"?"))</f>
        <v/>
      </c>
      <c r="C462" s="15" t="inlineStr">
        <is>
          <t>Legolas_1</t>
        </is>
      </c>
      <c r="D462" s="29">
        <f>IF($C462="","",IFERROR(IF(INDEX(Deals!$C$2:$C$355,MATCH($C462,Deals!$A$2:$A$355,0))=0,"",INDEX(Deals!$C$2:$C$355,MATCH($C462,Deals!$A$2:$A$355,0))),"?"))</f>
        <v/>
      </c>
      <c r="E462" s="29">
        <f>IF($C462="","",IFERROR(INDEX(Deals!$F$2:$F$355,MATCH($C462,Deals!$A$2:$A$355,0)),"?"))</f>
        <v/>
      </c>
      <c r="F462" s="15" t="inlineStr">
        <is>
          <t>Senior Associate</t>
        </is>
      </c>
      <c r="G462" s="15" t="inlineStr">
        <is>
          <t>Inactive</t>
        </is>
      </c>
      <c r="H462" s="27" t="n"/>
      <c r="I462" s="20">
        <f>IF(OR($A462="",$G462&lt;&gt;"Active"),0,IF($H462&lt;&gt;"",$H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</f>
        <v/>
      </c>
      <c r="J462" s="23">
        <f>IF($C462="",0,IFERROR(INDEX(Deals!$H$2:$H$355,MATCH($C462,Deals!$A$2:$A$355,0)),0))</f>
        <v/>
      </c>
      <c r="K462" s="20">
        <f>IF(Settings!$B$4="Yes",$I462*$J462,$I462)</f>
        <v/>
      </c>
      <c r="L462" s="31">
        <f>IF($C462="","",IFERROR(IF(INDEX(Deals!$I$2:$I$355,MATCH($C462,Deals!$A$2:$A$355,0))=0,"",INDEX(Deals!$I$2:$I$355,MATCH($C462,Deals!$A$2:$A$355,0))),""))</f>
        <v/>
      </c>
      <c r="M462" s="31">
        <f>IF($C462="","",IFERROR(IF(INDEX(Deals!$J$2:$J$355,MATCH($C462,Deals!$A$2:$A$355,0))=0,"",INDEX(Deals!$J$2:$J$355,MATCH($C462,Deals!$A$2:$A$355,0))),""))</f>
        <v/>
      </c>
      <c r="N462" s="24">
        <f>IF($L462="",DATE(1900,1,1),$L462)</f>
        <v/>
      </c>
      <c r="O462" s="24">
        <f>IF($M462="",DATE(2100,12,31),$M462)</f>
        <v/>
      </c>
      <c r="P462" s="16" t="inlineStr">
        <is>
          <t>Closed</t>
        </is>
      </c>
      <c r="Q462" s="16" t="inlineStr">
        <is>
          <t>Added from Summary tab</t>
        </is>
      </c>
      <c r="R462" s="29">
        <f>IF($C462="","",IFERROR(IF(INDEX(Deals!$U$2:$U$355,MATCH($C462,Deals!$A$2:$A$355,0))=0,"",INDEX(Deals!$U$2:$U$355,MATCH($C462,Deals!$A$2:$A$355,0))),""))</f>
        <v/>
      </c>
      <c r="S462" s="22">
        <f>IFERROR(IF($U462="",1,INDEX(Deals!$V$2:$V$355,MATCH($C462,Deals!$A$2:$A$355,0))),1)</f>
        <v/>
      </c>
      <c r="T462" s="22">
        <f>IFERROR(IF($U462="",1,INDEX(Deals!$W$2:$W$355,MATCH($C462,Deals!$A$2:$A$355,0))),1)</f>
        <v/>
      </c>
      <c r="U462" s="31">
        <f>IF($C462="","",IFERROR(IF(INDEX(Deals!$Y$2:$Y$355,MATCH($C462,Deals!$A$2:$A$355,0))=0,"",INDEX(Deals!$Y$2:$Y$355,MATCH($C462,Deals!$A$2:$A$355,0))),""))</f>
        <v/>
      </c>
      <c r="V462" s="24">
        <f>IF($U462="",DATE(1900,1,1),$N462)</f>
        <v/>
      </c>
      <c r="W462" s="24">
        <f>IF($U462="",DATE(2100,12,31),$U462)</f>
        <v/>
      </c>
      <c r="X462" s="20">
        <f>IF($U462="",$K462,$K462*$S462)</f>
        <v/>
      </c>
      <c r="Y462" s="24">
        <f>IF($U462="",DATE(2100,12,31),$U462+1)</f>
        <v/>
      </c>
      <c r="Z462" s="24">
        <f>IF($U462="",DATE(1900,1,1),$O462)</f>
        <v/>
      </c>
      <c r="AA462" s="20">
        <f>IF($U462="",0,$K462*$T462)</f>
        <v/>
      </c>
    </row>
    <row r="463">
      <c r="A463" s="15" t="inlineStr">
        <is>
          <t>Nina</t>
        </is>
      </c>
      <c r="B463" s="29">
        <f>IF($A463="","",IFERROR(INDEX(Roster!$B$2:$B$40,MATCH($A463,Roster!$A$2:$A$40,0)),"?"))</f>
        <v/>
      </c>
      <c r="C463" s="15" t="inlineStr">
        <is>
          <t>Long_2</t>
        </is>
      </c>
      <c r="D463" s="29">
        <f>IF($C463="","",IFERROR(IF(INDEX(Deals!$C$2:$C$355,MATCH($C463,Deals!$A$2:$A$355,0))=0,"",INDEX(Deals!$C$2:$C$355,MATCH($C463,Deals!$A$2:$A$355,0))),"?"))</f>
        <v/>
      </c>
      <c r="E463" s="29">
        <f>IF($C463="","",IFERROR(INDEX(Deals!$F$2:$F$355,MATCH($C463,Deals!$A$2:$A$355,0)),"?"))</f>
        <v/>
      </c>
      <c r="F463" s="15" t="inlineStr">
        <is>
          <t>Senior Associate</t>
        </is>
      </c>
      <c r="G463" s="15" t="inlineStr">
        <is>
          <t>Active</t>
        </is>
      </c>
      <c r="H463" s="27" t="n"/>
      <c r="I463" s="20">
        <f>IF(OR($A463="",$G463&lt;&gt;"Active"),0,IF($H463&lt;&gt;"",$H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</f>
        <v/>
      </c>
      <c r="J463" s="23">
        <f>IF($C463="",0,IFERROR(INDEX(Deals!$H$2:$H$355,MATCH($C463,Deals!$A$2:$A$355,0)),0))</f>
        <v/>
      </c>
      <c r="K463" s="20">
        <f>IF(Settings!$B$4="Yes",$I463*$J463,$I463)</f>
        <v/>
      </c>
      <c r="L463" s="31">
        <f>IF($C463="","",IFERROR(IF(INDEX(Deals!$I$2:$I$355,MATCH($C463,Deals!$A$2:$A$355,0))=0,"",INDEX(Deals!$I$2:$I$355,MATCH($C463,Deals!$A$2:$A$355,0))),""))</f>
        <v/>
      </c>
      <c r="M463" s="31">
        <f>IF($C463="","",IFERROR(IF(INDEX(Deals!$J$2:$J$355,MATCH($C463,Deals!$A$2:$A$355,0))=0,"",INDEX(Deals!$J$2:$J$355,MATCH($C463,Deals!$A$2:$A$355,0))),""))</f>
        <v/>
      </c>
      <c r="N463" s="24">
        <f>IF($L463="",DATE(1900,1,1),$L463)</f>
        <v/>
      </c>
      <c r="O463" s="24">
        <f>IF($M463="",DATE(2100,12,31),$M463)</f>
        <v/>
      </c>
      <c r="P463" s="16" t="inlineStr"/>
      <c r="Q463" s="16" t="inlineStr"/>
      <c r="R463" s="29">
        <f>IF($C463="","",IFERROR(IF(INDEX(Deals!$U$2:$U$355,MATCH($C463,Deals!$A$2:$A$355,0))=0,"",INDEX(Deals!$U$2:$U$355,MATCH($C463,Deals!$A$2:$A$355,0))),""))</f>
        <v/>
      </c>
      <c r="S463" s="22">
        <f>IFERROR(IF($U463="",1,INDEX(Deals!$V$2:$V$355,MATCH($C463,Deals!$A$2:$A$355,0))),1)</f>
        <v/>
      </c>
      <c r="T463" s="22">
        <f>IFERROR(IF($U463="",1,INDEX(Deals!$W$2:$W$355,MATCH($C463,Deals!$A$2:$A$355,0))),1)</f>
        <v/>
      </c>
      <c r="U463" s="31">
        <f>IF($C463="","",IFERROR(IF(INDEX(Deals!$Y$2:$Y$355,MATCH($C463,Deals!$A$2:$A$355,0))=0,"",INDEX(Deals!$Y$2:$Y$355,MATCH($C463,Deals!$A$2:$A$355,0))),""))</f>
        <v/>
      </c>
      <c r="V463" s="24">
        <f>IF($U463="",DATE(1900,1,1),$N463)</f>
        <v/>
      </c>
      <c r="W463" s="24">
        <f>IF($U463="",DATE(2100,12,31),$U463)</f>
        <v/>
      </c>
      <c r="X463" s="20">
        <f>IF($U463="",$K463,$K463*$S463)</f>
        <v/>
      </c>
      <c r="Y463" s="24">
        <f>IF($U463="",DATE(2100,12,31),$U463+1)</f>
        <v/>
      </c>
      <c r="Z463" s="24">
        <f>IF($U463="",DATE(1900,1,1),$O463)</f>
        <v/>
      </c>
      <c r="AA463" s="20">
        <f>IF($U463="",0,$K463*$T463)</f>
        <v/>
      </c>
    </row>
    <row r="464">
      <c r="A464" s="15" t="inlineStr">
        <is>
          <t>Nina</t>
        </is>
      </c>
      <c r="B464" s="29">
        <f>IF($A464="","",IFERROR(INDEX(Roster!$B$2:$B$40,MATCH($A464,Roster!$A$2:$A$40,0)),"?"))</f>
        <v/>
      </c>
      <c r="C464" s="15" t="inlineStr">
        <is>
          <t>Maple_4</t>
        </is>
      </c>
      <c r="D464" s="29">
        <f>IF($C464="","",IFERROR(IF(INDEX(Deals!$C$2:$C$355,MATCH($C464,Deals!$A$2:$A$355,0))=0,"",INDEX(Deals!$C$2:$C$355,MATCH($C464,Deals!$A$2:$A$355,0))),"?"))</f>
        <v/>
      </c>
      <c r="E464" s="29">
        <f>IF($C464="","",IFERROR(INDEX(Deals!$F$2:$F$355,MATCH($C464,Deals!$A$2:$A$355,0)),"?"))</f>
        <v/>
      </c>
      <c r="F464" s="15" t="inlineStr">
        <is>
          <t>Senior Associate</t>
        </is>
      </c>
      <c r="G464" s="15" t="inlineStr">
        <is>
          <t>Inactive</t>
        </is>
      </c>
      <c r="H464" s="27" t="n"/>
      <c r="I464" s="20">
        <f>IF(OR($A464="",$G464&lt;&gt;"Active"),0,IF($H464&lt;&gt;"",$H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</f>
        <v/>
      </c>
      <c r="J464" s="23">
        <f>IF($C464="",0,IFERROR(INDEX(Deals!$H$2:$H$355,MATCH($C464,Deals!$A$2:$A$355,0)),0))</f>
        <v/>
      </c>
      <c r="K464" s="20">
        <f>IF(Settings!$B$4="Yes",$I464*$J464,$I464)</f>
        <v/>
      </c>
      <c r="L464" s="31">
        <f>IF($C464="","",IFERROR(IF(INDEX(Deals!$I$2:$I$355,MATCH($C464,Deals!$A$2:$A$355,0))=0,"",INDEX(Deals!$I$2:$I$355,MATCH($C464,Deals!$A$2:$A$355,0))),""))</f>
        <v/>
      </c>
      <c r="M464" s="31">
        <f>IF($C464="","",IFERROR(IF(INDEX(Deals!$J$2:$J$355,MATCH($C464,Deals!$A$2:$A$355,0))=0,"",INDEX(Deals!$J$2:$J$355,MATCH($C464,Deals!$A$2:$A$355,0))),""))</f>
        <v/>
      </c>
      <c r="N464" s="24">
        <f>IF($L464="",DATE(1900,1,1),$L464)</f>
        <v/>
      </c>
      <c r="O464" s="24">
        <f>IF($M464="",DATE(2100,12,31),$M464)</f>
        <v/>
      </c>
      <c r="P464" s="16" t="inlineStr">
        <is>
          <t>Closed</t>
        </is>
      </c>
      <c r="Q464" s="16" t="inlineStr"/>
      <c r="R464" s="29">
        <f>IF($C464="","",IFERROR(IF(INDEX(Deals!$U$2:$U$355,MATCH($C464,Deals!$A$2:$A$355,0))=0,"",INDEX(Deals!$U$2:$U$355,MATCH($C464,Deals!$A$2:$A$355,0))),""))</f>
        <v/>
      </c>
      <c r="S464" s="22">
        <f>IFERROR(IF($U464="",1,INDEX(Deals!$V$2:$V$355,MATCH($C464,Deals!$A$2:$A$355,0))),1)</f>
        <v/>
      </c>
      <c r="T464" s="22">
        <f>IFERROR(IF($U464="",1,INDEX(Deals!$W$2:$W$355,MATCH($C464,Deals!$A$2:$A$355,0))),1)</f>
        <v/>
      </c>
      <c r="U464" s="31">
        <f>IF($C464="","",IFERROR(IF(INDEX(Deals!$Y$2:$Y$355,MATCH($C464,Deals!$A$2:$A$355,0))=0,"",INDEX(Deals!$Y$2:$Y$355,MATCH($C464,Deals!$A$2:$A$355,0))),""))</f>
        <v/>
      </c>
      <c r="V464" s="24">
        <f>IF($U464="",DATE(1900,1,1),$N464)</f>
        <v/>
      </c>
      <c r="W464" s="24">
        <f>IF($U464="",DATE(2100,12,31),$U464)</f>
        <v/>
      </c>
      <c r="X464" s="20">
        <f>IF($U464="",$K464,$K464*$S464)</f>
        <v/>
      </c>
      <c r="Y464" s="24">
        <f>IF($U464="",DATE(2100,12,31),$U464+1)</f>
        <v/>
      </c>
      <c r="Z464" s="24">
        <f>IF($U464="",DATE(1900,1,1),$O464)</f>
        <v/>
      </c>
      <c r="AA464" s="20">
        <f>IF($U464="",0,$K464*$T464)</f>
        <v/>
      </c>
    </row>
    <row r="465">
      <c r="A465" s="15" t="inlineStr">
        <is>
          <t>Nina</t>
        </is>
      </c>
      <c r="B465" s="29">
        <f>IF($A465="","",IFERROR(INDEX(Roster!$B$2:$B$40,MATCH($A465,Roster!$A$2:$A$40,0)),"?"))</f>
        <v/>
      </c>
      <c r="C465" s="15" t="inlineStr">
        <is>
          <t>Mozart_2</t>
        </is>
      </c>
      <c r="D465" s="29">
        <f>IF($C465="","",IFERROR(IF(INDEX(Deals!$C$2:$C$355,MATCH($C465,Deals!$A$2:$A$355,0))=0,"",INDEX(Deals!$C$2:$C$355,MATCH($C465,Deals!$A$2:$A$355,0))),"?"))</f>
        <v/>
      </c>
      <c r="E465" s="29">
        <f>IF($C465="","",IFERROR(INDEX(Deals!$F$2:$F$355,MATCH($C465,Deals!$A$2:$A$355,0)),"?"))</f>
        <v/>
      </c>
      <c r="F465" s="15" t="inlineStr">
        <is>
          <t>Senior Associate</t>
        </is>
      </c>
      <c r="G465" s="15" t="inlineStr">
        <is>
          <t>Inactive</t>
        </is>
      </c>
      <c r="H465" s="27" t="n"/>
      <c r="I465" s="20">
        <f>IF(OR($A465="",$G465&lt;&gt;"Active"),0,IF($H465&lt;&gt;"",$H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</f>
        <v/>
      </c>
      <c r="J465" s="23">
        <f>IF($C465="",0,IFERROR(INDEX(Deals!$H$2:$H$355,MATCH($C465,Deals!$A$2:$A$355,0)),0))</f>
        <v/>
      </c>
      <c r="K465" s="20">
        <f>IF(Settings!$B$4="Yes",$I465*$J465,$I465)</f>
        <v/>
      </c>
      <c r="L465" s="31">
        <f>IF($C465="","",IFERROR(IF(INDEX(Deals!$I$2:$I$355,MATCH($C465,Deals!$A$2:$A$355,0))=0,"",INDEX(Deals!$I$2:$I$355,MATCH($C465,Deals!$A$2:$A$355,0))),""))</f>
        <v/>
      </c>
      <c r="M465" s="31">
        <f>IF($C465="","",IFERROR(IF(INDEX(Deals!$J$2:$J$355,MATCH($C465,Deals!$A$2:$A$355,0))=0,"",INDEX(Deals!$J$2:$J$355,MATCH($C465,Deals!$A$2:$A$355,0))),""))</f>
        <v/>
      </c>
      <c r="N465" s="24">
        <f>IF($L465="",DATE(1900,1,1),$L465)</f>
        <v/>
      </c>
      <c r="O465" s="24">
        <f>IF($M465="",DATE(2100,12,31),$M465)</f>
        <v/>
      </c>
      <c r="P465" s="16" t="inlineStr">
        <is>
          <t>Closed</t>
        </is>
      </c>
      <c r="Q465" s="16" t="inlineStr"/>
      <c r="R465" s="29">
        <f>IF($C465="","",IFERROR(IF(INDEX(Deals!$U$2:$U$355,MATCH($C465,Deals!$A$2:$A$355,0))=0,"",INDEX(Deals!$U$2:$U$355,MATCH($C465,Deals!$A$2:$A$355,0))),""))</f>
        <v/>
      </c>
      <c r="S465" s="22">
        <f>IFERROR(IF($U465="",1,INDEX(Deals!$V$2:$V$355,MATCH($C465,Deals!$A$2:$A$355,0))),1)</f>
        <v/>
      </c>
      <c r="T465" s="22">
        <f>IFERROR(IF($U465="",1,INDEX(Deals!$W$2:$W$355,MATCH($C465,Deals!$A$2:$A$355,0))),1)</f>
        <v/>
      </c>
      <c r="U465" s="31">
        <f>IF($C465="","",IFERROR(IF(INDEX(Deals!$Y$2:$Y$355,MATCH($C465,Deals!$A$2:$A$355,0))=0,"",INDEX(Deals!$Y$2:$Y$355,MATCH($C465,Deals!$A$2:$A$355,0))),""))</f>
        <v/>
      </c>
      <c r="V465" s="24">
        <f>IF($U465="",DATE(1900,1,1),$N465)</f>
        <v/>
      </c>
      <c r="W465" s="24">
        <f>IF($U465="",DATE(2100,12,31),$U465)</f>
        <v/>
      </c>
      <c r="X465" s="20">
        <f>IF($U465="",$K465,$K465*$S465)</f>
        <v/>
      </c>
      <c r="Y465" s="24">
        <f>IF($U465="",DATE(2100,12,31),$U465+1)</f>
        <v/>
      </c>
      <c r="Z465" s="24">
        <f>IF($U465="",DATE(1900,1,1),$O465)</f>
        <v/>
      </c>
      <c r="AA465" s="20">
        <f>IF($U465="",0,$K465*$T465)</f>
        <v/>
      </c>
    </row>
    <row r="466">
      <c r="A466" s="15" t="inlineStr">
        <is>
          <t>Nina</t>
        </is>
      </c>
      <c r="B466" s="29">
        <f>IF($A466="","",IFERROR(INDEX(Roster!$B$2:$B$40,MATCH($A466,Roster!$A$2:$A$40,0)),"?"))</f>
        <v/>
      </c>
      <c r="C466" s="15" t="inlineStr">
        <is>
          <t>Ninedot_3</t>
        </is>
      </c>
      <c r="D466" s="29">
        <f>IF($C466="","",IFERROR(IF(INDEX(Deals!$C$2:$C$355,MATCH($C466,Deals!$A$2:$A$355,0))=0,"",INDEX(Deals!$C$2:$C$355,MATCH($C466,Deals!$A$2:$A$355,0))),"?"))</f>
        <v/>
      </c>
      <c r="E466" s="29">
        <f>IF($C466="","",IFERROR(INDEX(Deals!$F$2:$F$355,MATCH($C466,Deals!$A$2:$A$355,0)),"?"))</f>
        <v/>
      </c>
      <c r="F466" s="15" t="inlineStr">
        <is>
          <t>Senior Associate</t>
        </is>
      </c>
      <c r="G466" s="15" t="inlineStr">
        <is>
          <t>Inactive</t>
        </is>
      </c>
      <c r="H466" s="27" t="n"/>
      <c r="I466" s="20">
        <f>IF(OR($A466="",$G466&lt;&gt;"Active"),0,IF($H466&lt;&gt;"",$H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</f>
        <v/>
      </c>
      <c r="J466" s="23">
        <f>IF($C466="",0,IFERROR(INDEX(Deals!$H$2:$H$355,MATCH($C466,Deals!$A$2:$A$355,0)),0))</f>
        <v/>
      </c>
      <c r="K466" s="20">
        <f>IF(Settings!$B$4="Yes",$I466*$J466,$I466)</f>
        <v/>
      </c>
      <c r="L466" s="31">
        <f>IF($C466="","",IFERROR(IF(INDEX(Deals!$I$2:$I$355,MATCH($C466,Deals!$A$2:$A$355,0))=0,"",INDEX(Deals!$I$2:$I$355,MATCH($C466,Deals!$A$2:$A$355,0))),""))</f>
        <v/>
      </c>
      <c r="M466" s="31">
        <f>IF($C466="","",IFERROR(IF(INDEX(Deals!$J$2:$J$355,MATCH($C466,Deals!$A$2:$A$355,0))=0,"",INDEX(Deals!$J$2:$J$355,MATCH($C466,Deals!$A$2:$A$355,0))),""))</f>
        <v/>
      </c>
      <c r="N466" s="24">
        <f>IF($L466="",DATE(1900,1,1),$L466)</f>
        <v/>
      </c>
      <c r="O466" s="24">
        <f>IF($M466="",DATE(2100,12,31),$M466)</f>
        <v/>
      </c>
      <c r="P466" s="16" t="inlineStr">
        <is>
          <t>Closed</t>
        </is>
      </c>
      <c r="Q466" s="16" t="inlineStr"/>
      <c r="R466" s="29">
        <f>IF($C466="","",IFERROR(IF(INDEX(Deals!$U$2:$U$355,MATCH($C466,Deals!$A$2:$A$355,0))=0,"",INDEX(Deals!$U$2:$U$355,MATCH($C466,Deals!$A$2:$A$355,0))),""))</f>
        <v/>
      </c>
      <c r="S466" s="22">
        <f>IFERROR(IF($U466="",1,INDEX(Deals!$V$2:$V$355,MATCH($C466,Deals!$A$2:$A$355,0))),1)</f>
        <v/>
      </c>
      <c r="T466" s="22">
        <f>IFERROR(IF($U466="",1,INDEX(Deals!$W$2:$W$355,MATCH($C466,Deals!$A$2:$A$355,0))),1)</f>
        <v/>
      </c>
      <c r="U466" s="31">
        <f>IF($C466="","",IFERROR(IF(INDEX(Deals!$Y$2:$Y$355,MATCH($C466,Deals!$A$2:$A$355,0))=0,"",INDEX(Deals!$Y$2:$Y$355,MATCH($C466,Deals!$A$2:$A$355,0))),""))</f>
        <v/>
      </c>
      <c r="V466" s="24">
        <f>IF($U466="",DATE(1900,1,1),$N466)</f>
        <v/>
      </c>
      <c r="W466" s="24">
        <f>IF($U466="",DATE(2100,12,31),$U466)</f>
        <v/>
      </c>
      <c r="X466" s="20">
        <f>IF($U466="",$K466,$K466*$S466)</f>
        <v/>
      </c>
      <c r="Y466" s="24">
        <f>IF($U466="",DATE(2100,12,31),$U466+1)</f>
        <v/>
      </c>
      <c r="Z466" s="24">
        <f>IF($U466="",DATE(1900,1,1),$O466)</f>
        <v/>
      </c>
      <c r="AA466" s="20">
        <f>IF($U466="",0,$K466*$T466)</f>
        <v/>
      </c>
    </row>
    <row r="467">
      <c r="A467" s="15" t="inlineStr">
        <is>
          <t>Nina</t>
        </is>
      </c>
      <c r="B467" s="29">
        <f>IF($A467="","",IFERROR(INDEX(Roster!$B$2:$B$40,MATCH($A467,Roster!$A$2:$A$40,0)),"?"))</f>
        <v/>
      </c>
      <c r="C467" s="15" t="inlineStr">
        <is>
          <t>Odysee/Atlas_2</t>
        </is>
      </c>
      <c r="D467" s="29">
        <f>IF($C467="","",IFERROR(IF(INDEX(Deals!$C$2:$C$355,MATCH($C467,Deals!$A$2:$A$355,0))=0,"",INDEX(Deals!$C$2:$C$355,MATCH($C467,Deals!$A$2:$A$355,0))),"?"))</f>
        <v/>
      </c>
      <c r="E467" s="29">
        <f>IF($C467="","",IFERROR(INDEX(Deals!$F$2:$F$355,MATCH($C467,Deals!$A$2:$A$355,0)),"?"))</f>
        <v/>
      </c>
      <c r="F467" s="15" t="inlineStr">
        <is>
          <t>Senior Associate</t>
        </is>
      </c>
      <c r="G467" s="15" t="inlineStr">
        <is>
          <t>Inactive</t>
        </is>
      </c>
      <c r="H467" s="27" t="n"/>
      <c r="I467" s="20">
        <f>IF(OR($A467="",$G467&lt;&gt;"Active"),0,IF($H467&lt;&gt;"",$H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</f>
        <v/>
      </c>
      <c r="J467" s="23">
        <f>IF($C467="",0,IFERROR(INDEX(Deals!$H$2:$H$355,MATCH($C467,Deals!$A$2:$A$355,0)),0))</f>
        <v/>
      </c>
      <c r="K467" s="20">
        <f>IF(Settings!$B$4="Yes",$I467*$J467,$I467)</f>
        <v/>
      </c>
      <c r="L467" s="31">
        <f>IF($C467="","",IFERROR(IF(INDEX(Deals!$I$2:$I$355,MATCH($C467,Deals!$A$2:$A$355,0))=0,"",INDEX(Deals!$I$2:$I$355,MATCH($C467,Deals!$A$2:$A$355,0))),""))</f>
        <v/>
      </c>
      <c r="M467" s="31">
        <f>IF($C467="","",IFERROR(IF(INDEX(Deals!$J$2:$J$355,MATCH($C467,Deals!$A$2:$A$355,0))=0,"",INDEX(Deals!$J$2:$J$355,MATCH($C467,Deals!$A$2:$A$355,0))),""))</f>
        <v/>
      </c>
      <c r="N467" s="24">
        <f>IF($L467="",DATE(1900,1,1),$L467)</f>
        <v/>
      </c>
      <c r="O467" s="24">
        <f>IF($M467="",DATE(2100,12,31),$M467)</f>
        <v/>
      </c>
      <c r="P467" s="16" t="inlineStr">
        <is>
          <t>Closed</t>
        </is>
      </c>
      <c r="Q467" s="16" t="inlineStr"/>
      <c r="R467" s="29">
        <f>IF($C467="","",IFERROR(IF(INDEX(Deals!$U$2:$U$355,MATCH($C467,Deals!$A$2:$A$355,0))=0,"",INDEX(Deals!$U$2:$U$355,MATCH($C467,Deals!$A$2:$A$355,0))),""))</f>
        <v/>
      </c>
      <c r="S467" s="22">
        <f>IFERROR(IF($U467="",1,INDEX(Deals!$V$2:$V$355,MATCH($C467,Deals!$A$2:$A$355,0))),1)</f>
        <v/>
      </c>
      <c r="T467" s="22">
        <f>IFERROR(IF($U467="",1,INDEX(Deals!$W$2:$W$355,MATCH($C467,Deals!$A$2:$A$355,0))),1)</f>
        <v/>
      </c>
      <c r="U467" s="31">
        <f>IF($C467="","",IFERROR(IF(INDEX(Deals!$Y$2:$Y$355,MATCH($C467,Deals!$A$2:$A$355,0))=0,"",INDEX(Deals!$Y$2:$Y$355,MATCH($C467,Deals!$A$2:$A$355,0))),""))</f>
        <v/>
      </c>
      <c r="V467" s="24">
        <f>IF($U467="",DATE(1900,1,1),$N467)</f>
        <v/>
      </c>
      <c r="W467" s="24">
        <f>IF($U467="",DATE(2100,12,31),$U467)</f>
        <v/>
      </c>
      <c r="X467" s="20">
        <f>IF($U467="",$K467,$K467*$S467)</f>
        <v/>
      </c>
      <c r="Y467" s="24">
        <f>IF($U467="",DATE(2100,12,31),$U467+1)</f>
        <v/>
      </c>
      <c r="Z467" s="24">
        <f>IF($U467="",DATE(1900,1,1),$O467)</f>
        <v/>
      </c>
      <c r="AA467" s="20">
        <f>IF($U467="",0,$K467*$T467)</f>
        <v/>
      </c>
    </row>
    <row r="468">
      <c r="A468" s="15" t="inlineStr">
        <is>
          <t>Nina</t>
        </is>
      </c>
      <c r="B468" s="29">
        <f>IF($A468="","",IFERROR(INDEX(Roster!$B$2:$B$40,MATCH($A468,Roster!$A$2:$A$40,0)),"?"))</f>
        <v/>
      </c>
      <c r="C468" s="15" t="inlineStr">
        <is>
          <t>Offtake_1</t>
        </is>
      </c>
      <c r="D468" s="29">
        <f>IF($C468="","",IFERROR(IF(INDEX(Deals!$C$2:$C$355,MATCH($C468,Deals!$A$2:$A$355,0))=0,"",INDEX(Deals!$C$2:$C$355,MATCH($C468,Deals!$A$2:$A$355,0))),"?"))</f>
        <v/>
      </c>
      <c r="E468" s="29">
        <f>IF($C468="","",IFERROR(INDEX(Deals!$F$2:$F$355,MATCH($C468,Deals!$A$2:$A$355,0)),"?"))</f>
        <v/>
      </c>
      <c r="F468" s="15" t="inlineStr">
        <is>
          <t>Senior Associate</t>
        </is>
      </c>
      <c r="G468" s="15" t="inlineStr">
        <is>
          <t>Active</t>
        </is>
      </c>
      <c r="H468" s="27" t="n"/>
      <c r="I468" s="20">
        <f>IF(OR($A468="",$G468&lt;&gt;"Active"),0,IF($H468&lt;&gt;"",$H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</f>
        <v/>
      </c>
      <c r="J468" s="23">
        <f>IF($C468="",0,IFERROR(INDEX(Deals!$H$2:$H$355,MATCH($C468,Deals!$A$2:$A$355,0)),0))</f>
        <v/>
      </c>
      <c r="K468" s="20">
        <f>IF(Settings!$B$4="Yes",$I468*$J468,$I468)</f>
        <v/>
      </c>
      <c r="L468" s="31">
        <f>IF($C468="","",IFERROR(IF(INDEX(Deals!$I$2:$I$355,MATCH($C468,Deals!$A$2:$A$355,0))=0,"",INDEX(Deals!$I$2:$I$355,MATCH($C468,Deals!$A$2:$A$355,0))),""))</f>
        <v/>
      </c>
      <c r="M468" s="31">
        <f>IF($C468="","",IFERROR(IF(INDEX(Deals!$J$2:$J$355,MATCH($C468,Deals!$A$2:$A$355,0))=0,"",INDEX(Deals!$J$2:$J$355,MATCH($C468,Deals!$A$2:$A$355,0))),""))</f>
        <v/>
      </c>
      <c r="N468" s="24">
        <f>IF($L468="",DATE(1900,1,1),$L468)</f>
        <v/>
      </c>
      <c r="O468" s="24">
        <f>IF($M468="",DATE(2100,12,31),$M468)</f>
        <v/>
      </c>
      <c r="P468" s="16" t="inlineStr">
        <is>
          <t>Proposal</t>
        </is>
      </c>
      <c r="Q468" s="16" t="inlineStr"/>
      <c r="R468" s="29">
        <f>IF($C468="","",IFERROR(IF(INDEX(Deals!$U$2:$U$355,MATCH($C468,Deals!$A$2:$A$355,0))=0,"",INDEX(Deals!$U$2:$U$355,MATCH($C468,Deals!$A$2:$A$355,0))),""))</f>
        <v/>
      </c>
      <c r="S468" s="22">
        <f>IFERROR(IF($U468="",1,INDEX(Deals!$V$2:$V$355,MATCH($C468,Deals!$A$2:$A$355,0))),1)</f>
        <v/>
      </c>
      <c r="T468" s="22">
        <f>IFERROR(IF($U468="",1,INDEX(Deals!$W$2:$W$355,MATCH($C468,Deals!$A$2:$A$355,0))),1)</f>
        <v/>
      </c>
      <c r="U468" s="31">
        <f>IF($C468="","",IFERROR(IF(INDEX(Deals!$Y$2:$Y$355,MATCH($C468,Deals!$A$2:$A$355,0))=0,"",INDEX(Deals!$Y$2:$Y$355,MATCH($C468,Deals!$A$2:$A$355,0))),""))</f>
        <v/>
      </c>
      <c r="V468" s="24">
        <f>IF($U468="",DATE(1900,1,1),$N468)</f>
        <v/>
      </c>
      <c r="W468" s="24">
        <f>IF($U468="",DATE(2100,12,31),$U468)</f>
        <v/>
      </c>
      <c r="X468" s="20">
        <f>IF($U468="",$K468,$K468*$S468)</f>
        <v/>
      </c>
      <c r="Y468" s="24">
        <f>IF($U468="",DATE(2100,12,31),$U468+1)</f>
        <v/>
      </c>
      <c r="Z468" s="24">
        <f>IF($U468="",DATE(1900,1,1),$O468)</f>
        <v/>
      </c>
      <c r="AA468" s="20">
        <f>IF($U468="",0,$K468*$T468)</f>
        <v/>
      </c>
    </row>
    <row r="469">
      <c r="A469" s="15" t="inlineStr">
        <is>
          <t>Nina</t>
        </is>
      </c>
      <c r="B469" s="29">
        <f>IF($A469="","",IFERROR(INDEX(Roster!$B$2:$B$40,MATCH($A469,Roster!$A$2:$A$40,0)),"?"))</f>
        <v/>
      </c>
      <c r="C469" s="15" t="inlineStr">
        <is>
          <t>Orange_4</t>
        </is>
      </c>
      <c r="D469" s="29">
        <f>IF($C469="","",IFERROR(IF(INDEX(Deals!$C$2:$C$355,MATCH($C469,Deals!$A$2:$A$355,0))=0,"",INDEX(Deals!$C$2:$C$355,MATCH($C469,Deals!$A$2:$A$355,0))),"?"))</f>
        <v/>
      </c>
      <c r="E469" s="29">
        <f>IF($C469="","",IFERROR(INDEX(Deals!$F$2:$F$355,MATCH($C469,Deals!$A$2:$A$355,0)),"?"))</f>
        <v/>
      </c>
      <c r="F469" s="15" t="inlineStr">
        <is>
          <t>Senior Associate</t>
        </is>
      </c>
      <c r="G469" s="15" t="inlineStr">
        <is>
          <t>Active</t>
        </is>
      </c>
      <c r="H469" s="27" t="n"/>
      <c r="I469" s="20">
        <f>IF(OR($A469="",$G469&lt;&gt;"Active"),0,IF($H469&lt;&gt;"",$H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</f>
        <v/>
      </c>
      <c r="J469" s="23">
        <f>IF($C469="",0,IFERROR(INDEX(Deals!$H$2:$H$355,MATCH($C469,Deals!$A$2:$A$355,0)),0))</f>
        <v/>
      </c>
      <c r="K469" s="20">
        <f>IF(Settings!$B$4="Yes",$I469*$J469,$I469)</f>
        <v/>
      </c>
      <c r="L469" s="31">
        <f>IF($C469="","",IFERROR(IF(INDEX(Deals!$I$2:$I$355,MATCH($C469,Deals!$A$2:$A$355,0))=0,"",INDEX(Deals!$I$2:$I$355,MATCH($C469,Deals!$A$2:$A$355,0))),""))</f>
        <v/>
      </c>
      <c r="M469" s="31">
        <f>IF($C469="","",IFERROR(IF(INDEX(Deals!$J$2:$J$355,MATCH($C469,Deals!$A$2:$A$355,0))=0,"",INDEX(Deals!$J$2:$J$355,MATCH($C469,Deals!$A$2:$A$355,0))),""))</f>
        <v/>
      </c>
      <c r="N469" s="24">
        <f>IF($L469="",DATE(1900,1,1),$L469)</f>
        <v/>
      </c>
      <c r="O469" s="24">
        <f>IF($M469="",DATE(2100,12,31),$M469)</f>
        <v/>
      </c>
      <c r="P469" s="16" t="inlineStr">
        <is>
          <t>Ongoing</t>
        </is>
      </c>
      <c r="Q469" s="16" t="inlineStr"/>
      <c r="R469" s="29">
        <f>IF($C469="","",IFERROR(IF(INDEX(Deals!$U$2:$U$355,MATCH($C469,Deals!$A$2:$A$355,0))=0,"",INDEX(Deals!$U$2:$U$355,MATCH($C469,Deals!$A$2:$A$355,0))),""))</f>
        <v/>
      </c>
      <c r="S469" s="22">
        <f>IFERROR(IF($U469="",1,INDEX(Deals!$V$2:$V$355,MATCH($C469,Deals!$A$2:$A$355,0))),1)</f>
        <v/>
      </c>
      <c r="T469" s="22">
        <f>IFERROR(IF($U469="",1,INDEX(Deals!$W$2:$W$355,MATCH($C469,Deals!$A$2:$A$355,0))),1)</f>
        <v/>
      </c>
      <c r="U469" s="31">
        <f>IF($C469="","",IFERROR(IF(INDEX(Deals!$Y$2:$Y$355,MATCH($C469,Deals!$A$2:$A$355,0))=0,"",INDEX(Deals!$Y$2:$Y$355,MATCH($C469,Deals!$A$2:$A$355,0))),""))</f>
        <v/>
      </c>
      <c r="V469" s="24">
        <f>IF($U469="",DATE(1900,1,1),$N469)</f>
        <v/>
      </c>
      <c r="W469" s="24">
        <f>IF($U469="",DATE(2100,12,31),$U469)</f>
        <v/>
      </c>
      <c r="X469" s="20">
        <f>IF($U469="",$K469,$K469*$S469)</f>
        <v/>
      </c>
      <c r="Y469" s="24">
        <f>IF($U469="",DATE(2100,12,31),$U469+1)</f>
        <v/>
      </c>
      <c r="Z469" s="24">
        <f>IF($U469="",DATE(1900,1,1),$O469)</f>
        <v/>
      </c>
      <c r="AA469" s="20">
        <f>IF($U469="",0,$K469*$T469)</f>
        <v/>
      </c>
    </row>
    <row r="470">
      <c r="A470" s="15" t="inlineStr">
        <is>
          <t>Nina</t>
        </is>
      </c>
      <c r="B470" s="29">
        <f>IF($A470="","",IFERROR(INDEX(Roster!$B$2:$B$40,MATCH($A470,Roster!$A$2:$A$40,0)),"?"))</f>
        <v/>
      </c>
      <c r="C470" s="15" t="inlineStr">
        <is>
          <t>Orca_1</t>
        </is>
      </c>
      <c r="D470" s="29">
        <f>IF($C470="","",IFERROR(IF(INDEX(Deals!$C$2:$C$355,MATCH($C470,Deals!$A$2:$A$355,0))=0,"",INDEX(Deals!$C$2:$C$355,MATCH($C470,Deals!$A$2:$A$355,0))),"?"))</f>
        <v/>
      </c>
      <c r="E470" s="29">
        <f>IF($C470="","",IFERROR(INDEX(Deals!$F$2:$F$355,MATCH($C470,Deals!$A$2:$A$355,0)),"?"))</f>
        <v/>
      </c>
      <c r="F470" s="15" t="inlineStr">
        <is>
          <t>Senior Associate</t>
        </is>
      </c>
      <c r="G470" s="15" t="inlineStr">
        <is>
          <t>Inactive</t>
        </is>
      </c>
      <c r="H470" s="27" t="n"/>
      <c r="I470" s="20">
        <f>IF(OR($A470="",$G470&lt;&gt;"Active"),0,IF($H470&lt;&gt;"",$H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</f>
        <v/>
      </c>
      <c r="J470" s="23">
        <f>IF($C470="",0,IFERROR(INDEX(Deals!$H$2:$H$355,MATCH($C470,Deals!$A$2:$A$355,0)),0))</f>
        <v/>
      </c>
      <c r="K470" s="20">
        <f>IF(Settings!$B$4="Yes",$I470*$J470,$I470)</f>
        <v/>
      </c>
      <c r="L470" s="31">
        <f>IF($C470="","",IFERROR(IF(INDEX(Deals!$I$2:$I$355,MATCH($C470,Deals!$A$2:$A$355,0))=0,"",INDEX(Deals!$I$2:$I$355,MATCH($C470,Deals!$A$2:$A$355,0))),""))</f>
        <v/>
      </c>
      <c r="M470" s="31">
        <f>IF($C470="","",IFERROR(IF(INDEX(Deals!$J$2:$J$355,MATCH($C470,Deals!$A$2:$A$355,0))=0,"",INDEX(Deals!$J$2:$J$355,MATCH($C470,Deals!$A$2:$A$355,0))),""))</f>
        <v/>
      </c>
      <c r="N470" s="24">
        <f>IF($L470="",DATE(1900,1,1),$L470)</f>
        <v/>
      </c>
      <c r="O470" s="24">
        <f>IF($M470="",DATE(2100,12,31),$M470)</f>
        <v/>
      </c>
      <c r="P470" s="16" t="inlineStr">
        <is>
          <t>Not involved in ongoing work</t>
        </is>
      </c>
      <c r="Q470" s="16" t="inlineStr"/>
      <c r="R470" s="29">
        <f>IF($C470="","",IFERROR(IF(INDEX(Deals!$U$2:$U$355,MATCH($C470,Deals!$A$2:$A$355,0))=0,"",INDEX(Deals!$U$2:$U$355,MATCH($C470,Deals!$A$2:$A$355,0))),""))</f>
        <v/>
      </c>
      <c r="S470" s="22">
        <f>IFERROR(IF($U470="",1,INDEX(Deals!$V$2:$V$355,MATCH($C470,Deals!$A$2:$A$355,0))),1)</f>
        <v/>
      </c>
      <c r="T470" s="22">
        <f>IFERROR(IF($U470="",1,INDEX(Deals!$W$2:$W$355,MATCH($C470,Deals!$A$2:$A$355,0))),1)</f>
        <v/>
      </c>
      <c r="U470" s="31">
        <f>IF($C470="","",IFERROR(IF(INDEX(Deals!$Y$2:$Y$355,MATCH($C470,Deals!$A$2:$A$355,0))=0,"",INDEX(Deals!$Y$2:$Y$355,MATCH($C470,Deals!$A$2:$A$355,0))),""))</f>
        <v/>
      </c>
      <c r="V470" s="24">
        <f>IF($U470="",DATE(1900,1,1),$N470)</f>
        <v/>
      </c>
      <c r="W470" s="24">
        <f>IF($U470="",DATE(2100,12,31),$U470)</f>
        <v/>
      </c>
      <c r="X470" s="20">
        <f>IF($U470="",$K470,$K470*$S470)</f>
        <v/>
      </c>
      <c r="Y470" s="24">
        <f>IF($U470="",DATE(2100,12,31),$U470+1)</f>
        <v/>
      </c>
      <c r="Z470" s="24">
        <f>IF($U470="",DATE(1900,1,1),$O470)</f>
        <v/>
      </c>
      <c r="AA470" s="20">
        <f>IF($U470="",0,$K470*$T470)</f>
        <v/>
      </c>
    </row>
    <row r="471">
      <c r="A471" s="15" t="inlineStr">
        <is>
          <t>Nina</t>
        </is>
      </c>
      <c r="B471" s="29">
        <f>IF($A471="","",IFERROR(INDEX(Roster!$B$2:$B$40,MATCH($A471,Roster!$A$2:$A$40,0)),"?"))</f>
        <v/>
      </c>
      <c r="C471" s="15" t="inlineStr">
        <is>
          <t>Orion_3</t>
        </is>
      </c>
      <c r="D471" s="29">
        <f>IF($C471="","",IFERROR(IF(INDEX(Deals!$C$2:$C$355,MATCH($C471,Deals!$A$2:$A$355,0))=0,"",INDEX(Deals!$C$2:$C$355,MATCH($C471,Deals!$A$2:$A$355,0))),"?"))</f>
        <v/>
      </c>
      <c r="E471" s="29">
        <f>IF($C471="","",IFERROR(INDEX(Deals!$F$2:$F$355,MATCH($C471,Deals!$A$2:$A$355,0)),"?"))</f>
        <v/>
      </c>
      <c r="F471" s="15" t="inlineStr">
        <is>
          <t>Senior Associate</t>
        </is>
      </c>
      <c r="G471" s="15" t="inlineStr">
        <is>
          <t>Inactive</t>
        </is>
      </c>
      <c r="H471" s="27" t="n"/>
      <c r="I471" s="20">
        <f>IF(OR($A471="",$G471&lt;&gt;"Active"),0,IF($H471&lt;&gt;"",$H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</f>
        <v/>
      </c>
      <c r="J471" s="23">
        <f>IF($C471="",0,IFERROR(INDEX(Deals!$H$2:$H$355,MATCH($C471,Deals!$A$2:$A$355,0)),0))</f>
        <v/>
      </c>
      <c r="K471" s="20">
        <f>IF(Settings!$B$4="Yes",$I471*$J471,$I471)</f>
        <v/>
      </c>
      <c r="L471" s="31">
        <f>IF($C471="","",IFERROR(IF(INDEX(Deals!$I$2:$I$355,MATCH($C471,Deals!$A$2:$A$355,0))=0,"",INDEX(Deals!$I$2:$I$355,MATCH($C471,Deals!$A$2:$A$355,0))),""))</f>
        <v/>
      </c>
      <c r="M471" s="31">
        <f>IF($C471="","",IFERROR(IF(INDEX(Deals!$J$2:$J$355,MATCH($C471,Deals!$A$2:$A$355,0))=0,"",INDEX(Deals!$J$2:$J$355,MATCH($C471,Deals!$A$2:$A$355,0))),""))</f>
        <v/>
      </c>
      <c r="N471" s="24">
        <f>IF($L471="",DATE(1900,1,1),$L471)</f>
        <v/>
      </c>
      <c r="O471" s="24">
        <f>IF($M471="",DATE(2100,12,31),$M471)</f>
        <v/>
      </c>
      <c r="P471" s="16" t="inlineStr">
        <is>
          <t>Not involved in ongoing work</t>
        </is>
      </c>
      <c r="Q471" s="16" t="inlineStr"/>
      <c r="R471" s="29">
        <f>IF($C471="","",IFERROR(IF(INDEX(Deals!$U$2:$U$355,MATCH($C471,Deals!$A$2:$A$355,0))=0,"",INDEX(Deals!$U$2:$U$355,MATCH($C471,Deals!$A$2:$A$355,0))),""))</f>
        <v/>
      </c>
      <c r="S471" s="22">
        <f>IFERROR(IF($U471="",1,INDEX(Deals!$V$2:$V$355,MATCH($C471,Deals!$A$2:$A$355,0))),1)</f>
        <v/>
      </c>
      <c r="T471" s="22">
        <f>IFERROR(IF($U471="",1,INDEX(Deals!$W$2:$W$355,MATCH($C471,Deals!$A$2:$A$355,0))),1)</f>
        <v/>
      </c>
      <c r="U471" s="31">
        <f>IF($C471="","",IFERROR(IF(INDEX(Deals!$Y$2:$Y$355,MATCH($C471,Deals!$A$2:$A$355,0))=0,"",INDEX(Deals!$Y$2:$Y$355,MATCH($C471,Deals!$A$2:$A$355,0))),""))</f>
        <v/>
      </c>
      <c r="V471" s="24">
        <f>IF($U471="",DATE(1900,1,1),$N471)</f>
        <v/>
      </c>
      <c r="W471" s="24">
        <f>IF($U471="",DATE(2100,12,31),$U471)</f>
        <v/>
      </c>
      <c r="X471" s="20">
        <f>IF($U471="",$K471,$K471*$S471)</f>
        <v/>
      </c>
      <c r="Y471" s="24">
        <f>IF($U471="",DATE(2100,12,31),$U471+1)</f>
        <v/>
      </c>
      <c r="Z471" s="24">
        <f>IF($U471="",DATE(1900,1,1),$O471)</f>
        <v/>
      </c>
      <c r="AA471" s="20">
        <f>IF($U471="",0,$K471*$T471)</f>
        <v/>
      </c>
    </row>
    <row r="472">
      <c r="A472" s="15" t="inlineStr">
        <is>
          <t>Nina</t>
        </is>
      </c>
      <c r="B472" s="29">
        <f>IF($A472="","",IFERROR(INDEX(Roster!$B$2:$B$40,MATCH($A472,Roster!$A$2:$A$40,0)),"?"))</f>
        <v/>
      </c>
      <c r="C472" s="15" t="inlineStr">
        <is>
          <t>Papago_1</t>
        </is>
      </c>
      <c r="D472" s="29">
        <f>IF($C472="","",IFERROR(IF(INDEX(Deals!$C$2:$C$355,MATCH($C472,Deals!$A$2:$A$355,0))=0,"",INDEX(Deals!$C$2:$C$355,MATCH($C472,Deals!$A$2:$A$355,0))),"?"))</f>
        <v/>
      </c>
      <c r="E472" s="29">
        <f>IF($C472="","",IFERROR(INDEX(Deals!$F$2:$F$355,MATCH($C472,Deals!$A$2:$A$355,0)),"?"))</f>
        <v/>
      </c>
      <c r="F472" s="15" t="inlineStr">
        <is>
          <t>Senior Associate</t>
        </is>
      </c>
      <c r="G472" s="15" t="inlineStr">
        <is>
          <t>Inactive</t>
        </is>
      </c>
      <c r="H472" s="27" t="n"/>
      <c r="I472" s="20">
        <f>IF(OR($A472="",$G472&lt;&gt;"Active"),0,IF($H472&lt;&gt;"",$H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</f>
        <v/>
      </c>
      <c r="J472" s="23">
        <f>IF($C472="",0,IFERROR(INDEX(Deals!$H$2:$H$355,MATCH($C472,Deals!$A$2:$A$355,0)),0))</f>
        <v/>
      </c>
      <c r="K472" s="20">
        <f>IF(Settings!$B$4="Yes",$I472*$J472,$I472)</f>
        <v/>
      </c>
      <c r="L472" s="31">
        <f>IF($C472="","",IFERROR(IF(INDEX(Deals!$I$2:$I$355,MATCH($C472,Deals!$A$2:$A$355,0))=0,"",INDEX(Deals!$I$2:$I$355,MATCH($C472,Deals!$A$2:$A$355,0))),""))</f>
        <v/>
      </c>
      <c r="M472" s="31">
        <f>IF($C472="","",IFERROR(IF(INDEX(Deals!$J$2:$J$355,MATCH($C472,Deals!$A$2:$A$355,0))=0,"",INDEX(Deals!$J$2:$J$355,MATCH($C472,Deals!$A$2:$A$355,0))),""))</f>
        <v/>
      </c>
      <c r="N472" s="24">
        <f>IF($L472="",DATE(1900,1,1),$L472)</f>
        <v/>
      </c>
      <c r="O472" s="24">
        <f>IF($M472="",DATE(2100,12,31),$M472)</f>
        <v/>
      </c>
      <c r="P472" s="16" t="inlineStr">
        <is>
          <t>Closed</t>
        </is>
      </c>
      <c r="Q472" s="16" t="inlineStr"/>
      <c r="R472" s="29">
        <f>IF($C472="","",IFERROR(IF(INDEX(Deals!$U$2:$U$355,MATCH($C472,Deals!$A$2:$A$355,0))=0,"",INDEX(Deals!$U$2:$U$355,MATCH($C472,Deals!$A$2:$A$355,0))),""))</f>
        <v/>
      </c>
      <c r="S472" s="22">
        <f>IFERROR(IF($U472="",1,INDEX(Deals!$V$2:$V$355,MATCH($C472,Deals!$A$2:$A$355,0))),1)</f>
        <v/>
      </c>
      <c r="T472" s="22">
        <f>IFERROR(IF($U472="",1,INDEX(Deals!$W$2:$W$355,MATCH($C472,Deals!$A$2:$A$355,0))),1)</f>
        <v/>
      </c>
      <c r="U472" s="31">
        <f>IF($C472="","",IFERROR(IF(INDEX(Deals!$Y$2:$Y$355,MATCH($C472,Deals!$A$2:$A$355,0))=0,"",INDEX(Deals!$Y$2:$Y$355,MATCH($C472,Deals!$A$2:$A$355,0))),""))</f>
        <v/>
      </c>
      <c r="V472" s="24">
        <f>IF($U472="",DATE(1900,1,1),$N472)</f>
        <v/>
      </c>
      <c r="W472" s="24">
        <f>IF($U472="",DATE(2100,12,31),$U472)</f>
        <v/>
      </c>
      <c r="X472" s="20">
        <f>IF($U472="",$K472,$K472*$S472)</f>
        <v/>
      </c>
      <c r="Y472" s="24">
        <f>IF($U472="",DATE(2100,12,31),$U472+1)</f>
        <v/>
      </c>
      <c r="Z472" s="24">
        <f>IF($U472="",DATE(1900,1,1),$O472)</f>
        <v/>
      </c>
      <c r="AA472" s="20">
        <f>IF($U472="",0,$K472*$T472)</f>
        <v/>
      </c>
    </row>
    <row r="473">
      <c r="A473" s="15" t="inlineStr">
        <is>
          <t>Nina</t>
        </is>
      </c>
      <c r="B473" s="29">
        <f>IF($A473="","",IFERROR(INDEX(Roster!$B$2:$B$40,MATCH($A473,Roster!$A$2:$A$40,0)),"?"))</f>
        <v/>
      </c>
      <c r="C473" s="15" t="inlineStr">
        <is>
          <t>Pennsylvania_1</t>
        </is>
      </c>
      <c r="D473" s="29">
        <f>IF($C473="","",IFERROR(IF(INDEX(Deals!$C$2:$C$355,MATCH($C473,Deals!$A$2:$A$355,0))=0,"",INDEX(Deals!$C$2:$C$355,MATCH($C473,Deals!$A$2:$A$355,0))),"?"))</f>
        <v/>
      </c>
      <c r="E473" s="29">
        <f>IF($C473="","",IFERROR(INDEX(Deals!$F$2:$F$355,MATCH($C473,Deals!$A$2:$A$355,0)),"?"))</f>
        <v/>
      </c>
      <c r="F473" s="15" t="inlineStr">
        <is>
          <t>Senior Associate</t>
        </is>
      </c>
      <c r="G473" s="15" t="inlineStr">
        <is>
          <t>Inactive</t>
        </is>
      </c>
      <c r="H473" s="27" t="n"/>
      <c r="I473" s="20">
        <f>IF(OR($A473="",$G473&lt;&gt;"Active"),0,IF($H473&lt;&gt;"",$H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</f>
        <v/>
      </c>
      <c r="J473" s="23">
        <f>IF($C473="",0,IFERROR(INDEX(Deals!$H$2:$H$355,MATCH($C473,Deals!$A$2:$A$355,0)),0))</f>
        <v/>
      </c>
      <c r="K473" s="20">
        <f>IF(Settings!$B$4="Yes",$I473*$J473,$I473)</f>
        <v/>
      </c>
      <c r="L473" s="31">
        <f>IF($C473="","",IFERROR(IF(INDEX(Deals!$I$2:$I$355,MATCH($C473,Deals!$A$2:$A$355,0))=0,"",INDEX(Deals!$I$2:$I$355,MATCH($C473,Deals!$A$2:$A$355,0))),""))</f>
        <v/>
      </c>
      <c r="M473" s="31">
        <f>IF($C473="","",IFERROR(IF(INDEX(Deals!$J$2:$J$355,MATCH($C473,Deals!$A$2:$A$355,0))=0,"",INDEX(Deals!$J$2:$J$355,MATCH($C473,Deals!$A$2:$A$355,0))),""))</f>
        <v/>
      </c>
      <c r="N473" s="24">
        <f>IF($L473="",DATE(1900,1,1),$L473)</f>
        <v/>
      </c>
      <c r="O473" s="24">
        <f>IF($M473="",DATE(2100,12,31),$M473)</f>
        <v/>
      </c>
      <c r="P473" s="16" t="inlineStr">
        <is>
          <t>Not involved in ongoing work</t>
        </is>
      </c>
      <c r="Q473" s="16" t="inlineStr"/>
      <c r="R473" s="29">
        <f>IF($C473="","",IFERROR(IF(INDEX(Deals!$U$2:$U$355,MATCH($C473,Deals!$A$2:$A$355,0))=0,"",INDEX(Deals!$U$2:$U$355,MATCH($C473,Deals!$A$2:$A$355,0))),""))</f>
        <v/>
      </c>
      <c r="S473" s="22">
        <f>IFERROR(IF($U473="",1,INDEX(Deals!$V$2:$V$355,MATCH($C473,Deals!$A$2:$A$355,0))),1)</f>
        <v/>
      </c>
      <c r="T473" s="22">
        <f>IFERROR(IF($U473="",1,INDEX(Deals!$W$2:$W$355,MATCH($C473,Deals!$A$2:$A$355,0))),1)</f>
        <v/>
      </c>
      <c r="U473" s="31">
        <f>IF($C473="","",IFERROR(IF(INDEX(Deals!$Y$2:$Y$355,MATCH($C473,Deals!$A$2:$A$355,0))=0,"",INDEX(Deals!$Y$2:$Y$355,MATCH($C473,Deals!$A$2:$A$355,0))),""))</f>
        <v/>
      </c>
      <c r="V473" s="24">
        <f>IF($U473="",DATE(1900,1,1),$N473)</f>
        <v/>
      </c>
      <c r="W473" s="24">
        <f>IF($U473="",DATE(2100,12,31),$U473)</f>
        <v/>
      </c>
      <c r="X473" s="20">
        <f>IF($U473="",$K473,$K473*$S473)</f>
        <v/>
      </c>
      <c r="Y473" s="24">
        <f>IF($U473="",DATE(2100,12,31),$U473+1)</f>
        <v/>
      </c>
      <c r="Z473" s="24">
        <f>IF($U473="",DATE(1900,1,1),$O473)</f>
        <v/>
      </c>
      <c r="AA473" s="20">
        <f>IF($U473="",0,$K473*$T473)</f>
        <v/>
      </c>
    </row>
    <row r="474">
      <c r="A474" s="15" t="inlineStr">
        <is>
          <t>Nina</t>
        </is>
      </c>
      <c r="B474" s="29">
        <f>IF($A474="","",IFERROR(INDEX(Roster!$B$2:$B$40,MATCH($A474,Roster!$A$2:$A$40,0)),"?"))</f>
        <v/>
      </c>
      <c r="C474" s="15" t="inlineStr">
        <is>
          <t>Pine_1</t>
        </is>
      </c>
      <c r="D474" s="29">
        <f>IF($C474="","",IFERROR(IF(INDEX(Deals!$C$2:$C$355,MATCH($C474,Deals!$A$2:$A$355,0))=0,"",INDEX(Deals!$C$2:$C$355,MATCH($C474,Deals!$A$2:$A$355,0))),"?"))</f>
        <v/>
      </c>
      <c r="E474" s="29">
        <f>IF($C474="","",IFERROR(INDEX(Deals!$F$2:$F$355,MATCH($C474,Deals!$A$2:$A$355,0)),"?"))</f>
        <v/>
      </c>
      <c r="F474" s="15" t="inlineStr">
        <is>
          <t>Senior Associate</t>
        </is>
      </c>
      <c r="G474" s="15" t="inlineStr">
        <is>
          <t>Active</t>
        </is>
      </c>
      <c r="H474" s="27" t="n"/>
      <c r="I474" s="20">
        <f>IF(OR($A474="",$G474&lt;&gt;"Active"),0,IF($H474&lt;&gt;"",$H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</f>
        <v/>
      </c>
      <c r="J474" s="23">
        <f>IF($C474="",0,IFERROR(INDEX(Deals!$H$2:$H$355,MATCH($C474,Deals!$A$2:$A$355,0)),0))</f>
        <v/>
      </c>
      <c r="K474" s="20">
        <f>IF(Settings!$B$4="Yes",$I474*$J474,$I474)</f>
        <v/>
      </c>
      <c r="L474" s="31">
        <f>IF($C474="","",IFERROR(IF(INDEX(Deals!$I$2:$I$355,MATCH($C474,Deals!$A$2:$A$355,0))=0,"",INDEX(Deals!$I$2:$I$355,MATCH($C474,Deals!$A$2:$A$355,0))),""))</f>
        <v/>
      </c>
      <c r="M474" s="31">
        <f>IF($C474="","",IFERROR(IF(INDEX(Deals!$J$2:$J$355,MATCH($C474,Deals!$A$2:$A$355,0))=0,"",INDEX(Deals!$J$2:$J$355,MATCH($C474,Deals!$A$2:$A$355,0))),""))</f>
        <v/>
      </c>
      <c r="N474" s="24">
        <f>IF($L474="",DATE(1900,1,1),$L474)</f>
        <v/>
      </c>
      <c r="O474" s="24">
        <f>IF($M474="",DATE(2100,12,31),$M474)</f>
        <v/>
      </c>
      <c r="P474" s="16" t="inlineStr"/>
      <c r="Q474" s="16" t="inlineStr"/>
      <c r="R474" s="29">
        <f>IF($C474="","",IFERROR(IF(INDEX(Deals!$U$2:$U$355,MATCH($C474,Deals!$A$2:$A$355,0))=0,"",INDEX(Deals!$U$2:$U$355,MATCH($C474,Deals!$A$2:$A$355,0))),""))</f>
        <v/>
      </c>
      <c r="S474" s="22">
        <f>IFERROR(IF($U474="",1,INDEX(Deals!$V$2:$V$355,MATCH($C474,Deals!$A$2:$A$355,0))),1)</f>
        <v/>
      </c>
      <c r="T474" s="22">
        <f>IFERROR(IF($U474="",1,INDEX(Deals!$W$2:$W$355,MATCH($C474,Deals!$A$2:$A$355,0))),1)</f>
        <v/>
      </c>
      <c r="U474" s="31">
        <f>IF($C474="","",IFERROR(IF(INDEX(Deals!$Y$2:$Y$355,MATCH($C474,Deals!$A$2:$A$355,0))=0,"",INDEX(Deals!$Y$2:$Y$355,MATCH($C474,Deals!$A$2:$A$355,0))),""))</f>
        <v/>
      </c>
      <c r="V474" s="24">
        <f>IF($U474="",DATE(1900,1,1),$N474)</f>
        <v/>
      </c>
      <c r="W474" s="24">
        <f>IF($U474="",DATE(2100,12,31),$U474)</f>
        <v/>
      </c>
      <c r="X474" s="20">
        <f>IF($U474="",$K474,$K474*$S474)</f>
        <v/>
      </c>
      <c r="Y474" s="24">
        <f>IF($U474="",DATE(2100,12,31),$U474+1)</f>
        <v/>
      </c>
      <c r="Z474" s="24">
        <f>IF($U474="",DATE(1900,1,1),$O474)</f>
        <v/>
      </c>
      <c r="AA474" s="20">
        <f>IF($U474="",0,$K474*$T474)</f>
        <v/>
      </c>
    </row>
    <row r="475">
      <c r="A475" s="15" t="inlineStr">
        <is>
          <t>Nina</t>
        </is>
      </c>
      <c r="B475" s="29">
        <f>IF($A475="","",IFERROR(INDEX(Roster!$B$2:$B$40,MATCH($A475,Roster!$A$2:$A$40,0)),"?"))</f>
        <v/>
      </c>
      <c r="C475" s="15" t="inlineStr">
        <is>
          <t>Pinecreek_1</t>
        </is>
      </c>
      <c r="D475" s="29">
        <f>IF($C475="","",IFERROR(IF(INDEX(Deals!$C$2:$C$355,MATCH($C475,Deals!$A$2:$A$355,0))=0,"",INDEX(Deals!$C$2:$C$355,MATCH($C475,Deals!$A$2:$A$355,0))),"?"))</f>
        <v/>
      </c>
      <c r="E475" s="29">
        <f>IF($C475="","",IFERROR(INDEX(Deals!$F$2:$F$355,MATCH($C475,Deals!$A$2:$A$355,0)),"?"))</f>
        <v/>
      </c>
      <c r="F475" s="15" t="inlineStr">
        <is>
          <t>Senior Associate</t>
        </is>
      </c>
      <c r="G475" s="15" t="inlineStr">
        <is>
          <t>Active</t>
        </is>
      </c>
      <c r="H475" s="27" t="n"/>
      <c r="I475" s="20">
        <f>IF(OR($A475="",$G475&lt;&gt;"Active"),0,IF($H475&lt;&gt;"",$H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</f>
        <v/>
      </c>
      <c r="J475" s="23">
        <f>IF($C475="",0,IFERROR(INDEX(Deals!$H$2:$H$355,MATCH($C475,Deals!$A$2:$A$355,0)),0))</f>
        <v/>
      </c>
      <c r="K475" s="20">
        <f>IF(Settings!$B$4="Yes",$I475*$J475,$I475)</f>
        <v/>
      </c>
      <c r="L475" s="31">
        <f>IF($C475="","",IFERROR(IF(INDEX(Deals!$I$2:$I$355,MATCH($C475,Deals!$A$2:$A$355,0))=0,"",INDEX(Deals!$I$2:$I$355,MATCH($C475,Deals!$A$2:$A$355,0))),""))</f>
        <v/>
      </c>
      <c r="M475" s="31">
        <f>IF($C475="","",IFERROR(IF(INDEX(Deals!$J$2:$J$355,MATCH($C475,Deals!$A$2:$A$355,0))=0,"",INDEX(Deals!$J$2:$J$355,MATCH($C475,Deals!$A$2:$A$355,0))),""))</f>
        <v/>
      </c>
      <c r="N475" s="24">
        <f>IF($L475="",DATE(1900,1,1),$L475)</f>
        <v/>
      </c>
      <c r="O475" s="24">
        <f>IF($M475="",DATE(2100,12,31),$M475)</f>
        <v/>
      </c>
      <c r="P475" s="16" t="inlineStr"/>
      <c r="Q475" s="16" t="inlineStr"/>
      <c r="R475" s="29">
        <f>IF($C475="","",IFERROR(IF(INDEX(Deals!$U$2:$U$355,MATCH($C475,Deals!$A$2:$A$355,0))=0,"",INDEX(Deals!$U$2:$U$355,MATCH($C475,Deals!$A$2:$A$355,0))),""))</f>
        <v/>
      </c>
      <c r="S475" s="22">
        <f>IFERROR(IF($U475="",1,INDEX(Deals!$V$2:$V$355,MATCH($C475,Deals!$A$2:$A$355,0))),1)</f>
        <v/>
      </c>
      <c r="T475" s="22">
        <f>IFERROR(IF($U475="",1,INDEX(Deals!$W$2:$W$355,MATCH($C475,Deals!$A$2:$A$355,0))),1)</f>
        <v/>
      </c>
      <c r="U475" s="31">
        <f>IF($C475="","",IFERROR(IF(INDEX(Deals!$Y$2:$Y$355,MATCH($C475,Deals!$A$2:$A$355,0))=0,"",INDEX(Deals!$Y$2:$Y$355,MATCH($C475,Deals!$A$2:$A$355,0))),""))</f>
        <v/>
      </c>
      <c r="V475" s="24">
        <f>IF($U475="",DATE(1900,1,1),$N475)</f>
        <v/>
      </c>
      <c r="W475" s="24">
        <f>IF($U475="",DATE(2100,12,31),$U475)</f>
        <v/>
      </c>
      <c r="X475" s="20">
        <f>IF($U475="",$K475,$K475*$S475)</f>
        <v/>
      </c>
      <c r="Y475" s="24">
        <f>IF($U475="",DATE(2100,12,31),$U475+1)</f>
        <v/>
      </c>
      <c r="Z475" s="24">
        <f>IF($U475="",DATE(1900,1,1),$O475)</f>
        <v/>
      </c>
      <c r="AA475" s="20">
        <f>IF($U475="",0,$K475*$T475)</f>
        <v/>
      </c>
    </row>
    <row r="476">
      <c r="A476" s="15" t="inlineStr">
        <is>
          <t>Nina</t>
        </is>
      </c>
      <c r="B476" s="29">
        <f>IF($A476="","",IFERROR(INDEX(Roster!$B$2:$B$40,MATCH($A476,Roster!$A$2:$A$40,0)),"?"))</f>
        <v/>
      </c>
      <c r="C476" s="15" t="inlineStr">
        <is>
          <t>Pinnacel</t>
        </is>
      </c>
      <c r="D476" s="29">
        <f>IF($C476="","",IFERROR(IF(INDEX(Deals!$C$2:$C$355,MATCH($C476,Deals!$A$2:$A$355,0))=0,"",INDEX(Deals!$C$2:$C$355,MATCH($C476,Deals!$A$2:$A$355,0))),"?"))</f>
        <v/>
      </c>
      <c r="E476" s="29">
        <f>IF($C476="","",IFERROR(INDEX(Deals!$F$2:$F$355,MATCH($C476,Deals!$A$2:$A$355,0)),"?"))</f>
        <v/>
      </c>
      <c r="F476" s="15" t="inlineStr">
        <is>
          <t>Senior Associate</t>
        </is>
      </c>
      <c r="G476" s="15" t="inlineStr">
        <is>
          <t>Active</t>
        </is>
      </c>
      <c r="H476" s="27" t="n"/>
      <c r="I476" s="20">
        <f>IF(OR($A476="",$G476&lt;&gt;"Active"),0,IF($H476&lt;&gt;"",$H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</f>
        <v/>
      </c>
      <c r="J476" s="23">
        <f>IF($C476="",0,IFERROR(INDEX(Deals!$H$2:$H$355,MATCH($C476,Deals!$A$2:$A$355,0)),0))</f>
        <v/>
      </c>
      <c r="K476" s="20">
        <f>IF(Settings!$B$4="Yes",$I476*$J476,$I476)</f>
        <v/>
      </c>
      <c r="L476" s="31">
        <f>IF($C476="","",IFERROR(IF(INDEX(Deals!$I$2:$I$355,MATCH($C476,Deals!$A$2:$A$355,0))=0,"",INDEX(Deals!$I$2:$I$355,MATCH($C476,Deals!$A$2:$A$355,0))),""))</f>
        <v/>
      </c>
      <c r="M476" s="31">
        <f>IF($C476="","",IFERROR(IF(INDEX(Deals!$J$2:$J$355,MATCH($C476,Deals!$A$2:$A$355,0))=0,"",INDEX(Deals!$J$2:$J$355,MATCH($C476,Deals!$A$2:$A$355,0))),""))</f>
        <v/>
      </c>
      <c r="N476" s="24">
        <f>IF($L476="",DATE(1900,1,1),$L476)</f>
        <v/>
      </c>
      <c r="O476" s="24">
        <f>IF($M476="",DATE(2100,12,31),$M476)</f>
        <v/>
      </c>
      <c r="P476" s="16" t="inlineStr">
        <is>
          <t>Proposal sent</t>
        </is>
      </c>
      <c r="Q476" s="16" t="inlineStr">
        <is>
          <t>Added from Summary tab</t>
        </is>
      </c>
      <c r="R476" s="29">
        <f>IF($C476="","",IFERROR(IF(INDEX(Deals!$U$2:$U$355,MATCH($C476,Deals!$A$2:$A$355,0))=0,"",INDEX(Deals!$U$2:$U$355,MATCH($C476,Deals!$A$2:$A$355,0))),""))</f>
        <v/>
      </c>
      <c r="S476" s="22">
        <f>IFERROR(IF($U476="",1,INDEX(Deals!$V$2:$V$355,MATCH($C476,Deals!$A$2:$A$355,0))),1)</f>
        <v/>
      </c>
      <c r="T476" s="22">
        <f>IFERROR(IF($U476="",1,INDEX(Deals!$W$2:$W$355,MATCH($C476,Deals!$A$2:$A$355,0))),1)</f>
        <v/>
      </c>
      <c r="U476" s="31">
        <f>IF($C476="","",IFERROR(IF(INDEX(Deals!$Y$2:$Y$355,MATCH($C476,Deals!$A$2:$A$355,0))=0,"",INDEX(Deals!$Y$2:$Y$355,MATCH($C476,Deals!$A$2:$A$355,0))),""))</f>
        <v/>
      </c>
      <c r="V476" s="24">
        <f>IF($U476="",DATE(1900,1,1),$N476)</f>
        <v/>
      </c>
      <c r="W476" s="24">
        <f>IF($U476="",DATE(2100,12,31),$U476)</f>
        <v/>
      </c>
      <c r="X476" s="20">
        <f>IF($U476="",$K476,$K476*$S476)</f>
        <v/>
      </c>
      <c r="Y476" s="24">
        <f>IF($U476="",DATE(2100,12,31),$U476+1)</f>
        <v/>
      </c>
      <c r="Z476" s="24">
        <f>IF($U476="",DATE(1900,1,1),$O476)</f>
        <v/>
      </c>
      <c r="AA476" s="20">
        <f>IF($U476="",0,$K476*$T476)</f>
        <v/>
      </c>
    </row>
    <row r="477">
      <c r="A477" s="15" t="inlineStr">
        <is>
          <t>Nina</t>
        </is>
      </c>
      <c r="B477" s="29">
        <f>IF($A477="","",IFERROR(INDEX(Roster!$B$2:$B$40,MATCH($A477,Roster!$A$2:$A$40,0)),"?"))</f>
        <v/>
      </c>
      <c r="C477" s="15" t="inlineStr">
        <is>
          <t>Pivot_3</t>
        </is>
      </c>
      <c r="D477" s="29">
        <f>IF($C477="","",IFERROR(IF(INDEX(Deals!$C$2:$C$355,MATCH($C477,Deals!$A$2:$A$355,0))=0,"",INDEX(Deals!$C$2:$C$355,MATCH($C477,Deals!$A$2:$A$355,0))),"?"))</f>
        <v/>
      </c>
      <c r="E477" s="29">
        <f>IF($C477="","",IFERROR(INDEX(Deals!$F$2:$F$355,MATCH($C477,Deals!$A$2:$A$355,0)),"?"))</f>
        <v/>
      </c>
      <c r="F477" s="15" t="inlineStr">
        <is>
          <t>Senior Associate</t>
        </is>
      </c>
      <c r="G477" s="15" t="inlineStr">
        <is>
          <t>Active</t>
        </is>
      </c>
      <c r="H477" s="27" t="n"/>
      <c r="I477" s="20">
        <f>IF(OR($A477="",$G477&lt;&gt;"Active"),0,IF($H477&lt;&gt;"",$H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</f>
        <v/>
      </c>
      <c r="J477" s="23">
        <f>IF($C477="",0,IFERROR(INDEX(Deals!$H$2:$H$355,MATCH($C477,Deals!$A$2:$A$355,0)),0))</f>
        <v/>
      </c>
      <c r="K477" s="20">
        <f>IF(Settings!$B$4="Yes",$I477*$J477,$I477)</f>
        <v/>
      </c>
      <c r="L477" s="31">
        <f>IF($C477="","",IFERROR(IF(INDEX(Deals!$I$2:$I$355,MATCH($C477,Deals!$A$2:$A$355,0))=0,"",INDEX(Deals!$I$2:$I$355,MATCH($C477,Deals!$A$2:$A$355,0))),""))</f>
        <v/>
      </c>
      <c r="M477" s="31">
        <f>IF($C477="","",IFERROR(IF(INDEX(Deals!$J$2:$J$355,MATCH($C477,Deals!$A$2:$A$355,0))=0,"",INDEX(Deals!$J$2:$J$355,MATCH($C477,Deals!$A$2:$A$355,0))),""))</f>
        <v/>
      </c>
      <c r="N477" s="24">
        <f>IF($L477="",DATE(1900,1,1),$L477)</f>
        <v/>
      </c>
      <c r="O477" s="24">
        <f>IF($M477="",DATE(2100,12,31),$M477)</f>
        <v/>
      </c>
      <c r="P477" s="16" t="inlineStr"/>
      <c r="Q477" s="16" t="inlineStr"/>
      <c r="R477" s="29">
        <f>IF($C477="","",IFERROR(IF(INDEX(Deals!$U$2:$U$355,MATCH($C477,Deals!$A$2:$A$355,0))=0,"",INDEX(Deals!$U$2:$U$355,MATCH($C477,Deals!$A$2:$A$355,0))),""))</f>
        <v/>
      </c>
      <c r="S477" s="22">
        <f>IFERROR(IF($U477="",1,INDEX(Deals!$V$2:$V$355,MATCH($C477,Deals!$A$2:$A$355,0))),1)</f>
        <v/>
      </c>
      <c r="T477" s="22">
        <f>IFERROR(IF($U477="",1,INDEX(Deals!$W$2:$W$355,MATCH($C477,Deals!$A$2:$A$355,0))),1)</f>
        <v/>
      </c>
      <c r="U477" s="31">
        <f>IF($C477="","",IFERROR(IF(INDEX(Deals!$Y$2:$Y$355,MATCH($C477,Deals!$A$2:$A$355,0))=0,"",INDEX(Deals!$Y$2:$Y$355,MATCH($C477,Deals!$A$2:$A$355,0))),""))</f>
        <v/>
      </c>
      <c r="V477" s="24">
        <f>IF($U477="",DATE(1900,1,1),$N477)</f>
        <v/>
      </c>
      <c r="W477" s="24">
        <f>IF($U477="",DATE(2100,12,31),$U477)</f>
        <v/>
      </c>
      <c r="X477" s="20">
        <f>IF($U477="",$K477,$K477*$S477)</f>
        <v/>
      </c>
      <c r="Y477" s="24">
        <f>IF($U477="",DATE(2100,12,31),$U477+1)</f>
        <v/>
      </c>
      <c r="Z477" s="24">
        <f>IF($U477="",DATE(1900,1,1),$O477)</f>
        <v/>
      </c>
      <c r="AA477" s="20">
        <f>IF($U477="",0,$K477*$T477)</f>
        <v/>
      </c>
    </row>
    <row r="478">
      <c r="A478" s="15" t="inlineStr">
        <is>
          <t>Nina</t>
        </is>
      </c>
      <c r="B478" s="29">
        <f>IF($A478="","",IFERROR(INDEX(Roster!$B$2:$B$40,MATCH($A478,Roster!$A$2:$A$40,0)),"?"))</f>
        <v/>
      </c>
      <c r="C478" s="15" t="inlineStr">
        <is>
          <t>Prince_2</t>
        </is>
      </c>
      <c r="D478" s="29">
        <f>IF($C478="","",IFERROR(IF(INDEX(Deals!$C$2:$C$355,MATCH($C478,Deals!$A$2:$A$355,0))=0,"",INDEX(Deals!$C$2:$C$355,MATCH($C478,Deals!$A$2:$A$355,0))),"?"))</f>
        <v/>
      </c>
      <c r="E478" s="29">
        <f>IF($C478="","",IFERROR(INDEX(Deals!$F$2:$F$355,MATCH($C478,Deals!$A$2:$A$355,0)),"?"))</f>
        <v/>
      </c>
      <c r="F478" s="15" t="inlineStr">
        <is>
          <t>Senior Associate</t>
        </is>
      </c>
      <c r="G478" s="15" t="inlineStr">
        <is>
          <t>Active</t>
        </is>
      </c>
      <c r="H478" s="27" t="n"/>
      <c r="I478" s="20">
        <f>IF(OR($A478="",$G478&lt;&gt;"Active"),0,IF($H478&lt;&gt;"",$H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</f>
        <v/>
      </c>
      <c r="J478" s="23">
        <f>IF($C478="",0,IFERROR(INDEX(Deals!$H$2:$H$355,MATCH($C478,Deals!$A$2:$A$355,0)),0))</f>
        <v/>
      </c>
      <c r="K478" s="20">
        <f>IF(Settings!$B$4="Yes",$I478*$J478,$I478)</f>
        <v/>
      </c>
      <c r="L478" s="31">
        <f>IF($C478="","",IFERROR(IF(INDEX(Deals!$I$2:$I$355,MATCH($C478,Deals!$A$2:$A$355,0))=0,"",INDEX(Deals!$I$2:$I$355,MATCH($C478,Deals!$A$2:$A$355,0))),""))</f>
        <v/>
      </c>
      <c r="M478" s="31">
        <f>IF($C478="","",IFERROR(IF(INDEX(Deals!$J$2:$J$355,MATCH($C478,Deals!$A$2:$A$355,0))=0,"",INDEX(Deals!$J$2:$J$355,MATCH($C478,Deals!$A$2:$A$355,0))),""))</f>
        <v/>
      </c>
      <c r="N478" s="24">
        <f>IF($L478="",DATE(1900,1,1),$L478)</f>
        <v/>
      </c>
      <c r="O478" s="24">
        <f>IF($M478="",DATE(2100,12,31),$M478)</f>
        <v/>
      </c>
      <c r="P478" s="16" t="inlineStr"/>
      <c r="Q478" s="16" t="inlineStr"/>
      <c r="R478" s="29">
        <f>IF($C478="","",IFERROR(IF(INDEX(Deals!$U$2:$U$355,MATCH($C478,Deals!$A$2:$A$355,0))=0,"",INDEX(Deals!$U$2:$U$355,MATCH($C478,Deals!$A$2:$A$355,0))),""))</f>
        <v/>
      </c>
      <c r="S478" s="22">
        <f>IFERROR(IF($U478="",1,INDEX(Deals!$V$2:$V$355,MATCH($C478,Deals!$A$2:$A$355,0))),1)</f>
        <v/>
      </c>
      <c r="T478" s="22">
        <f>IFERROR(IF($U478="",1,INDEX(Deals!$W$2:$W$355,MATCH($C478,Deals!$A$2:$A$355,0))),1)</f>
        <v/>
      </c>
      <c r="U478" s="31">
        <f>IF($C478="","",IFERROR(IF(INDEX(Deals!$Y$2:$Y$355,MATCH($C478,Deals!$A$2:$A$355,0))=0,"",INDEX(Deals!$Y$2:$Y$355,MATCH($C478,Deals!$A$2:$A$355,0))),""))</f>
        <v/>
      </c>
      <c r="V478" s="24">
        <f>IF($U478="",DATE(1900,1,1),$N478)</f>
        <v/>
      </c>
      <c r="W478" s="24">
        <f>IF($U478="",DATE(2100,12,31),$U478)</f>
        <v/>
      </c>
      <c r="X478" s="20">
        <f>IF($U478="",$K478,$K478*$S478)</f>
        <v/>
      </c>
      <c r="Y478" s="24">
        <f>IF($U478="",DATE(2100,12,31),$U478+1)</f>
        <v/>
      </c>
      <c r="Z478" s="24">
        <f>IF($U478="",DATE(1900,1,1),$O478)</f>
        <v/>
      </c>
      <c r="AA478" s="20">
        <f>IF($U478="",0,$K478*$T478)</f>
        <v/>
      </c>
    </row>
    <row r="479">
      <c r="A479" s="15" t="inlineStr">
        <is>
          <t>Nina</t>
        </is>
      </c>
      <c r="B479" s="29">
        <f>IF($A479="","",IFERROR(INDEX(Roster!$B$2:$B$40,MATCH($A479,Roster!$A$2:$A$40,0)),"?"))</f>
        <v/>
      </c>
      <c r="C479" s="15" t="inlineStr">
        <is>
          <t>Redwood_1</t>
        </is>
      </c>
      <c r="D479" s="29">
        <f>IF($C479="","",IFERROR(IF(INDEX(Deals!$C$2:$C$355,MATCH($C479,Deals!$A$2:$A$355,0))=0,"",INDEX(Deals!$C$2:$C$355,MATCH($C479,Deals!$A$2:$A$355,0))),"?"))</f>
        <v/>
      </c>
      <c r="E479" s="29">
        <f>IF($C479="","",IFERROR(INDEX(Deals!$F$2:$F$355,MATCH($C479,Deals!$A$2:$A$355,0)),"?"))</f>
        <v/>
      </c>
      <c r="F479" s="15" t="inlineStr">
        <is>
          <t>Senior Associate</t>
        </is>
      </c>
      <c r="G479" s="15" t="inlineStr">
        <is>
          <t>Active</t>
        </is>
      </c>
      <c r="H479" s="27" t="n"/>
      <c r="I479" s="20">
        <f>IF(OR($A479="",$G479&lt;&gt;"Active"),0,IF($H479&lt;&gt;"",$H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</f>
        <v/>
      </c>
      <c r="J479" s="23">
        <f>IF($C479="",0,IFERROR(INDEX(Deals!$H$2:$H$355,MATCH($C479,Deals!$A$2:$A$355,0)),0))</f>
        <v/>
      </c>
      <c r="K479" s="20">
        <f>IF(Settings!$B$4="Yes",$I479*$J479,$I479)</f>
        <v/>
      </c>
      <c r="L479" s="31">
        <f>IF($C479="","",IFERROR(IF(INDEX(Deals!$I$2:$I$355,MATCH($C479,Deals!$A$2:$A$355,0))=0,"",INDEX(Deals!$I$2:$I$355,MATCH($C479,Deals!$A$2:$A$355,0))),""))</f>
        <v/>
      </c>
      <c r="M479" s="31">
        <f>IF($C479="","",IFERROR(IF(INDEX(Deals!$J$2:$J$355,MATCH($C479,Deals!$A$2:$A$355,0))=0,"",INDEX(Deals!$J$2:$J$355,MATCH($C479,Deals!$A$2:$A$355,0))),""))</f>
        <v/>
      </c>
      <c r="N479" s="24">
        <f>IF($L479="",DATE(1900,1,1),$L479)</f>
        <v/>
      </c>
      <c r="O479" s="24">
        <f>IF($M479="",DATE(2100,12,31),$M479)</f>
        <v/>
      </c>
      <c r="P479" s="16" t="inlineStr">
        <is>
          <t>Ongoing</t>
        </is>
      </c>
      <c r="Q479" s="16" t="inlineStr"/>
      <c r="R479" s="29">
        <f>IF($C479="","",IFERROR(IF(INDEX(Deals!$U$2:$U$355,MATCH($C479,Deals!$A$2:$A$355,0))=0,"",INDEX(Deals!$U$2:$U$355,MATCH($C479,Deals!$A$2:$A$355,0))),""))</f>
        <v/>
      </c>
      <c r="S479" s="22">
        <f>IFERROR(IF($U479="",1,INDEX(Deals!$V$2:$V$355,MATCH($C479,Deals!$A$2:$A$355,0))),1)</f>
        <v/>
      </c>
      <c r="T479" s="22">
        <f>IFERROR(IF($U479="",1,INDEX(Deals!$W$2:$W$355,MATCH($C479,Deals!$A$2:$A$355,0))),1)</f>
        <v/>
      </c>
      <c r="U479" s="31">
        <f>IF($C479="","",IFERROR(IF(INDEX(Deals!$Y$2:$Y$355,MATCH($C479,Deals!$A$2:$A$355,0))=0,"",INDEX(Deals!$Y$2:$Y$355,MATCH($C479,Deals!$A$2:$A$355,0))),""))</f>
        <v/>
      </c>
      <c r="V479" s="24">
        <f>IF($U479="",DATE(1900,1,1),$N479)</f>
        <v/>
      </c>
      <c r="W479" s="24">
        <f>IF($U479="",DATE(2100,12,31),$U479)</f>
        <v/>
      </c>
      <c r="X479" s="20">
        <f>IF($U479="",$K479,$K479*$S479)</f>
        <v/>
      </c>
      <c r="Y479" s="24">
        <f>IF($U479="",DATE(2100,12,31),$U479+1)</f>
        <v/>
      </c>
      <c r="Z479" s="24">
        <f>IF($U479="",DATE(1900,1,1),$O479)</f>
        <v/>
      </c>
      <c r="AA479" s="20">
        <f>IF($U479="",0,$K479*$T479)</f>
        <v/>
      </c>
    </row>
    <row r="480">
      <c r="A480" s="15" t="inlineStr">
        <is>
          <t>Nina</t>
        </is>
      </c>
      <c r="B480" s="29">
        <f>IF($A480="","",IFERROR(INDEX(Roster!$B$2:$B$40,MATCH($A480,Roster!$A$2:$A$40,0)),"?"))</f>
        <v/>
      </c>
      <c r="C480" s="15" t="inlineStr">
        <is>
          <t>Resenergize_1</t>
        </is>
      </c>
      <c r="D480" s="29">
        <f>IF($C480="","",IFERROR(IF(INDEX(Deals!$C$2:$C$355,MATCH($C480,Deals!$A$2:$A$355,0))=0,"",INDEX(Deals!$C$2:$C$355,MATCH($C480,Deals!$A$2:$A$355,0))),"?"))</f>
        <v/>
      </c>
      <c r="E480" s="29">
        <f>IF($C480="","",IFERROR(INDEX(Deals!$F$2:$F$355,MATCH($C480,Deals!$A$2:$A$355,0)),"?"))</f>
        <v/>
      </c>
      <c r="F480" s="15" t="inlineStr">
        <is>
          <t>Senior Associate</t>
        </is>
      </c>
      <c r="G480" s="15" t="inlineStr">
        <is>
          <t>Inactive</t>
        </is>
      </c>
      <c r="H480" s="27" t="n"/>
      <c r="I480" s="20">
        <f>IF(OR($A480="",$G480&lt;&gt;"Active"),0,IF($H480&lt;&gt;"",$H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</f>
        <v/>
      </c>
      <c r="J480" s="23">
        <f>IF($C480="",0,IFERROR(INDEX(Deals!$H$2:$H$355,MATCH($C480,Deals!$A$2:$A$355,0)),0))</f>
        <v/>
      </c>
      <c r="K480" s="20">
        <f>IF(Settings!$B$4="Yes",$I480*$J480,$I480)</f>
        <v/>
      </c>
      <c r="L480" s="31">
        <f>IF($C480="","",IFERROR(IF(INDEX(Deals!$I$2:$I$355,MATCH($C480,Deals!$A$2:$A$355,0))=0,"",INDEX(Deals!$I$2:$I$355,MATCH($C480,Deals!$A$2:$A$355,0))),""))</f>
        <v/>
      </c>
      <c r="M480" s="31">
        <f>IF($C480="","",IFERROR(IF(INDEX(Deals!$J$2:$J$355,MATCH($C480,Deals!$A$2:$A$355,0))=0,"",INDEX(Deals!$J$2:$J$355,MATCH($C480,Deals!$A$2:$A$355,0))),""))</f>
        <v/>
      </c>
      <c r="N480" s="24">
        <f>IF($L480="",DATE(1900,1,1),$L480)</f>
        <v/>
      </c>
      <c r="O480" s="24">
        <f>IF($M480="",DATE(2100,12,31),$M480)</f>
        <v/>
      </c>
      <c r="P480" s="16" t="inlineStr">
        <is>
          <t>Not involved in ongoing work</t>
        </is>
      </c>
      <c r="Q480" s="16" t="inlineStr"/>
      <c r="R480" s="29">
        <f>IF($C480="","",IFERROR(IF(INDEX(Deals!$U$2:$U$355,MATCH($C480,Deals!$A$2:$A$355,0))=0,"",INDEX(Deals!$U$2:$U$355,MATCH($C480,Deals!$A$2:$A$355,0))),""))</f>
        <v/>
      </c>
      <c r="S480" s="22">
        <f>IFERROR(IF($U480="",1,INDEX(Deals!$V$2:$V$355,MATCH($C480,Deals!$A$2:$A$355,0))),1)</f>
        <v/>
      </c>
      <c r="T480" s="22">
        <f>IFERROR(IF($U480="",1,INDEX(Deals!$W$2:$W$355,MATCH($C480,Deals!$A$2:$A$355,0))),1)</f>
        <v/>
      </c>
      <c r="U480" s="31">
        <f>IF($C480="","",IFERROR(IF(INDEX(Deals!$Y$2:$Y$355,MATCH($C480,Deals!$A$2:$A$355,0))=0,"",INDEX(Deals!$Y$2:$Y$355,MATCH($C480,Deals!$A$2:$A$355,0))),""))</f>
        <v/>
      </c>
      <c r="V480" s="24">
        <f>IF($U480="",DATE(1900,1,1),$N480)</f>
        <v/>
      </c>
      <c r="W480" s="24">
        <f>IF($U480="",DATE(2100,12,31),$U480)</f>
        <v/>
      </c>
      <c r="X480" s="20">
        <f>IF($U480="",$K480,$K480*$S480)</f>
        <v/>
      </c>
      <c r="Y480" s="24">
        <f>IF($U480="",DATE(2100,12,31),$U480+1)</f>
        <v/>
      </c>
      <c r="Z480" s="24">
        <f>IF($U480="",DATE(1900,1,1),$O480)</f>
        <v/>
      </c>
      <c r="AA480" s="20">
        <f>IF($U480="",0,$K480*$T480)</f>
        <v/>
      </c>
    </row>
    <row r="481">
      <c r="A481" s="15" t="inlineStr">
        <is>
          <t>Nina</t>
        </is>
      </c>
      <c r="B481" s="29">
        <f>IF($A481="","",IFERROR(INDEX(Roster!$B$2:$B$40,MATCH($A481,Roster!$A$2:$A$40,0)),"?"))</f>
        <v/>
      </c>
      <c r="C481" s="15" t="inlineStr">
        <is>
          <t>Rover_3</t>
        </is>
      </c>
      <c r="D481" s="29">
        <f>IF($C481="","",IFERROR(IF(INDEX(Deals!$C$2:$C$355,MATCH($C481,Deals!$A$2:$A$355,0))=0,"",INDEX(Deals!$C$2:$C$355,MATCH($C481,Deals!$A$2:$A$355,0))),"?"))</f>
        <v/>
      </c>
      <c r="E481" s="29">
        <f>IF($C481="","",IFERROR(INDEX(Deals!$F$2:$F$355,MATCH($C481,Deals!$A$2:$A$355,0)),"?"))</f>
        <v/>
      </c>
      <c r="F481" s="15" t="inlineStr">
        <is>
          <t>Senior Associate</t>
        </is>
      </c>
      <c r="G481" s="15" t="inlineStr">
        <is>
          <t>Active</t>
        </is>
      </c>
      <c r="H481" s="27" t="n"/>
      <c r="I481" s="20">
        <f>IF(OR($A481="",$G481&lt;&gt;"Active"),0,IF($H481&lt;&gt;"",$H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</f>
        <v/>
      </c>
      <c r="J481" s="23">
        <f>IF($C481="",0,IFERROR(INDEX(Deals!$H$2:$H$355,MATCH($C481,Deals!$A$2:$A$355,0)),0))</f>
        <v/>
      </c>
      <c r="K481" s="20">
        <f>IF(Settings!$B$4="Yes",$I481*$J481,$I481)</f>
        <v/>
      </c>
      <c r="L481" s="31">
        <f>IF($C481="","",IFERROR(IF(INDEX(Deals!$I$2:$I$355,MATCH($C481,Deals!$A$2:$A$355,0))=0,"",INDEX(Deals!$I$2:$I$355,MATCH($C481,Deals!$A$2:$A$355,0))),""))</f>
        <v/>
      </c>
      <c r="M481" s="31">
        <f>IF($C481="","",IFERROR(IF(INDEX(Deals!$J$2:$J$355,MATCH($C481,Deals!$A$2:$A$355,0))=0,"",INDEX(Deals!$J$2:$J$355,MATCH($C481,Deals!$A$2:$A$355,0))),""))</f>
        <v/>
      </c>
      <c r="N481" s="24">
        <f>IF($L481="",DATE(1900,1,1),$L481)</f>
        <v/>
      </c>
      <c r="O481" s="24">
        <f>IF($M481="",DATE(2100,12,31),$M481)</f>
        <v/>
      </c>
      <c r="P481" s="16" t="inlineStr">
        <is>
          <t>Ongoing</t>
        </is>
      </c>
      <c r="Q481" s="16" t="inlineStr"/>
      <c r="R481" s="29">
        <f>IF($C481="","",IFERROR(IF(INDEX(Deals!$U$2:$U$355,MATCH($C481,Deals!$A$2:$A$355,0))=0,"",INDEX(Deals!$U$2:$U$355,MATCH($C481,Deals!$A$2:$A$355,0))),""))</f>
        <v/>
      </c>
      <c r="S481" s="22">
        <f>IFERROR(IF($U481="",1,INDEX(Deals!$V$2:$V$355,MATCH($C481,Deals!$A$2:$A$355,0))),1)</f>
        <v/>
      </c>
      <c r="T481" s="22">
        <f>IFERROR(IF($U481="",1,INDEX(Deals!$W$2:$W$355,MATCH($C481,Deals!$A$2:$A$355,0))),1)</f>
        <v/>
      </c>
      <c r="U481" s="31">
        <f>IF($C481="","",IFERROR(IF(INDEX(Deals!$Y$2:$Y$355,MATCH($C481,Deals!$A$2:$A$355,0))=0,"",INDEX(Deals!$Y$2:$Y$355,MATCH($C481,Deals!$A$2:$A$355,0))),""))</f>
        <v/>
      </c>
      <c r="V481" s="24">
        <f>IF($U481="",DATE(1900,1,1),$N481)</f>
        <v/>
      </c>
      <c r="W481" s="24">
        <f>IF($U481="",DATE(2100,12,31),$U481)</f>
        <v/>
      </c>
      <c r="X481" s="20">
        <f>IF($U481="",$K481,$K481*$S481)</f>
        <v/>
      </c>
      <c r="Y481" s="24">
        <f>IF($U481="",DATE(2100,12,31),$U481+1)</f>
        <v/>
      </c>
      <c r="Z481" s="24">
        <f>IF($U481="",DATE(1900,1,1),$O481)</f>
        <v/>
      </c>
      <c r="AA481" s="20">
        <f>IF($U481="",0,$K481*$T481)</f>
        <v/>
      </c>
    </row>
    <row r="482">
      <c r="A482" s="15" t="inlineStr">
        <is>
          <t>Nina</t>
        </is>
      </c>
      <c r="B482" s="29">
        <f>IF($A482="","",IFERROR(INDEX(Roster!$B$2:$B$40,MATCH($A482,Roster!$A$2:$A$40,0)),"?"))</f>
        <v/>
      </c>
      <c r="C482" s="15" t="inlineStr">
        <is>
          <t>Sentinel_2</t>
        </is>
      </c>
      <c r="D482" s="29">
        <f>IF($C482="","",IFERROR(IF(INDEX(Deals!$C$2:$C$355,MATCH($C482,Deals!$A$2:$A$355,0))=0,"",INDEX(Deals!$C$2:$C$355,MATCH($C482,Deals!$A$2:$A$355,0))),"?"))</f>
        <v/>
      </c>
      <c r="E482" s="29">
        <f>IF($C482="","",IFERROR(INDEX(Deals!$F$2:$F$355,MATCH($C482,Deals!$A$2:$A$355,0)),"?"))</f>
        <v/>
      </c>
      <c r="F482" s="15" t="inlineStr">
        <is>
          <t>Senior Associate</t>
        </is>
      </c>
      <c r="G482" s="15" t="inlineStr">
        <is>
          <t>Active</t>
        </is>
      </c>
      <c r="H482" s="27" t="n"/>
      <c r="I482" s="20">
        <f>IF(OR($A482="",$G482&lt;&gt;"Active"),0,IF($H482&lt;&gt;"",$H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</f>
        <v/>
      </c>
      <c r="J482" s="23">
        <f>IF($C482="",0,IFERROR(INDEX(Deals!$H$2:$H$355,MATCH($C482,Deals!$A$2:$A$355,0)),0))</f>
        <v/>
      </c>
      <c r="K482" s="20">
        <f>IF(Settings!$B$4="Yes",$I482*$J482,$I482)</f>
        <v/>
      </c>
      <c r="L482" s="31">
        <f>IF($C482="","",IFERROR(IF(INDEX(Deals!$I$2:$I$355,MATCH($C482,Deals!$A$2:$A$355,0))=0,"",INDEX(Deals!$I$2:$I$355,MATCH($C482,Deals!$A$2:$A$355,0))),""))</f>
        <v/>
      </c>
      <c r="M482" s="31">
        <f>IF($C482="","",IFERROR(IF(INDEX(Deals!$J$2:$J$355,MATCH($C482,Deals!$A$2:$A$355,0))=0,"",INDEX(Deals!$J$2:$J$355,MATCH($C482,Deals!$A$2:$A$355,0))),""))</f>
        <v/>
      </c>
      <c r="N482" s="24">
        <f>IF($L482="",DATE(1900,1,1),$L482)</f>
        <v/>
      </c>
      <c r="O482" s="24">
        <f>IF($M482="",DATE(2100,12,31),$M482)</f>
        <v/>
      </c>
      <c r="P482" s="16" t="inlineStr"/>
      <c r="Q482" s="16" t="inlineStr"/>
      <c r="R482" s="29">
        <f>IF($C482="","",IFERROR(IF(INDEX(Deals!$U$2:$U$355,MATCH($C482,Deals!$A$2:$A$355,0))=0,"",INDEX(Deals!$U$2:$U$355,MATCH($C482,Deals!$A$2:$A$355,0))),""))</f>
        <v/>
      </c>
      <c r="S482" s="22">
        <f>IFERROR(IF($U482="",1,INDEX(Deals!$V$2:$V$355,MATCH($C482,Deals!$A$2:$A$355,0))),1)</f>
        <v/>
      </c>
      <c r="T482" s="22">
        <f>IFERROR(IF($U482="",1,INDEX(Deals!$W$2:$W$355,MATCH($C482,Deals!$A$2:$A$355,0))),1)</f>
        <v/>
      </c>
      <c r="U482" s="31">
        <f>IF($C482="","",IFERROR(IF(INDEX(Deals!$Y$2:$Y$355,MATCH($C482,Deals!$A$2:$A$355,0))=0,"",INDEX(Deals!$Y$2:$Y$355,MATCH($C482,Deals!$A$2:$A$355,0))),""))</f>
        <v/>
      </c>
      <c r="V482" s="24">
        <f>IF($U482="",DATE(1900,1,1),$N482)</f>
        <v/>
      </c>
      <c r="W482" s="24">
        <f>IF($U482="",DATE(2100,12,31),$U482)</f>
        <v/>
      </c>
      <c r="X482" s="20">
        <f>IF($U482="",$K482,$K482*$S482)</f>
        <v/>
      </c>
      <c r="Y482" s="24">
        <f>IF($U482="",DATE(2100,12,31),$U482+1)</f>
        <v/>
      </c>
      <c r="Z482" s="24">
        <f>IF($U482="",DATE(1900,1,1),$O482)</f>
        <v/>
      </c>
      <c r="AA482" s="20">
        <f>IF($U482="",0,$K482*$T482)</f>
        <v/>
      </c>
    </row>
    <row r="483">
      <c r="A483" s="15" t="inlineStr">
        <is>
          <t>Nina</t>
        </is>
      </c>
      <c r="B483" s="29">
        <f>IF($A483="","",IFERROR(INDEX(Roster!$B$2:$B$40,MATCH($A483,Roster!$A$2:$A$40,0)),"?"))</f>
        <v/>
      </c>
      <c r="C483" s="15" t="inlineStr">
        <is>
          <t>shareplan</t>
        </is>
      </c>
      <c r="D483" s="29">
        <f>IF($C483="","",IFERROR(IF(INDEX(Deals!$C$2:$C$355,MATCH($C483,Deals!$A$2:$A$355,0))=0,"",INDEX(Deals!$C$2:$C$355,MATCH($C483,Deals!$A$2:$A$355,0))),"?"))</f>
        <v/>
      </c>
      <c r="E483" s="29">
        <f>IF($C483="","",IFERROR(INDEX(Deals!$F$2:$F$355,MATCH($C483,Deals!$A$2:$A$355,0)),"?"))</f>
        <v/>
      </c>
      <c r="F483" s="15" t="inlineStr">
        <is>
          <t>Senior Associate</t>
        </is>
      </c>
      <c r="G483" s="15" t="inlineStr">
        <is>
          <t>Active</t>
        </is>
      </c>
      <c r="H483" s="27" t="n"/>
      <c r="I483" s="20">
        <f>IF(OR($A483="",$G483&lt;&gt;"Active"),0,IF($H483&lt;&gt;"",$H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</f>
        <v/>
      </c>
      <c r="J483" s="23">
        <f>IF($C483="",0,IFERROR(INDEX(Deals!$H$2:$H$355,MATCH($C483,Deals!$A$2:$A$355,0)),0))</f>
        <v/>
      </c>
      <c r="K483" s="20">
        <f>IF(Settings!$B$4="Yes",$I483*$J483,$I483)</f>
        <v/>
      </c>
      <c r="L483" s="31">
        <f>IF($C483="","",IFERROR(IF(INDEX(Deals!$I$2:$I$355,MATCH($C483,Deals!$A$2:$A$355,0))=0,"",INDEX(Deals!$I$2:$I$355,MATCH($C483,Deals!$A$2:$A$355,0))),""))</f>
        <v/>
      </c>
      <c r="M483" s="31">
        <f>IF($C483="","",IFERROR(IF(INDEX(Deals!$J$2:$J$355,MATCH($C483,Deals!$A$2:$A$355,0))=0,"",INDEX(Deals!$J$2:$J$355,MATCH($C483,Deals!$A$2:$A$355,0))),""))</f>
        <v/>
      </c>
      <c r="N483" s="24">
        <f>IF($L483="",DATE(1900,1,1),$L483)</f>
        <v/>
      </c>
      <c r="O483" s="24">
        <f>IF($M483="",DATE(2100,12,31),$M483)</f>
        <v/>
      </c>
      <c r="P483" s="16" t="inlineStr">
        <is>
          <t>Proposal sent</t>
        </is>
      </c>
      <c r="Q483" s="16" t="inlineStr">
        <is>
          <t>Added from Summary tab</t>
        </is>
      </c>
      <c r="R483" s="29">
        <f>IF($C483="","",IFERROR(IF(INDEX(Deals!$U$2:$U$355,MATCH($C483,Deals!$A$2:$A$355,0))=0,"",INDEX(Deals!$U$2:$U$355,MATCH($C483,Deals!$A$2:$A$355,0))),""))</f>
        <v/>
      </c>
      <c r="S483" s="22">
        <f>IFERROR(IF($U483="",1,INDEX(Deals!$V$2:$V$355,MATCH($C483,Deals!$A$2:$A$355,0))),1)</f>
        <v/>
      </c>
      <c r="T483" s="22">
        <f>IFERROR(IF($U483="",1,INDEX(Deals!$W$2:$W$355,MATCH($C483,Deals!$A$2:$A$355,0))),1)</f>
        <v/>
      </c>
      <c r="U483" s="31">
        <f>IF($C483="","",IFERROR(IF(INDEX(Deals!$Y$2:$Y$355,MATCH($C483,Deals!$A$2:$A$355,0))=0,"",INDEX(Deals!$Y$2:$Y$355,MATCH($C483,Deals!$A$2:$A$355,0))),""))</f>
        <v/>
      </c>
      <c r="V483" s="24">
        <f>IF($U483="",DATE(1900,1,1),$N483)</f>
        <v/>
      </c>
      <c r="W483" s="24">
        <f>IF($U483="",DATE(2100,12,31),$U483)</f>
        <v/>
      </c>
      <c r="X483" s="20">
        <f>IF($U483="",$K483,$K483*$S483)</f>
        <v/>
      </c>
      <c r="Y483" s="24">
        <f>IF($U483="",DATE(2100,12,31),$U483+1)</f>
        <v/>
      </c>
      <c r="Z483" s="24">
        <f>IF($U483="",DATE(1900,1,1),$O483)</f>
        <v/>
      </c>
      <c r="AA483" s="20">
        <f>IF($U483="",0,$K483*$T483)</f>
        <v/>
      </c>
    </row>
    <row r="484">
      <c r="A484" s="15" t="inlineStr">
        <is>
          <t>Nina</t>
        </is>
      </c>
      <c r="B484" s="29">
        <f>IF($A484="","",IFERROR(INDEX(Roster!$B$2:$B$40,MATCH($A484,Roster!$A$2:$A$40,0)),"?"))</f>
        <v/>
      </c>
      <c r="C484" s="15" t="inlineStr">
        <is>
          <t>Sierra_3</t>
        </is>
      </c>
      <c r="D484" s="29">
        <f>IF($C484="","",IFERROR(IF(INDEX(Deals!$C$2:$C$355,MATCH($C484,Deals!$A$2:$A$355,0))=0,"",INDEX(Deals!$C$2:$C$355,MATCH($C484,Deals!$A$2:$A$355,0))),"?"))</f>
        <v/>
      </c>
      <c r="E484" s="29">
        <f>IF($C484="","",IFERROR(INDEX(Deals!$F$2:$F$355,MATCH($C484,Deals!$A$2:$A$355,0)),"?"))</f>
        <v/>
      </c>
      <c r="F484" s="15" t="inlineStr">
        <is>
          <t>Senior Associate</t>
        </is>
      </c>
      <c r="G484" s="15" t="inlineStr">
        <is>
          <t>Inactive</t>
        </is>
      </c>
      <c r="H484" s="27" t="n"/>
      <c r="I484" s="20">
        <f>IF(OR($A484="",$G484&lt;&gt;"Active"),0,IF($H484&lt;&gt;"",$H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</f>
        <v/>
      </c>
      <c r="J484" s="23">
        <f>IF($C484="",0,IFERROR(INDEX(Deals!$H$2:$H$355,MATCH($C484,Deals!$A$2:$A$355,0)),0))</f>
        <v/>
      </c>
      <c r="K484" s="20">
        <f>IF(Settings!$B$4="Yes",$I484*$J484,$I484)</f>
        <v/>
      </c>
      <c r="L484" s="31">
        <f>IF($C484="","",IFERROR(IF(INDEX(Deals!$I$2:$I$355,MATCH($C484,Deals!$A$2:$A$355,0))=0,"",INDEX(Deals!$I$2:$I$355,MATCH($C484,Deals!$A$2:$A$355,0))),""))</f>
        <v/>
      </c>
      <c r="M484" s="31">
        <f>IF($C484="","",IFERROR(IF(INDEX(Deals!$J$2:$J$355,MATCH($C484,Deals!$A$2:$A$355,0))=0,"",INDEX(Deals!$J$2:$J$355,MATCH($C484,Deals!$A$2:$A$355,0))),""))</f>
        <v/>
      </c>
      <c r="N484" s="24">
        <f>IF($L484="",DATE(1900,1,1),$L484)</f>
        <v/>
      </c>
      <c r="O484" s="24">
        <f>IF($M484="",DATE(2100,12,31),$M484)</f>
        <v/>
      </c>
      <c r="P484" s="16" t="inlineStr">
        <is>
          <t>Not involved in ongoing work</t>
        </is>
      </c>
      <c r="Q484" s="16" t="inlineStr"/>
      <c r="R484" s="29">
        <f>IF($C484="","",IFERROR(IF(INDEX(Deals!$U$2:$U$355,MATCH($C484,Deals!$A$2:$A$355,0))=0,"",INDEX(Deals!$U$2:$U$355,MATCH($C484,Deals!$A$2:$A$355,0))),""))</f>
        <v/>
      </c>
      <c r="S484" s="22">
        <f>IFERROR(IF($U484="",1,INDEX(Deals!$V$2:$V$355,MATCH($C484,Deals!$A$2:$A$355,0))),1)</f>
        <v/>
      </c>
      <c r="T484" s="22">
        <f>IFERROR(IF($U484="",1,INDEX(Deals!$W$2:$W$355,MATCH($C484,Deals!$A$2:$A$355,0))),1)</f>
        <v/>
      </c>
      <c r="U484" s="31">
        <f>IF($C484="","",IFERROR(IF(INDEX(Deals!$Y$2:$Y$355,MATCH($C484,Deals!$A$2:$A$355,0))=0,"",INDEX(Deals!$Y$2:$Y$355,MATCH($C484,Deals!$A$2:$A$355,0))),""))</f>
        <v/>
      </c>
      <c r="V484" s="24">
        <f>IF($U484="",DATE(1900,1,1),$N484)</f>
        <v/>
      </c>
      <c r="W484" s="24">
        <f>IF($U484="",DATE(2100,12,31),$U484)</f>
        <v/>
      </c>
      <c r="X484" s="20">
        <f>IF($U484="",$K484,$K484*$S484)</f>
        <v/>
      </c>
      <c r="Y484" s="24">
        <f>IF($U484="",DATE(2100,12,31),$U484+1)</f>
        <v/>
      </c>
      <c r="Z484" s="24">
        <f>IF($U484="",DATE(1900,1,1),$O484)</f>
        <v/>
      </c>
      <c r="AA484" s="20">
        <f>IF($U484="",0,$K484*$T484)</f>
        <v/>
      </c>
    </row>
    <row r="485">
      <c r="A485" s="15" t="inlineStr">
        <is>
          <t>Nina</t>
        </is>
      </c>
      <c r="B485" s="29">
        <f>IF($A485="","",IFERROR(INDEX(Roster!$B$2:$B$40,MATCH($A485,Roster!$A$2:$A$40,0)),"?"))</f>
        <v/>
      </c>
      <c r="C485" s="15" t="inlineStr">
        <is>
          <t>Staffing_1</t>
        </is>
      </c>
      <c r="D485" s="29">
        <f>IF($C485="","",IFERROR(IF(INDEX(Deals!$C$2:$C$355,MATCH($C485,Deals!$A$2:$A$355,0))=0,"",INDEX(Deals!$C$2:$C$355,MATCH($C485,Deals!$A$2:$A$355,0))),"?"))</f>
        <v/>
      </c>
      <c r="E485" s="29">
        <f>IF($C485="","",IFERROR(INDEX(Deals!$F$2:$F$355,MATCH($C485,Deals!$A$2:$A$355,0)),"?"))</f>
        <v/>
      </c>
      <c r="F485" s="15" t="inlineStr">
        <is>
          <t>Senior Associate</t>
        </is>
      </c>
      <c r="G485" s="15" t="inlineStr">
        <is>
          <t>Active</t>
        </is>
      </c>
      <c r="H485" s="27" t="n"/>
      <c r="I485" s="20">
        <f>IF(OR($A485="",$G485&lt;&gt;"Active"),0,IF($H485&lt;&gt;"",$H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</f>
        <v/>
      </c>
      <c r="J485" s="23">
        <f>IF($C485="",0,IFERROR(INDEX(Deals!$H$2:$H$355,MATCH($C485,Deals!$A$2:$A$355,0)),0))</f>
        <v/>
      </c>
      <c r="K485" s="20">
        <f>IF(Settings!$B$4="Yes",$I485*$J485,$I485)</f>
        <v/>
      </c>
      <c r="L485" s="31">
        <f>IF($C485="","",IFERROR(IF(INDEX(Deals!$I$2:$I$355,MATCH($C485,Deals!$A$2:$A$355,0))=0,"",INDEX(Deals!$I$2:$I$355,MATCH($C485,Deals!$A$2:$A$355,0))),""))</f>
        <v/>
      </c>
      <c r="M485" s="31">
        <f>IF($C485="","",IFERROR(IF(INDEX(Deals!$J$2:$J$355,MATCH($C485,Deals!$A$2:$A$355,0))=0,"",INDEX(Deals!$J$2:$J$355,MATCH($C485,Deals!$A$2:$A$355,0))),""))</f>
        <v/>
      </c>
      <c r="N485" s="24">
        <f>IF($L485="",DATE(1900,1,1),$L485)</f>
        <v/>
      </c>
      <c r="O485" s="24">
        <f>IF($M485="",DATE(2100,12,31),$M485)</f>
        <v/>
      </c>
      <c r="P485" s="16" t="inlineStr"/>
      <c r="Q485" s="16" t="inlineStr"/>
      <c r="R485" s="29">
        <f>IF($C485="","",IFERROR(IF(INDEX(Deals!$U$2:$U$355,MATCH($C485,Deals!$A$2:$A$355,0))=0,"",INDEX(Deals!$U$2:$U$355,MATCH($C485,Deals!$A$2:$A$355,0))),""))</f>
        <v/>
      </c>
      <c r="S485" s="22">
        <f>IFERROR(IF($U485="",1,INDEX(Deals!$V$2:$V$355,MATCH($C485,Deals!$A$2:$A$355,0))),1)</f>
        <v/>
      </c>
      <c r="T485" s="22">
        <f>IFERROR(IF($U485="",1,INDEX(Deals!$W$2:$W$355,MATCH($C485,Deals!$A$2:$A$355,0))),1)</f>
        <v/>
      </c>
      <c r="U485" s="31">
        <f>IF($C485="","",IFERROR(IF(INDEX(Deals!$Y$2:$Y$355,MATCH($C485,Deals!$A$2:$A$355,0))=0,"",INDEX(Deals!$Y$2:$Y$355,MATCH($C485,Deals!$A$2:$A$355,0))),""))</f>
        <v/>
      </c>
      <c r="V485" s="24">
        <f>IF($U485="",DATE(1900,1,1),$N485)</f>
        <v/>
      </c>
      <c r="W485" s="24">
        <f>IF($U485="",DATE(2100,12,31),$U485)</f>
        <v/>
      </c>
      <c r="X485" s="20">
        <f>IF($U485="",$K485,$K485*$S485)</f>
        <v/>
      </c>
      <c r="Y485" s="24">
        <f>IF($U485="",DATE(2100,12,31),$U485+1)</f>
        <v/>
      </c>
      <c r="Z485" s="24">
        <f>IF($U485="",DATE(1900,1,1),$O485)</f>
        <v/>
      </c>
      <c r="AA485" s="20">
        <f>IF($U485="",0,$K485*$T485)</f>
        <v/>
      </c>
    </row>
    <row r="486">
      <c r="A486" s="15" t="inlineStr">
        <is>
          <t>Nina</t>
        </is>
      </c>
      <c r="B486" s="29">
        <f>IF($A486="","",IFERROR(INDEX(Roster!$B$2:$B$40,MATCH($A486,Roster!$A$2:$A$40,0)),"?"))</f>
        <v/>
      </c>
      <c r="C486" s="15" t="inlineStr">
        <is>
          <t>Sun Pond_1</t>
        </is>
      </c>
      <c r="D486" s="29">
        <f>IF($C486="","",IFERROR(IF(INDEX(Deals!$C$2:$C$355,MATCH($C486,Deals!$A$2:$A$355,0))=0,"",INDEX(Deals!$C$2:$C$355,MATCH($C486,Deals!$A$2:$A$355,0))),"?"))</f>
        <v/>
      </c>
      <c r="E486" s="29">
        <f>IF($C486="","",IFERROR(INDEX(Deals!$F$2:$F$355,MATCH($C486,Deals!$A$2:$A$355,0)),"?"))</f>
        <v/>
      </c>
      <c r="F486" s="15" t="inlineStr">
        <is>
          <t>Senior Associate</t>
        </is>
      </c>
      <c r="G486" s="15" t="inlineStr">
        <is>
          <t>Active</t>
        </is>
      </c>
      <c r="H486" s="27" t="n"/>
      <c r="I486" s="20">
        <f>IF(OR($A486="",$G486&lt;&gt;"Active"),0,IF($H486&lt;&gt;"",$H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</f>
        <v/>
      </c>
      <c r="J486" s="23">
        <f>IF($C486="",0,IFERROR(INDEX(Deals!$H$2:$H$355,MATCH($C486,Deals!$A$2:$A$355,0)),0))</f>
        <v/>
      </c>
      <c r="K486" s="20">
        <f>IF(Settings!$B$4="Yes",$I486*$J486,$I486)</f>
        <v/>
      </c>
      <c r="L486" s="31">
        <f>IF($C486="","",IFERROR(IF(INDEX(Deals!$I$2:$I$355,MATCH($C486,Deals!$A$2:$A$355,0))=0,"",INDEX(Deals!$I$2:$I$355,MATCH($C486,Deals!$A$2:$A$355,0))),""))</f>
        <v/>
      </c>
      <c r="M486" s="31">
        <f>IF($C486="","",IFERROR(IF(INDEX(Deals!$J$2:$J$355,MATCH($C486,Deals!$A$2:$A$355,0))=0,"",INDEX(Deals!$J$2:$J$355,MATCH($C486,Deals!$A$2:$A$355,0))),""))</f>
        <v/>
      </c>
      <c r="N486" s="24">
        <f>IF($L486="",DATE(1900,1,1),$L486)</f>
        <v/>
      </c>
      <c r="O486" s="24">
        <f>IF($M486="",DATE(2100,12,31),$M486)</f>
        <v/>
      </c>
      <c r="P486" s="16" t="inlineStr"/>
      <c r="Q486" s="16" t="inlineStr"/>
      <c r="R486" s="29">
        <f>IF($C486="","",IFERROR(IF(INDEX(Deals!$U$2:$U$355,MATCH($C486,Deals!$A$2:$A$355,0))=0,"",INDEX(Deals!$U$2:$U$355,MATCH($C486,Deals!$A$2:$A$355,0))),""))</f>
        <v/>
      </c>
      <c r="S486" s="22">
        <f>IFERROR(IF($U486="",1,INDEX(Deals!$V$2:$V$355,MATCH($C486,Deals!$A$2:$A$355,0))),1)</f>
        <v/>
      </c>
      <c r="T486" s="22">
        <f>IFERROR(IF($U486="",1,INDEX(Deals!$W$2:$W$355,MATCH($C486,Deals!$A$2:$A$355,0))),1)</f>
        <v/>
      </c>
      <c r="U486" s="31">
        <f>IF($C486="","",IFERROR(IF(INDEX(Deals!$Y$2:$Y$355,MATCH($C486,Deals!$A$2:$A$355,0))=0,"",INDEX(Deals!$Y$2:$Y$355,MATCH($C486,Deals!$A$2:$A$355,0))),""))</f>
        <v/>
      </c>
      <c r="V486" s="24">
        <f>IF($U486="",DATE(1900,1,1),$N486)</f>
        <v/>
      </c>
      <c r="W486" s="24">
        <f>IF($U486="",DATE(2100,12,31),$U486)</f>
        <v/>
      </c>
      <c r="X486" s="20">
        <f>IF($U486="",$K486,$K486*$S486)</f>
        <v/>
      </c>
      <c r="Y486" s="24">
        <f>IF($U486="",DATE(2100,12,31),$U486+1)</f>
        <v/>
      </c>
      <c r="Z486" s="24">
        <f>IF($U486="",DATE(1900,1,1),$O486)</f>
        <v/>
      </c>
      <c r="AA486" s="20">
        <f>IF($U486="",0,$K486*$T486)</f>
        <v/>
      </c>
    </row>
    <row r="487">
      <c r="A487" s="15" t="inlineStr">
        <is>
          <t>Nina</t>
        </is>
      </c>
      <c r="B487" s="29">
        <f>IF($A487="","",IFERROR(INDEX(Roster!$B$2:$B$40,MATCH($A487,Roster!$A$2:$A$40,0)),"?"))</f>
        <v/>
      </c>
      <c r="C487" s="15" t="inlineStr">
        <is>
          <t>Sunnova - TEP 8-H_1</t>
        </is>
      </c>
      <c r="D487" s="29">
        <f>IF($C487="","",IFERROR(IF(INDEX(Deals!$C$2:$C$355,MATCH($C487,Deals!$A$2:$A$355,0))=0,"",INDEX(Deals!$C$2:$C$355,MATCH($C487,Deals!$A$2:$A$355,0))),"?"))</f>
        <v/>
      </c>
      <c r="E487" s="29">
        <f>IF($C487="","",IFERROR(INDEX(Deals!$F$2:$F$355,MATCH($C487,Deals!$A$2:$A$355,0)),"?"))</f>
        <v/>
      </c>
      <c r="F487" s="15" t="inlineStr">
        <is>
          <t>Senior Associate</t>
        </is>
      </c>
      <c r="G487" s="15" t="inlineStr">
        <is>
          <t>Active</t>
        </is>
      </c>
      <c r="H487" s="27" t="n"/>
      <c r="I487" s="20">
        <f>IF(OR($A487="",$G487&lt;&gt;"Active"),0,IF($H487&lt;&gt;"",$H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</f>
        <v/>
      </c>
      <c r="J487" s="23">
        <f>IF($C487="",0,IFERROR(INDEX(Deals!$H$2:$H$355,MATCH($C487,Deals!$A$2:$A$355,0)),0))</f>
        <v/>
      </c>
      <c r="K487" s="20">
        <f>IF(Settings!$B$4="Yes",$I487*$J487,$I487)</f>
        <v/>
      </c>
      <c r="L487" s="31">
        <f>IF($C487="","",IFERROR(IF(INDEX(Deals!$I$2:$I$355,MATCH($C487,Deals!$A$2:$A$355,0))=0,"",INDEX(Deals!$I$2:$I$355,MATCH($C487,Deals!$A$2:$A$355,0))),""))</f>
        <v/>
      </c>
      <c r="M487" s="31">
        <f>IF($C487="","",IFERROR(IF(INDEX(Deals!$J$2:$J$355,MATCH($C487,Deals!$A$2:$A$355,0))=0,"",INDEX(Deals!$J$2:$J$355,MATCH($C487,Deals!$A$2:$A$355,0))),""))</f>
        <v/>
      </c>
      <c r="N487" s="24">
        <f>IF($L487="",DATE(1900,1,1),$L487)</f>
        <v/>
      </c>
      <c r="O487" s="24">
        <f>IF($M487="",DATE(2100,12,31),$M487)</f>
        <v/>
      </c>
      <c r="P487" s="16" t="inlineStr"/>
      <c r="Q487" s="16" t="inlineStr"/>
      <c r="R487" s="29">
        <f>IF($C487="","",IFERROR(IF(INDEX(Deals!$U$2:$U$355,MATCH($C487,Deals!$A$2:$A$355,0))=0,"",INDEX(Deals!$U$2:$U$355,MATCH($C487,Deals!$A$2:$A$355,0))),""))</f>
        <v/>
      </c>
      <c r="S487" s="22">
        <f>IFERROR(IF($U487="",1,INDEX(Deals!$V$2:$V$355,MATCH($C487,Deals!$A$2:$A$355,0))),1)</f>
        <v/>
      </c>
      <c r="T487" s="22">
        <f>IFERROR(IF($U487="",1,INDEX(Deals!$W$2:$W$355,MATCH($C487,Deals!$A$2:$A$355,0))),1)</f>
        <v/>
      </c>
      <c r="U487" s="31">
        <f>IF($C487="","",IFERROR(IF(INDEX(Deals!$Y$2:$Y$355,MATCH($C487,Deals!$A$2:$A$355,0))=0,"",INDEX(Deals!$Y$2:$Y$355,MATCH($C487,Deals!$A$2:$A$355,0))),""))</f>
        <v/>
      </c>
      <c r="V487" s="24">
        <f>IF($U487="",DATE(1900,1,1),$N487)</f>
        <v/>
      </c>
      <c r="W487" s="24">
        <f>IF($U487="",DATE(2100,12,31),$U487)</f>
        <v/>
      </c>
      <c r="X487" s="20">
        <f>IF($U487="",$K487,$K487*$S487)</f>
        <v/>
      </c>
      <c r="Y487" s="24">
        <f>IF($U487="",DATE(2100,12,31),$U487+1)</f>
        <v/>
      </c>
      <c r="Z487" s="24">
        <f>IF($U487="",DATE(1900,1,1),$O487)</f>
        <v/>
      </c>
      <c r="AA487" s="20">
        <f>IF($U487="",0,$K487*$T487)</f>
        <v/>
      </c>
    </row>
    <row r="488">
      <c r="A488" s="15" t="inlineStr">
        <is>
          <t>Nina</t>
        </is>
      </c>
      <c r="B488" s="29">
        <f>IF($A488="","",IFERROR(INDEX(Roster!$B$2:$B$40,MATCH($A488,Roster!$A$2:$A$40,0)),"?"))</f>
        <v/>
      </c>
      <c r="C488" s="15" t="inlineStr">
        <is>
          <t>Sunnova TEP 8-I - Homebuilder_1</t>
        </is>
      </c>
      <c r="D488" s="29">
        <f>IF($C488="","",IFERROR(IF(INDEX(Deals!$C$2:$C$355,MATCH($C488,Deals!$A$2:$A$355,0))=0,"",INDEX(Deals!$C$2:$C$355,MATCH($C488,Deals!$A$2:$A$355,0))),"?"))</f>
        <v/>
      </c>
      <c r="E488" s="29">
        <f>IF($C488="","",IFERROR(INDEX(Deals!$F$2:$F$355,MATCH($C488,Deals!$A$2:$A$355,0)),"?"))</f>
        <v/>
      </c>
      <c r="F488" s="15" t="inlineStr">
        <is>
          <t>Senior Associate</t>
        </is>
      </c>
      <c r="G488" s="15" t="inlineStr">
        <is>
          <t>Active</t>
        </is>
      </c>
      <c r="H488" s="27" t="n"/>
      <c r="I488" s="20">
        <f>IF(OR($A488="",$G488&lt;&gt;"Active"),0,IF($H488&lt;&gt;"",$H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</f>
        <v/>
      </c>
      <c r="J488" s="23">
        <f>IF($C488="",0,IFERROR(INDEX(Deals!$H$2:$H$355,MATCH($C488,Deals!$A$2:$A$355,0)),0))</f>
        <v/>
      </c>
      <c r="K488" s="20">
        <f>IF(Settings!$B$4="Yes",$I488*$J488,$I488)</f>
        <v/>
      </c>
      <c r="L488" s="31">
        <f>IF($C488="","",IFERROR(IF(INDEX(Deals!$I$2:$I$355,MATCH($C488,Deals!$A$2:$A$355,0))=0,"",INDEX(Deals!$I$2:$I$355,MATCH($C488,Deals!$A$2:$A$355,0))),""))</f>
        <v/>
      </c>
      <c r="M488" s="31">
        <f>IF($C488="","",IFERROR(IF(INDEX(Deals!$J$2:$J$355,MATCH($C488,Deals!$A$2:$A$355,0))=0,"",INDEX(Deals!$J$2:$J$355,MATCH($C488,Deals!$A$2:$A$355,0))),""))</f>
        <v/>
      </c>
      <c r="N488" s="24">
        <f>IF($L488="",DATE(1900,1,1),$L488)</f>
        <v/>
      </c>
      <c r="O488" s="24">
        <f>IF($M488="",DATE(2100,12,31),$M488)</f>
        <v/>
      </c>
      <c r="P488" s="16" t="inlineStr"/>
      <c r="Q488" s="16" t="inlineStr"/>
      <c r="R488" s="29">
        <f>IF($C488="","",IFERROR(IF(INDEX(Deals!$U$2:$U$355,MATCH($C488,Deals!$A$2:$A$355,0))=0,"",INDEX(Deals!$U$2:$U$355,MATCH($C488,Deals!$A$2:$A$355,0))),""))</f>
        <v/>
      </c>
      <c r="S488" s="22">
        <f>IFERROR(IF($U488="",1,INDEX(Deals!$V$2:$V$355,MATCH($C488,Deals!$A$2:$A$355,0))),1)</f>
        <v/>
      </c>
      <c r="T488" s="22">
        <f>IFERROR(IF($U488="",1,INDEX(Deals!$W$2:$W$355,MATCH($C488,Deals!$A$2:$A$355,0))),1)</f>
        <v/>
      </c>
      <c r="U488" s="31">
        <f>IF($C488="","",IFERROR(IF(INDEX(Deals!$Y$2:$Y$355,MATCH($C488,Deals!$A$2:$A$355,0))=0,"",INDEX(Deals!$Y$2:$Y$355,MATCH($C488,Deals!$A$2:$A$355,0))),""))</f>
        <v/>
      </c>
      <c r="V488" s="24">
        <f>IF($U488="",DATE(1900,1,1),$N488)</f>
        <v/>
      </c>
      <c r="W488" s="24">
        <f>IF($U488="",DATE(2100,12,31),$U488)</f>
        <v/>
      </c>
      <c r="X488" s="20">
        <f>IF($U488="",$K488,$K488*$S488)</f>
        <v/>
      </c>
      <c r="Y488" s="24">
        <f>IF($U488="",DATE(2100,12,31),$U488+1)</f>
        <v/>
      </c>
      <c r="Z488" s="24">
        <f>IF($U488="",DATE(1900,1,1),$O488)</f>
        <v/>
      </c>
      <c r="AA488" s="20">
        <f>IF($U488="",0,$K488*$T488)</f>
        <v/>
      </c>
    </row>
    <row r="489">
      <c r="A489" s="15" t="inlineStr">
        <is>
          <t>Nina</t>
        </is>
      </c>
      <c r="B489" s="29">
        <f>IF($A489="","",IFERROR(INDEX(Roster!$B$2:$B$40,MATCH($A489,Roster!$A$2:$A$40,0)),"?"))</f>
        <v/>
      </c>
      <c r="C489" s="15" t="inlineStr">
        <is>
          <t>Tennessee_1</t>
        </is>
      </c>
      <c r="D489" s="29">
        <f>IF($C489="","",IFERROR(IF(INDEX(Deals!$C$2:$C$355,MATCH($C489,Deals!$A$2:$A$355,0))=0,"",INDEX(Deals!$C$2:$C$355,MATCH($C489,Deals!$A$2:$A$355,0))),"?"))</f>
        <v/>
      </c>
      <c r="E489" s="29">
        <f>IF($C489="","",IFERROR(INDEX(Deals!$F$2:$F$355,MATCH($C489,Deals!$A$2:$A$355,0)),"?"))</f>
        <v/>
      </c>
      <c r="F489" s="15" t="inlineStr">
        <is>
          <t>Senior Associate</t>
        </is>
      </c>
      <c r="G489" s="15" t="inlineStr">
        <is>
          <t>Inactive</t>
        </is>
      </c>
      <c r="H489" s="27" t="n"/>
      <c r="I489" s="20">
        <f>IF(OR($A489="",$G489&lt;&gt;"Active"),0,IF($H489&lt;&gt;"",$H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</f>
        <v/>
      </c>
      <c r="J489" s="23">
        <f>IF($C489="",0,IFERROR(INDEX(Deals!$H$2:$H$355,MATCH($C489,Deals!$A$2:$A$355,0)),0))</f>
        <v/>
      </c>
      <c r="K489" s="20">
        <f>IF(Settings!$B$4="Yes",$I489*$J489,$I489)</f>
        <v/>
      </c>
      <c r="L489" s="31">
        <f>IF($C489="","",IFERROR(IF(INDEX(Deals!$I$2:$I$355,MATCH($C489,Deals!$A$2:$A$355,0))=0,"",INDEX(Deals!$I$2:$I$355,MATCH($C489,Deals!$A$2:$A$355,0))),""))</f>
        <v/>
      </c>
      <c r="M489" s="31">
        <f>IF($C489="","",IFERROR(IF(INDEX(Deals!$J$2:$J$355,MATCH($C489,Deals!$A$2:$A$355,0))=0,"",INDEX(Deals!$J$2:$J$355,MATCH($C489,Deals!$A$2:$A$355,0))),""))</f>
        <v/>
      </c>
      <c r="N489" s="24">
        <f>IF($L489="",DATE(1900,1,1),$L489)</f>
        <v/>
      </c>
      <c r="O489" s="24">
        <f>IF($M489="",DATE(2100,12,31),$M489)</f>
        <v/>
      </c>
      <c r="P489" s="16" t="inlineStr">
        <is>
          <t>Not involved in ongoing work</t>
        </is>
      </c>
      <c r="Q489" s="16" t="inlineStr"/>
      <c r="R489" s="29">
        <f>IF($C489="","",IFERROR(IF(INDEX(Deals!$U$2:$U$355,MATCH($C489,Deals!$A$2:$A$355,0))=0,"",INDEX(Deals!$U$2:$U$355,MATCH($C489,Deals!$A$2:$A$355,0))),""))</f>
        <v/>
      </c>
      <c r="S489" s="22">
        <f>IFERROR(IF($U489="",1,INDEX(Deals!$V$2:$V$355,MATCH($C489,Deals!$A$2:$A$355,0))),1)</f>
        <v/>
      </c>
      <c r="T489" s="22">
        <f>IFERROR(IF($U489="",1,INDEX(Deals!$W$2:$W$355,MATCH($C489,Deals!$A$2:$A$355,0))),1)</f>
        <v/>
      </c>
      <c r="U489" s="31">
        <f>IF($C489="","",IFERROR(IF(INDEX(Deals!$Y$2:$Y$355,MATCH($C489,Deals!$A$2:$A$355,0))=0,"",INDEX(Deals!$Y$2:$Y$355,MATCH($C489,Deals!$A$2:$A$355,0))),""))</f>
        <v/>
      </c>
      <c r="V489" s="24">
        <f>IF($U489="",DATE(1900,1,1),$N489)</f>
        <v/>
      </c>
      <c r="W489" s="24">
        <f>IF($U489="",DATE(2100,12,31),$U489)</f>
        <v/>
      </c>
      <c r="X489" s="20">
        <f>IF($U489="",$K489,$K489*$S489)</f>
        <v/>
      </c>
      <c r="Y489" s="24">
        <f>IF($U489="",DATE(2100,12,31),$U489+1)</f>
        <v/>
      </c>
      <c r="Z489" s="24">
        <f>IF($U489="",DATE(1900,1,1),$O489)</f>
        <v/>
      </c>
      <c r="AA489" s="20">
        <f>IF($U489="",0,$K489*$T489)</f>
        <v/>
      </c>
    </row>
    <row r="490">
      <c r="A490" s="15" t="inlineStr">
        <is>
          <t>Nina</t>
        </is>
      </c>
      <c r="B490" s="29">
        <f>IF($A490="","",IFERROR(INDEX(Roster!$B$2:$B$40,MATCH($A490,Roster!$A$2:$A$40,0)),"?"))</f>
        <v/>
      </c>
      <c r="C490" s="15" t="inlineStr">
        <is>
          <t>Theoden_1</t>
        </is>
      </c>
      <c r="D490" s="29">
        <f>IF($C490="","",IFERROR(IF(INDEX(Deals!$C$2:$C$355,MATCH($C490,Deals!$A$2:$A$355,0))=0,"",INDEX(Deals!$C$2:$C$355,MATCH($C490,Deals!$A$2:$A$355,0))),"?"))</f>
        <v/>
      </c>
      <c r="E490" s="29">
        <f>IF($C490="","",IFERROR(INDEX(Deals!$F$2:$F$355,MATCH($C490,Deals!$A$2:$A$355,0)),"?"))</f>
        <v/>
      </c>
      <c r="F490" s="15" t="inlineStr">
        <is>
          <t>Senior Associate</t>
        </is>
      </c>
      <c r="G490" s="15" t="inlineStr">
        <is>
          <t>Active</t>
        </is>
      </c>
      <c r="H490" s="27" t="n"/>
      <c r="I490" s="20">
        <f>IF(OR($A490="",$G490&lt;&gt;"Active"),0,IF($H490&lt;&gt;"",$H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</f>
        <v/>
      </c>
      <c r="J490" s="23">
        <f>IF($C490="",0,IFERROR(INDEX(Deals!$H$2:$H$355,MATCH($C490,Deals!$A$2:$A$355,0)),0))</f>
        <v/>
      </c>
      <c r="K490" s="20">
        <f>IF(Settings!$B$4="Yes",$I490*$J490,$I490)</f>
        <v/>
      </c>
      <c r="L490" s="31">
        <f>IF($C490="","",IFERROR(IF(INDEX(Deals!$I$2:$I$355,MATCH($C490,Deals!$A$2:$A$355,0))=0,"",INDEX(Deals!$I$2:$I$355,MATCH($C490,Deals!$A$2:$A$355,0))),""))</f>
        <v/>
      </c>
      <c r="M490" s="31">
        <f>IF($C490="","",IFERROR(IF(INDEX(Deals!$J$2:$J$355,MATCH($C490,Deals!$A$2:$A$355,0))=0,"",INDEX(Deals!$J$2:$J$355,MATCH($C490,Deals!$A$2:$A$355,0))),""))</f>
        <v/>
      </c>
      <c r="N490" s="24">
        <f>IF($L490="",DATE(1900,1,1),$L490)</f>
        <v/>
      </c>
      <c r="O490" s="24">
        <f>IF($M490="",DATE(2100,12,31),$M490)</f>
        <v/>
      </c>
      <c r="P490" s="16" t="inlineStr">
        <is>
          <t>Ongoing</t>
        </is>
      </c>
      <c r="Q490" s="16" t="inlineStr"/>
      <c r="R490" s="29">
        <f>IF($C490="","",IFERROR(IF(INDEX(Deals!$U$2:$U$355,MATCH($C490,Deals!$A$2:$A$355,0))=0,"",INDEX(Deals!$U$2:$U$355,MATCH($C490,Deals!$A$2:$A$355,0))),""))</f>
        <v/>
      </c>
      <c r="S490" s="22">
        <f>IFERROR(IF($U490="",1,INDEX(Deals!$V$2:$V$355,MATCH($C490,Deals!$A$2:$A$355,0))),1)</f>
        <v/>
      </c>
      <c r="T490" s="22">
        <f>IFERROR(IF($U490="",1,INDEX(Deals!$W$2:$W$355,MATCH($C490,Deals!$A$2:$A$355,0))),1)</f>
        <v/>
      </c>
      <c r="U490" s="31">
        <f>IF($C490="","",IFERROR(IF(INDEX(Deals!$Y$2:$Y$355,MATCH($C490,Deals!$A$2:$A$355,0))=0,"",INDEX(Deals!$Y$2:$Y$355,MATCH($C490,Deals!$A$2:$A$355,0))),""))</f>
        <v/>
      </c>
      <c r="V490" s="24">
        <f>IF($U490="",DATE(1900,1,1),$N490)</f>
        <v/>
      </c>
      <c r="W490" s="24">
        <f>IF($U490="",DATE(2100,12,31),$U490)</f>
        <v/>
      </c>
      <c r="X490" s="20">
        <f>IF($U490="",$K490,$K490*$S490)</f>
        <v/>
      </c>
      <c r="Y490" s="24">
        <f>IF($U490="",DATE(2100,12,31),$U490+1)</f>
        <v/>
      </c>
      <c r="Z490" s="24">
        <f>IF($U490="",DATE(1900,1,1),$O490)</f>
        <v/>
      </c>
      <c r="AA490" s="20">
        <f>IF($U490="",0,$K490*$T490)</f>
        <v/>
      </c>
    </row>
    <row r="491">
      <c r="A491" s="15" t="inlineStr">
        <is>
          <t>Nina</t>
        </is>
      </c>
      <c r="B491" s="29">
        <f>IF($A491="","",IFERROR(INDEX(Roster!$B$2:$B$40,MATCH($A491,Roster!$A$2:$A$40,0)),"?"))</f>
        <v/>
      </c>
      <c r="C491" s="15" t="inlineStr">
        <is>
          <t>Vero_1</t>
        </is>
      </c>
      <c r="D491" s="29">
        <f>IF($C491="","",IFERROR(IF(INDEX(Deals!$C$2:$C$355,MATCH($C491,Deals!$A$2:$A$355,0))=0,"",INDEX(Deals!$C$2:$C$355,MATCH($C491,Deals!$A$2:$A$355,0))),"?"))</f>
        <v/>
      </c>
      <c r="E491" s="29">
        <f>IF($C491="","",IFERROR(INDEX(Deals!$F$2:$F$355,MATCH($C491,Deals!$A$2:$A$355,0)),"?"))</f>
        <v/>
      </c>
      <c r="F491" s="15" t="inlineStr">
        <is>
          <t>Senior Associate</t>
        </is>
      </c>
      <c r="G491" s="15" t="inlineStr">
        <is>
          <t>Active</t>
        </is>
      </c>
      <c r="H491" s="27" t="n"/>
      <c r="I491" s="20">
        <f>IF(OR($A491="",$G491&lt;&gt;"Active"),0,IF($H491&lt;&gt;"",$H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</f>
        <v/>
      </c>
      <c r="J491" s="23">
        <f>IF($C491="",0,IFERROR(INDEX(Deals!$H$2:$H$355,MATCH($C491,Deals!$A$2:$A$355,0)),0))</f>
        <v/>
      </c>
      <c r="K491" s="20">
        <f>IF(Settings!$B$4="Yes",$I491*$J491,$I491)</f>
        <v/>
      </c>
      <c r="L491" s="31">
        <f>IF($C491="","",IFERROR(IF(INDEX(Deals!$I$2:$I$355,MATCH($C491,Deals!$A$2:$A$355,0))=0,"",INDEX(Deals!$I$2:$I$355,MATCH($C491,Deals!$A$2:$A$355,0))),""))</f>
        <v/>
      </c>
      <c r="M491" s="31">
        <f>IF($C491="","",IFERROR(IF(INDEX(Deals!$J$2:$J$355,MATCH($C491,Deals!$A$2:$A$355,0))=0,"",INDEX(Deals!$J$2:$J$355,MATCH($C491,Deals!$A$2:$A$355,0))),""))</f>
        <v/>
      </c>
      <c r="N491" s="24">
        <f>IF($L491="",DATE(1900,1,1),$L491)</f>
        <v/>
      </c>
      <c r="O491" s="24">
        <f>IF($M491="",DATE(2100,12,31),$M491)</f>
        <v/>
      </c>
      <c r="P491" s="16" t="inlineStr"/>
      <c r="Q491" s="16" t="inlineStr"/>
      <c r="R491" s="29">
        <f>IF($C491="","",IFERROR(IF(INDEX(Deals!$U$2:$U$355,MATCH($C491,Deals!$A$2:$A$355,0))=0,"",INDEX(Deals!$U$2:$U$355,MATCH($C491,Deals!$A$2:$A$355,0))),""))</f>
        <v/>
      </c>
      <c r="S491" s="22">
        <f>IFERROR(IF($U491="",1,INDEX(Deals!$V$2:$V$355,MATCH($C491,Deals!$A$2:$A$355,0))),1)</f>
        <v/>
      </c>
      <c r="T491" s="22">
        <f>IFERROR(IF($U491="",1,INDEX(Deals!$W$2:$W$355,MATCH($C491,Deals!$A$2:$A$355,0))),1)</f>
        <v/>
      </c>
      <c r="U491" s="31">
        <f>IF($C491="","",IFERROR(IF(INDEX(Deals!$Y$2:$Y$355,MATCH($C491,Deals!$A$2:$A$355,0))=0,"",INDEX(Deals!$Y$2:$Y$355,MATCH($C491,Deals!$A$2:$A$355,0))),""))</f>
        <v/>
      </c>
      <c r="V491" s="24">
        <f>IF($U491="",DATE(1900,1,1),$N491)</f>
        <v/>
      </c>
      <c r="W491" s="24">
        <f>IF($U491="",DATE(2100,12,31),$U491)</f>
        <v/>
      </c>
      <c r="X491" s="20">
        <f>IF($U491="",$K491,$K491*$S491)</f>
        <v/>
      </c>
      <c r="Y491" s="24">
        <f>IF($U491="",DATE(2100,12,31),$U491+1)</f>
        <v/>
      </c>
      <c r="Z491" s="24">
        <f>IF($U491="",DATE(1900,1,1),$O491)</f>
        <v/>
      </c>
      <c r="AA491" s="20">
        <f>IF($U491="",0,$K491*$T491)</f>
        <v/>
      </c>
    </row>
    <row r="492">
      <c r="A492" s="15" t="inlineStr">
        <is>
          <t>Colleen</t>
        </is>
      </c>
      <c r="B492" s="29">
        <f>IF($A492="","",IFERROR(INDEX(Roster!$B$2:$B$40,MATCH($A492,Roster!$A$2:$A$40,0)),"?"))</f>
        <v/>
      </c>
      <c r="C492" s="15" t="inlineStr">
        <is>
          <t>2026 Structuring_1</t>
        </is>
      </c>
      <c r="D492" s="29">
        <f>IF($C492="","",IFERROR(IF(INDEX(Deals!$C$2:$C$355,MATCH($C492,Deals!$A$2:$A$355,0))=0,"",INDEX(Deals!$C$2:$C$355,MATCH($C492,Deals!$A$2:$A$355,0))),"?"))</f>
        <v/>
      </c>
      <c r="E492" s="29">
        <f>IF($C492="","",IFERROR(INDEX(Deals!$F$2:$F$355,MATCH($C492,Deals!$A$2:$A$355,0)),"?"))</f>
        <v/>
      </c>
      <c r="F492" s="15" t="inlineStr">
        <is>
          <t>Senior Associate</t>
        </is>
      </c>
      <c r="G492" s="15" t="inlineStr">
        <is>
          <t>Active</t>
        </is>
      </c>
      <c r="H492" s="27" t="n"/>
      <c r="I492" s="20">
        <f>IF(OR($A492="",$G492&lt;&gt;"Active"),0,IF($H492&lt;&gt;"",$H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</f>
        <v/>
      </c>
      <c r="J492" s="23">
        <f>IF($C492="",0,IFERROR(INDEX(Deals!$H$2:$H$355,MATCH($C492,Deals!$A$2:$A$355,0)),0))</f>
        <v/>
      </c>
      <c r="K492" s="20">
        <f>IF(Settings!$B$4="Yes",$I492*$J492,$I492)</f>
        <v/>
      </c>
      <c r="L492" s="31">
        <f>IF($C492="","",IFERROR(IF(INDEX(Deals!$I$2:$I$355,MATCH($C492,Deals!$A$2:$A$355,0))=0,"",INDEX(Deals!$I$2:$I$355,MATCH($C492,Deals!$A$2:$A$355,0))),""))</f>
        <v/>
      </c>
      <c r="M492" s="31">
        <f>IF($C492="","",IFERROR(IF(INDEX(Deals!$J$2:$J$355,MATCH($C492,Deals!$A$2:$A$355,0))=0,"",INDEX(Deals!$J$2:$J$355,MATCH($C492,Deals!$A$2:$A$355,0))),""))</f>
        <v/>
      </c>
      <c r="N492" s="24">
        <f>IF($L492="",DATE(1900,1,1),$L492)</f>
        <v/>
      </c>
      <c r="O492" s="24">
        <f>IF($M492="",DATE(2100,12,31),$M492)</f>
        <v/>
      </c>
      <c r="P492" s="16" t="inlineStr">
        <is>
          <t>Ongoing</t>
        </is>
      </c>
      <c r="Q492" s="16" t="inlineStr"/>
      <c r="R492" s="29">
        <f>IF($C492="","",IFERROR(IF(INDEX(Deals!$U$2:$U$355,MATCH($C492,Deals!$A$2:$A$355,0))=0,"",INDEX(Deals!$U$2:$U$355,MATCH($C492,Deals!$A$2:$A$355,0))),""))</f>
        <v/>
      </c>
      <c r="S492" s="22">
        <f>IFERROR(IF($U492="",1,INDEX(Deals!$V$2:$V$355,MATCH($C492,Deals!$A$2:$A$355,0))),1)</f>
        <v/>
      </c>
      <c r="T492" s="22">
        <f>IFERROR(IF($U492="",1,INDEX(Deals!$W$2:$W$355,MATCH($C492,Deals!$A$2:$A$355,0))),1)</f>
        <v/>
      </c>
      <c r="U492" s="31">
        <f>IF($C492="","",IFERROR(IF(INDEX(Deals!$Y$2:$Y$355,MATCH($C492,Deals!$A$2:$A$355,0))=0,"",INDEX(Deals!$Y$2:$Y$355,MATCH($C492,Deals!$A$2:$A$355,0))),""))</f>
        <v/>
      </c>
      <c r="V492" s="24">
        <f>IF($U492="",DATE(1900,1,1),$N492)</f>
        <v/>
      </c>
      <c r="W492" s="24">
        <f>IF($U492="",DATE(2100,12,31),$U492)</f>
        <v/>
      </c>
      <c r="X492" s="20">
        <f>IF($U492="",$K492,$K492*$S492)</f>
        <v/>
      </c>
      <c r="Y492" s="24">
        <f>IF($U492="",DATE(2100,12,31),$U492+1)</f>
        <v/>
      </c>
      <c r="Z492" s="24">
        <f>IF($U492="",DATE(1900,1,1),$O492)</f>
        <v/>
      </c>
      <c r="AA492" s="20">
        <f>IF($U492="",0,$K492*$T492)</f>
        <v/>
      </c>
    </row>
    <row r="493">
      <c r="A493" s="15" t="inlineStr">
        <is>
          <t>Colleen</t>
        </is>
      </c>
      <c r="B493" s="29">
        <f>IF($A493="","",IFERROR(INDEX(Roster!$B$2:$B$40,MATCH($A493,Roster!$A$2:$A$40,0)),"?"))</f>
        <v/>
      </c>
      <c r="C493" s="15" t="inlineStr">
        <is>
          <t>Blue_8</t>
        </is>
      </c>
      <c r="D493" s="29">
        <f>IF($C493="","",IFERROR(IF(INDEX(Deals!$C$2:$C$355,MATCH($C493,Deals!$A$2:$A$355,0))=0,"",INDEX(Deals!$C$2:$C$355,MATCH($C493,Deals!$A$2:$A$355,0))),"?"))</f>
        <v/>
      </c>
      <c r="E493" s="29">
        <f>IF($C493="","",IFERROR(INDEX(Deals!$F$2:$F$355,MATCH($C493,Deals!$A$2:$A$355,0)),"?"))</f>
        <v/>
      </c>
      <c r="F493" s="15" t="inlineStr">
        <is>
          <t>Senior Associate</t>
        </is>
      </c>
      <c r="G493" s="15" t="inlineStr">
        <is>
          <t>Active</t>
        </is>
      </c>
      <c r="H493" s="27" t="n"/>
      <c r="I493" s="20">
        <f>IF(OR($A493="",$G493&lt;&gt;"Active"),0,IF($H493&lt;&gt;"",$H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</f>
        <v/>
      </c>
      <c r="J493" s="23">
        <f>IF($C493="",0,IFERROR(INDEX(Deals!$H$2:$H$355,MATCH($C493,Deals!$A$2:$A$355,0)),0))</f>
        <v/>
      </c>
      <c r="K493" s="20">
        <f>IF(Settings!$B$4="Yes",$I493*$J493,$I493)</f>
        <v/>
      </c>
      <c r="L493" s="31">
        <f>IF($C493="","",IFERROR(IF(INDEX(Deals!$I$2:$I$355,MATCH($C493,Deals!$A$2:$A$355,0))=0,"",INDEX(Deals!$I$2:$I$355,MATCH($C493,Deals!$A$2:$A$355,0))),""))</f>
        <v/>
      </c>
      <c r="M493" s="31">
        <f>IF($C493="","",IFERROR(IF(INDEX(Deals!$J$2:$J$355,MATCH($C493,Deals!$A$2:$A$355,0))=0,"",INDEX(Deals!$J$2:$J$355,MATCH($C493,Deals!$A$2:$A$355,0))),""))</f>
        <v/>
      </c>
      <c r="N493" s="24">
        <f>IF($L493="",DATE(1900,1,1),$L493)</f>
        <v/>
      </c>
      <c r="O493" s="24">
        <f>IF($M493="",DATE(2100,12,31),$M493)</f>
        <v/>
      </c>
      <c r="P493" s="16" t="inlineStr">
        <is>
          <t>Ongoing</t>
        </is>
      </c>
      <c r="Q493" s="16" t="inlineStr"/>
      <c r="R493" s="29">
        <f>IF($C493="","",IFERROR(IF(INDEX(Deals!$U$2:$U$355,MATCH($C493,Deals!$A$2:$A$355,0))=0,"",INDEX(Deals!$U$2:$U$355,MATCH($C493,Deals!$A$2:$A$355,0))),""))</f>
        <v/>
      </c>
      <c r="S493" s="22">
        <f>IFERROR(IF($U493="",1,INDEX(Deals!$V$2:$V$355,MATCH($C493,Deals!$A$2:$A$355,0))),1)</f>
        <v/>
      </c>
      <c r="T493" s="22">
        <f>IFERROR(IF($U493="",1,INDEX(Deals!$W$2:$W$355,MATCH($C493,Deals!$A$2:$A$355,0))),1)</f>
        <v/>
      </c>
      <c r="U493" s="31">
        <f>IF($C493="","",IFERROR(IF(INDEX(Deals!$Y$2:$Y$355,MATCH($C493,Deals!$A$2:$A$355,0))=0,"",INDEX(Deals!$Y$2:$Y$355,MATCH($C493,Deals!$A$2:$A$355,0))),""))</f>
        <v/>
      </c>
      <c r="V493" s="24">
        <f>IF($U493="",DATE(1900,1,1),$N493)</f>
        <v/>
      </c>
      <c r="W493" s="24">
        <f>IF($U493="",DATE(2100,12,31),$U493)</f>
        <v/>
      </c>
      <c r="X493" s="20">
        <f>IF($U493="",$K493,$K493*$S493)</f>
        <v/>
      </c>
      <c r="Y493" s="24">
        <f>IF($U493="",DATE(2100,12,31),$U493+1)</f>
        <v/>
      </c>
      <c r="Z493" s="24">
        <f>IF($U493="",DATE(1900,1,1),$O493)</f>
        <v/>
      </c>
      <c r="AA493" s="20">
        <f>IF($U493="",0,$K493*$T493)</f>
        <v/>
      </c>
    </row>
    <row r="494">
      <c r="A494" s="15" t="inlineStr">
        <is>
          <t>Colleen</t>
        </is>
      </c>
      <c r="B494" s="29">
        <f>IF($A494="","",IFERROR(INDEX(Roster!$B$2:$B$40,MATCH($A494,Roster!$A$2:$A$40,0)),"?"))</f>
        <v/>
      </c>
      <c r="C494" s="15" t="inlineStr">
        <is>
          <t>Canyon_2</t>
        </is>
      </c>
      <c r="D494" s="29">
        <f>IF($C494="","",IFERROR(IF(INDEX(Deals!$C$2:$C$355,MATCH($C494,Deals!$A$2:$A$355,0))=0,"",INDEX(Deals!$C$2:$C$355,MATCH($C494,Deals!$A$2:$A$355,0))),"?"))</f>
        <v/>
      </c>
      <c r="E494" s="29">
        <f>IF($C494="","",IFERROR(INDEX(Deals!$F$2:$F$355,MATCH($C494,Deals!$A$2:$A$355,0)),"?"))</f>
        <v/>
      </c>
      <c r="F494" s="15" t="inlineStr">
        <is>
          <t>Senior Associate</t>
        </is>
      </c>
      <c r="G494" s="15" t="inlineStr">
        <is>
          <t>Inactive</t>
        </is>
      </c>
      <c r="H494" s="27" t="n"/>
      <c r="I494" s="20">
        <f>IF(OR($A494="",$G494&lt;&gt;"Active"),0,IF($H494&lt;&gt;"",$H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</f>
        <v/>
      </c>
      <c r="J494" s="23">
        <f>IF($C494="",0,IFERROR(INDEX(Deals!$H$2:$H$355,MATCH($C494,Deals!$A$2:$A$355,0)),0))</f>
        <v/>
      </c>
      <c r="K494" s="20">
        <f>IF(Settings!$B$4="Yes",$I494*$J494,$I494)</f>
        <v/>
      </c>
      <c r="L494" s="31">
        <f>IF($C494="","",IFERROR(IF(INDEX(Deals!$I$2:$I$355,MATCH($C494,Deals!$A$2:$A$355,0))=0,"",INDEX(Deals!$I$2:$I$355,MATCH($C494,Deals!$A$2:$A$355,0))),""))</f>
        <v/>
      </c>
      <c r="M494" s="31">
        <f>IF($C494="","",IFERROR(IF(INDEX(Deals!$J$2:$J$355,MATCH($C494,Deals!$A$2:$A$355,0))=0,"",INDEX(Deals!$J$2:$J$355,MATCH($C494,Deals!$A$2:$A$355,0))),""))</f>
        <v/>
      </c>
      <c r="N494" s="24">
        <f>IF($L494="",DATE(1900,1,1),$L494)</f>
        <v/>
      </c>
      <c r="O494" s="24">
        <f>IF($M494="",DATE(2100,12,31),$M494)</f>
        <v/>
      </c>
      <c r="P494" s="16" t="inlineStr">
        <is>
          <t>Not involved in ongoing work</t>
        </is>
      </c>
      <c r="Q494" s="16" t="inlineStr"/>
      <c r="R494" s="29">
        <f>IF($C494="","",IFERROR(IF(INDEX(Deals!$U$2:$U$355,MATCH($C494,Deals!$A$2:$A$355,0))=0,"",INDEX(Deals!$U$2:$U$355,MATCH($C494,Deals!$A$2:$A$355,0))),""))</f>
        <v/>
      </c>
      <c r="S494" s="22">
        <f>IFERROR(IF($U494="",1,INDEX(Deals!$V$2:$V$355,MATCH($C494,Deals!$A$2:$A$355,0))),1)</f>
        <v/>
      </c>
      <c r="T494" s="22">
        <f>IFERROR(IF($U494="",1,INDEX(Deals!$W$2:$W$355,MATCH($C494,Deals!$A$2:$A$355,0))),1)</f>
        <v/>
      </c>
      <c r="U494" s="31">
        <f>IF($C494="","",IFERROR(IF(INDEX(Deals!$Y$2:$Y$355,MATCH($C494,Deals!$A$2:$A$355,0))=0,"",INDEX(Deals!$Y$2:$Y$355,MATCH($C494,Deals!$A$2:$A$355,0))),""))</f>
        <v/>
      </c>
      <c r="V494" s="24">
        <f>IF($U494="",DATE(1900,1,1),$N494)</f>
        <v/>
      </c>
      <c r="W494" s="24">
        <f>IF($U494="",DATE(2100,12,31),$U494)</f>
        <v/>
      </c>
      <c r="X494" s="20">
        <f>IF($U494="",$K494,$K494*$S494)</f>
        <v/>
      </c>
      <c r="Y494" s="24">
        <f>IF($U494="",DATE(2100,12,31),$U494+1)</f>
        <v/>
      </c>
      <c r="Z494" s="24">
        <f>IF($U494="",DATE(1900,1,1),$O494)</f>
        <v/>
      </c>
      <c r="AA494" s="20">
        <f>IF($U494="",0,$K494*$T494)</f>
        <v/>
      </c>
    </row>
    <row r="495">
      <c r="A495" s="15" t="inlineStr">
        <is>
          <t>Colleen</t>
        </is>
      </c>
      <c r="B495" s="29">
        <f>IF($A495="","",IFERROR(INDEX(Roster!$B$2:$B$40,MATCH($A495,Roster!$A$2:$A$40,0)),"?"))</f>
        <v/>
      </c>
      <c r="C495" s="15" t="inlineStr">
        <is>
          <t>Celestial_1</t>
        </is>
      </c>
      <c r="D495" s="29">
        <f>IF($C495="","",IFERROR(IF(INDEX(Deals!$C$2:$C$355,MATCH($C495,Deals!$A$2:$A$355,0))=0,"",INDEX(Deals!$C$2:$C$355,MATCH($C495,Deals!$A$2:$A$355,0))),"?"))</f>
        <v/>
      </c>
      <c r="E495" s="29">
        <f>IF($C495="","",IFERROR(INDEX(Deals!$F$2:$F$355,MATCH($C495,Deals!$A$2:$A$355,0)),"?"))</f>
        <v/>
      </c>
      <c r="F495" s="15" t="inlineStr">
        <is>
          <t>Senior Associate</t>
        </is>
      </c>
      <c r="G495" s="15" t="inlineStr">
        <is>
          <t>Inactive</t>
        </is>
      </c>
      <c r="H495" s="27" t="n"/>
      <c r="I495" s="20">
        <f>IF(OR($A495="",$G495&lt;&gt;"Active"),0,IF($H495&lt;&gt;"",$H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</f>
        <v/>
      </c>
      <c r="J495" s="23">
        <f>IF($C495="",0,IFERROR(INDEX(Deals!$H$2:$H$355,MATCH($C495,Deals!$A$2:$A$355,0)),0))</f>
        <v/>
      </c>
      <c r="K495" s="20">
        <f>IF(Settings!$B$4="Yes",$I495*$J495,$I495)</f>
        <v/>
      </c>
      <c r="L495" s="31">
        <f>IF($C495="","",IFERROR(IF(INDEX(Deals!$I$2:$I$355,MATCH($C495,Deals!$A$2:$A$355,0))=0,"",INDEX(Deals!$I$2:$I$355,MATCH($C495,Deals!$A$2:$A$355,0))),""))</f>
        <v/>
      </c>
      <c r="M495" s="31">
        <f>IF($C495="","",IFERROR(IF(INDEX(Deals!$J$2:$J$355,MATCH($C495,Deals!$A$2:$A$355,0))=0,"",INDEX(Deals!$J$2:$J$355,MATCH($C495,Deals!$A$2:$A$355,0))),""))</f>
        <v/>
      </c>
      <c r="N495" s="24">
        <f>IF($L495="",DATE(1900,1,1),$L495)</f>
        <v/>
      </c>
      <c r="O495" s="24">
        <f>IF($M495="",DATE(2100,12,31),$M495)</f>
        <v/>
      </c>
      <c r="P495" s="16" t="inlineStr">
        <is>
          <t>Not involved in ongoing work</t>
        </is>
      </c>
      <c r="Q495" s="16" t="inlineStr"/>
      <c r="R495" s="29">
        <f>IF($C495="","",IFERROR(IF(INDEX(Deals!$U$2:$U$355,MATCH($C495,Deals!$A$2:$A$355,0))=0,"",INDEX(Deals!$U$2:$U$355,MATCH($C495,Deals!$A$2:$A$355,0))),""))</f>
        <v/>
      </c>
      <c r="S495" s="22">
        <f>IFERROR(IF($U495="",1,INDEX(Deals!$V$2:$V$355,MATCH($C495,Deals!$A$2:$A$355,0))),1)</f>
        <v/>
      </c>
      <c r="T495" s="22">
        <f>IFERROR(IF($U495="",1,INDEX(Deals!$W$2:$W$355,MATCH($C495,Deals!$A$2:$A$355,0))),1)</f>
        <v/>
      </c>
      <c r="U495" s="31">
        <f>IF($C495="","",IFERROR(IF(INDEX(Deals!$Y$2:$Y$355,MATCH($C495,Deals!$A$2:$A$355,0))=0,"",INDEX(Deals!$Y$2:$Y$355,MATCH($C495,Deals!$A$2:$A$355,0))),""))</f>
        <v/>
      </c>
      <c r="V495" s="24">
        <f>IF($U495="",DATE(1900,1,1),$N495)</f>
        <v/>
      </c>
      <c r="W495" s="24">
        <f>IF($U495="",DATE(2100,12,31),$U495)</f>
        <v/>
      </c>
      <c r="X495" s="20">
        <f>IF($U495="",$K495,$K495*$S495)</f>
        <v/>
      </c>
      <c r="Y495" s="24">
        <f>IF($U495="",DATE(2100,12,31),$U495+1)</f>
        <v/>
      </c>
      <c r="Z495" s="24">
        <f>IF($U495="",DATE(1900,1,1),$O495)</f>
        <v/>
      </c>
      <c r="AA495" s="20">
        <f>IF($U495="",0,$K495*$T495)</f>
        <v/>
      </c>
    </row>
    <row r="496">
      <c r="A496" s="15" t="inlineStr">
        <is>
          <t>Colleen</t>
        </is>
      </c>
      <c r="B496" s="29">
        <f>IF($A496="","",IFERROR(INDEX(Roster!$B$2:$B$40,MATCH($A496,Roster!$A$2:$A$40,0)),"?"))</f>
        <v/>
      </c>
      <c r="C496" s="15" t="inlineStr">
        <is>
          <t>Colt_2</t>
        </is>
      </c>
      <c r="D496" s="29">
        <f>IF($C496="","",IFERROR(IF(INDEX(Deals!$C$2:$C$355,MATCH($C496,Deals!$A$2:$A$355,0))=0,"",INDEX(Deals!$C$2:$C$355,MATCH($C496,Deals!$A$2:$A$355,0))),"?"))</f>
        <v/>
      </c>
      <c r="E496" s="29">
        <f>IF($C496="","",IFERROR(INDEX(Deals!$F$2:$F$355,MATCH($C496,Deals!$A$2:$A$355,0)),"?"))</f>
        <v/>
      </c>
      <c r="F496" s="15" t="inlineStr">
        <is>
          <t>Senior Associate</t>
        </is>
      </c>
      <c r="G496" s="15" t="inlineStr">
        <is>
          <t>Inactive</t>
        </is>
      </c>
      <c r="H496" s="27" t="n"/>
      <c r="I496" s="20">
        <f>IF(OR($A496="",$G496&lt;&gt;"Active"),0,IF($H496&lt;&gt;"",$H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</f>
        <v/>
      </c>
      <c r="J496" s="23">
        <f>IF($C496="",0,IFERROR(INDEX(Deals!$H$2:$H$355,MATCH($C496,Deals!$A$2:$A$355,0)),0))</f>
        <v/>
      </c>
      <c r="K496" s="20">
        <f>IF(Settings!$B$4="Yes",$I496*$J496,$I496)</f>
        <v/>
      </c>
      <c r="L496" s="31">
        <f>IF($C496="","",IFERROR(IF(INDEX(Deals!$I$2:$I$355,MATCH($C496,Deals!$A$2:$A$355,0))=0,"",INDEX(Deals!$I$2:$I$355,MATCH($C496,Deals!$A$2:$A$355,0))),""))</f>
        <v/>
      </c>
      <c r="M496" s="31">
        <f>IF($C496="","",IFERROR(IF(INDEX(Deals!$J$2:$J$355,MATCH($C496,Deals!$A$2:$A$355,0))=0,"",INDEX(Deals!$J$2:$J$355,MATCH($C496,Deals!$A$2:$A$355,0))),""))</f>
        <v/>
      </c>
      <c r="N496" s="24">
        <f>IF($L496="",DATE(1900,1,1),$L496)</f>
        <v/>
      </c>
      <c r="O496" s="24">
        <f>IF($M496="",DATE(2100,12,31),$M496)</f>
        <v/>
      </c>
      <c r="P496" s="16" t="inlineStr">
        <is>
          <t>Not involved in ongoing work</t>
        </is>
      </c>
      <c r="Q496" s="16" t="inlineStr"/>
      <c r="R496" s="29">
        <f>IF($C496="","",IFERROR(IF(INDEX(Deals!$U$2:$U$355,MATCH($C496,Deals!$A$2:$A$355,0))=0,"",INDEX(Deals!$U$2:$U$355,MATCH($C496,Deals!$A$2:$A$355,0))),""))</f>
        <v/>
      </c>
      <c r="S496" s="22">
        <f>IFERROR(IF($U496="",1,INDEX(Deals!$V$2:$V$355,MATCH($C496,Deals!$A$2:$A$355,0))),1)</f>
        <v/>
      </c>
      <c r="T496" s="22">
        <f>IFERROR(IF($U496="",1,INDEX(Deals!$W$2:$W$355,MATCH($C496,Deals!$A$2:$A$355,0))),1)</f>
        <v/>
      </c>
      <c r="U496" s="31">
        <f>IF($C496="","",IFERROR(IF(INDEX(Deals!$Y$2:$Y$355,MATCH($C496,Deals!$A$2:$A$355,0))=0,"",INDEX(Deals!$Y$2:$Y$355,MATCH($C496,Deals!$A$2:$A$355,0))),""))</f>
        <v/>
      </c>
      <c r="V496" s="24">
        <f>IF($U496="",DATE(1900,1,1),$N496)</f>
        <v/>
      </c>
      <c r="W496" s="24">
        <f>IF($U496="",DATE(2100,12,31),$U496)</f>
        <v/>
      </c>
      <c r="X496" s="20">
        <f>IF($U496="",$K496,$K496*$S496)</f>
        <v/>
      </c>
      <c r="Y496" s="24">
        <f>IF($U496="",DATE(2100,12,31),$U496+1)</f>
        <v/>
      </c>
      <c r="Z496" s="24">
        <f>IF($U496="",DATE(1900,1,1),$O496)</f>
        <v/>
      </c>
      <c r="AA496" s="20">
        <f>IF($U496="",0,$K496*$T496)</f>
        <v/>
      </c>
    </row>
    <row r="497">
      <c r="A497" s="15" t="inlineStr">
        <is>
          <t>Colleen</t>
        </is>
      </c>
      <c r="B497" s="29">
        <f>IF($A497="","",IFERROR(INDEX(Roster!$B$2:$B$40,MATCH($A497,Roster!$A$2:$A$40,0)),"?"))</f>
        <v/>
      </c>
      <c r="C497" s="15" t="inlineStr">
        <is>
          <t>Copia_3</t>
        </is>
      </c>
      <c r="D497" s="29">
        <f>IF($C497="","",IFERROR(IF(INDEX(Deals!$C$2:$C$355,MATCH($C497,Deals!$A$2:$A$355,0))=0,"",INDEX(Deals!$C$2:$C$355,MATCH($C497,Deals!$A$2:$A$355,0))),"?"))</f>
        <v/>
      </c>
      <c r="E497" s="29">
        <f>IF($C497="","",IFERROR(INDEX(Deals!$F$2:$F$355,MATCH($C497,Deals!$A$2:$A$355,0)),"?"))</f>
        <v/>
      </c>
      <c r="F497" s="15" t="inlineStr">
        <is>
          <t>Senior Associate</t>
        </is>
      </c>
      <c r="G497" s="15" t="inlineStr">
        <is>
          <t>Active</t>
        </is>
      </c>
      <c r="H497" s="27" t="n"/>
      <c r="I497" s="20">
        <f>IF(OR($A497="",$G497&lt;&gt;"Active"),0,IF($H497&lt;&gt;"",$H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</f>
        <v/>
      </c>
      <c r="J497" s="23">
        <f>IF($C497="",0,IFERROR(INDEX(Deals!$H$2:$H$355,MATCH($C497,Deals!$A$2:$A$355,0)),0))</f>
        <v/>
      </c>
      <c r="K497" s="20">
        <f>IF(Settings!$B$4="Yes",$I497*$J497,$I497)</f>
        <v/>
      </c>
      <c r="L497" s="31">
        <f>IF($C497="","",IFERROR(IF(INDEX(Deals!$I$2:$I$355,MATCH($C497,Deals!$A$2:$A$355,0))=0,"",INDEX(Deals!$I$2:$I$355,MATCH($C497,Deals!$A$2:$A$355,0))),""))</f>
        <v/>
      </c>
      <c r="M497" s="31">
        <f>IF($C497="","",IFERROR(IF(INDEX(Deals!$J$2:$J$355,MATCH($C497,Deals!$A$2:$A$355,0))=0,"",INDEX(Deals!$J$2:$J$355,MATCH($C497,Deals!$A$2:$A$355,0))),""))</f>
        <v/>
      </c>
      <c r="N497" s="24">
        <f>IF($L497="",DATE(1900,1,1),$L497)</f>
        <v/>
      </c>
      <c r="O497" s="24">
        <f>IF($M497="",DATE(2100,12,31),$M497)</f>
        <v/>
      </c>
      <c r="P497" s="16" t="inlineStr">
        <is>
          <t>Ongoing</t>
        </is>
      </c>
      <c r="Q497" s="16" t="inlineStr"/>
      <c r="R497" s="29">
        <f>IF($C497="","",IFERROR(IF(INDEX(Deals!$U$2:$U$355,MATCH($C497,Deals!$A$2:$A$355,0))=0,"",INDEX(Deals!$U$2:$U$355,MATCH($C497,Deals!$A$2:$A$355,0))),""))</f>
        <v/>
      </c>
      <c r="S497" s="22">
        <f>IFERROR(IF($U497="",1,INDEX(Deals!$V$2:$V$355,MATCH($C497,Deals!$A$2:$A$355,0))),1)</f>
        <v/>
      </c>
      <c r="T497" s="22">
        <f>IFERROR(IF($U497="",1,INDEX(Deals!$W$2:$W$355,MATCH($C497,Deals!$A$2:$A$355,0))),1)</f>
        <v/>
      </c>
      <c r="U497" s="31">
        <f>IF($C497="","",IFERROR(IF(INDEX(Deals!$Y$2:$Y$355,MATCH($C497,Deals!$A$2:$A$355,0))=0,"",INDEX(Deals!$Y$2:$Y$355,MATCH($C497,Deals!$A$2:$A$355,0))),""))</f>
        <v/>
      </c>
      <c r="V497" s="24">
        <f>IF($U497="",DATE(1900,1,1),$N497)</f>
        <v/>
      </c>
      <c r="W497" s="24">
        <f>IF($U497="",DATE(2100,12,31),$U497)</f>
        <v/>
      </c>
      <c r="X497" s="20">
        <f>IF($U497="",$K497,$K497*$S497)</f>
        <v/>
      </c>
      <c r="Y497" s="24">
        <f>IF($U497="",DATE(2100,12,31),$U497+1)</f>
        <v/>
      </c>
      <c r="Z497" s="24">
        <f>IF($U497="",DATE(1900,1,1),$O497)</f>
        <v/>
      </c>
      <c r="AA497" s="20">
        <f>IF($U497="",0,$K497*$T497)</f>
        <v/>
      </c>
    </row>
    <row r="498">
      <c r="A498" s="15" t="inlineStr">
        <is>
          <t>Colleen</t>
        </is>
      </c>
      <c r="B498" s="29">
        <f>IF($A498="","",IFERROR(INDEX(Roster!$B$2:$B$40,MATCH($A498,Roster!$A$2:$A$40,0)),"?"))</f>
        <v/>
      </c>
      <c r="C498" s="15" t="inlineStr">
        <is>
          <t>Delaware_1</t>
        </is>
      </c>
      <c r="D498" s="29">
        <f>IF($C498="","",IFERROR(IF(INDEX(Deals!$C$2:$C$355,MATCH($C498,Deals!$A$2:$A$355,0))=0,"",INDEX(Deals!$C$2:$C$355,MATCH($C498,Deals!$A$2:$A$355,0))),"?"))</f>
        <v/>
      </c>
      <c r="E498" s="29">
        <f>IF($C498="","",IFERROR(INDEX(Deals!$F$2:$F$355,MATCH($C498,Deals!$A$2:$A$355,0)),"?"))</f>
        <v/>
      </c>
      <c r="F498" s="15" t="inlineStr">
        <is>
          <t>Senior Associate</t>
        </is>
      </c>
      <c r="G498" s="15" t="inlineStr">
        <is>
          <t>Active</t>
        </is>
      </c>
      <c r="H498" s="27" t="n"/>
      <c r="I498" s="20">
        <f>IF(OR($A498="",$G498&lt;&gt;"Active"),0,IF($H498&lt;&gt;"",$H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</f>
        <v/>
      </c>
      <c r="J498" s="23">
        <f>IF($C498="",0,IFERROR(INDEX(Deals!$H$2:$H$355,MATCH($C498,Deals!$A$2:$A$355,0)),0))</f>
        <v/>
      </c>
      <c r="K498" s="20">
        <f>IF(Settings!$B$4="Yes",$I498*$J498,$I498)</f>
        <v/>
      </c>
      <c r="L498" s="31">
        <f>IF($C498="","",IFERROR(IF(INDEX(Deals!$I$2:$I$355,MATCH($C498,Deals!$A$2:$A$355,0))=0,"",INDEX(Deals!$I$2:$I$355,MATCH($C498,Deals!$A$2:$A$355,0))),""))</f>
        <v/>
      </c>
      <c r="M498" s="31">
        <f>IF($C498="","",IFERROR(IF(INDEX(Deals!$J$2:$J$355,MATCH($C498,Deals!$A$2:$A$355,0))=0,"",INDEX(Deals!$J$2:$J$355,MATCH($C498,Deals!$A$2:$A$355,0))),""))</f>
        <v/>
      </c>
      <c r="N498" s="24">
        <f>IF($L498="",DATE(1900,1,1),$L498)</f>
        <v/>
      </c>
      <c r="O498" s="24">
        <f>IF($M498="",DATE(2100,12,31),$M498)</f>
        <v/>
      </c>
      <c r="P498" s="16" t="inlineStr"/>
      <c r="Q498" s="16" t="inlineStr"/>
      <c r="R498" s="29">
        <f>IF($C498="","",IFERROR(IF(INDEX(Deals!$U$2:$U$355,MATCH($C498,Deals!$A$2:$A$355,0))=0,"",INDEX(Deals!$U$2:$U$355,MATCH($C498,Deals!$A$2:$A$355,0))),""))</f>
        <v/>
      </c>
      <c r="S498" s="22">
        <f>IFERROR(IF($U498="",1,INDEX(Deals!$V$2:$V$355,MATCH($C498,Deals!$A$2:$A$355,0))),1)</f>
        <v/>
      </c>
      <c r="T498" s="22">
        <f>IFERROR(IF($U498="",1,INDEX(Deals!$W$2:$W$355,MATCH($C498,Deals!$A$2:$A$355,0))),1)</f>
        <v/>
      </c>
      <c r="U498" s="31">
        <f>IF($C498="","",IFERROR(IF(INDEX(Deals!$Y$2:$Y$355,MATCH($C498,Deals!$A$2:$A$355,0))=0,"",INDEX(Deals!$Y$2:$Y$355,MATCH($C498,Deals!$A$2:$A$355,0))),""))</f>
        <v/>
      </c>
      <c r="V498" s="24">
        <f>IF($U498="",DATE(1900,1,1),$N498)</f>
        <v/>
      </c>
      <c r="W498" s="24">
        <f>IF($U498="",DATE(2100,12,31),$U498)</f>
        <v/>
      </c>
      <c r="X498" s="20">
        <f>IF($U498="",$K498,$K498*$S498)</f>
        <v/>
      </c>
      <c r="Y498" s="24">
        <f>IF($U498="",DATE(2100,12,31),$U498+1)</f>
        <v/>
      </c>
      <c r="Z498" s="24">
        <f>IF($U498="",DATE(1900,1,1),$O498)</f>
        <v/>
      </c>
      <c r="AA498" s="20">
        <f>IF($U498="",0,$K498*$T498)</f>
        <v/>
      </c>
    </row>
    <row r="499">
      <c r="A499" s="15" t="inlineStr">
        <is>
          <t>Colleen</t>
        </is>
      </c>
      <c r="B499" s="29">
        <f>IF($A499="","",IFERROR(INDEX(Roster!$B$2:$B$40,MATCH($A499,Roster!$A$2:$A$40,0)),"?"))</f>
        <v/>
      </c>
      <c r="C499" s="15" t="inlineStr">
        <is>
          <t>Dupont_1</t>
        </is>
      </c>
      <c r="D499" s="29">
        <f>IF($C499="","",IFERROR(IF(INDEX(Deals!$C$2:$C$355,MATCH($C499,Deals!$A$2:$A$355,0))=0,"",INDEX(Deals!$C$2:$C$355,MATCH($C499,Deals!$A$2:$A$355,0))),"?"))</f>
        <v/>
      </c>
      <c r="E499" s="29">
        <f>IF($C499="","",IFERROR(INDEX(Deals!$F$2:$F$355,MATCH($C499,Deals!$A$2:$A$355,0)),"?"))</f>
        <v/>
      </c>
      <c r="F499" s="15" t="inlineStr">
        <is>
          <t>Senior Associate</t>
        </is>
      </c>
      <c r="G499" s="15" t="inlineStr">
        <is>
          <t>Active</t>
        </is>
      </c>
      <c r="H499" s="27" t="n"/>
      <c r="I499" s="20">
        <f>IF(OR($A499="",$G499&lt;&gt;"Active"),0,IF($H499&lt;&gt;"",$H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</f>
        <v/>
      </c>
      <c r="J499" s="23">
        <f>IF($C499="",0,IFERROR(INDEX(Deals!$H$2:$H$355,MATCH($C499,Deals!$A$2:$A$355,0)),0))</f>
        <v/>
      </c>
      <c r="K499" s="20">
        <f>IF(Settings!$B$4="Yes",$I499*$J499,$I499)</f>
        <v/>
      </c>
      <c r="L499" s="31">
        <f>IF($C499="","",IFERROR(IF(INDEX(Deals!$I$2:$I$355,MATCH($C499,Deals!$A$2:$A$355,0))=0,"",INDEX(Deals!$I$2:$I$355,MATCH($C499,Deals!$A$2:$A$355,0))),""))</f>
        <v/>
      </c>
      <c r="M499" s="31">
        <f>IF($C499="","",IFERROR(IF(INDEX(Deals!$J$2:$J$355,MATCH($C499,Deals!$A$2:$A$355,0))=0,"",INDEX(Deals!$J$2:$J$355,MATCH($C499,Deals!$A$2:$A$355,0))),""))</f>
        <v/>
      </c>
      <c r="N499" s="24">
        <f>IF($L499="",DATE(1900,1,1),$L499)</f>
        <v/>
      </c>
      <c r="O499" s="24">
        <f>IF($M499="",DATE(2100,12,31),$M499)</f>
        <v/>
      </c>
      <c r="P499" s="16" t="inlineStr">
        <is>
          <t>Ongoing</t>
        </is>
      </c>
      <c r="Q499" s="16" t="inlineStr"/>
      <c r="R499" s="29">
        <f>IF($C499="","",IFERROR(IF(INDEX(Deals!$U$2:$U$355,MATCH($C499,Deals!$A$2:$A$355,0))=0,"",INDEX(Deals!$U$2:$U$355,MATCH($C499,Deals!$A$2:$A$355,0))),""))</f>
        <v/>
      </c>
      <c r="S499" s="22">
        <f>IFERROR(IF($U499="",1,INDEX(Deals!$V$2:$V$355,MATCH($C499,Deals!$A$2:$A$355,0))),1)</f>
        <v/>
      </c>
      <c r="T499" s="22">
        <f>IFERROR(IF($U499="",1,INDEX(Deals!$W$2:$W$355,MATCH($C499,Deals!$A$2:$A$355,0))),1)</f>
        <v/>
      </c>
      <c r="U499" s="31">
        <f>IF($C499="","",IFERROR(IF(INDEX(Deals!$Y$2:$Y$355,MATCH($C499,Deals!$A$2:$A$355,0))=0,"",INDEX(Deals!$Y$2:$Y$355,MATCH($C499,Deals!$A$2:$A$355,0))),""))</f>
        <v/>
      </c>
      <c r="V499" s="24">
        <f>IF($U499="",DATE(1900,1,1),$N499)</f>
        <v/>
      </c>
      <c r="W499" s="24">
        <f>IF($U499="",DATE(2100,12,31),$U499)</f>
        <v/>
      </c>
      <c r="X499" s="20">
        <f>IF($U499="",$K499,$K499*$S499)</f>
        <v/>
      </c>
      <c r="Y499" s="24">
        <f>IF($U499="",DATE(2100,12,31),$U499+1)</f>
        <v/>
      </c>
      <c r="Z499" s="24">
        <f>IF($U499="",DATE(1900,1,1),$O499)</f>
        <v/>
      </c>
      <c r="AA499" s="20">
        <f>IF($U499="",0,$K499*$T499)</f>
        <v/>
      </c>
    </row>
    <row r="500">
      <c r="A500" s="15" t="inlineStr">
        <is>
          <t>Colleen</t>
        </is>
      </c>
      <c r="B500" s="29">
        <f>IF($A500="","",IFERROR(INDEX(Roster!$B$2:$B$40,MATCH($A500,Roster!$A$2:$A$40,0)),"?"))</f>
        <v/>
      </c>
      <c r="C500" s="15" t="inlineStr">
        <is>
          <t>Eagle_7</t>
        </is>
      </c>
      <c r="D500" s="29">
        <f>IF($C500="","",IFERROR(IF(INDEX(Deals!$C$2:$C$355,MATCH($C500,Deals!$A$2:$A$355,0))=0,"",INDEX(Deals!$C$2:$C$355,MATCH($C500,Deals!$A$2:$A$355,0))),"?"))</f>
        <v/>
      </c>
      <c r="E500" s="29">
        <f>IF($C500="","",IFERROR(INDEX(Deals!$F$2:$F$355,MATCH($C500,Deals!$A$2:$A$355,0)),"?"))</f>
        <v/>
      </c>
      <c r="F500" s="15" t="inlineStr">
        <is>
          <t>Senior Associate</t>
        </is>
      </c>
      <c r="G500" s="15" t="inlineStr">
        <is>
          <t>Inactive</t>
        </is>
      </c>
      <c r="H500" s="27" t="n"/>
      <c r="I500" s="20">
        <f>IF(OR($A500="",$G500&lt;&gt;"Active"),0,IF($H500&lt;&gt;"",$H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</f>
        <v/>
      </c>
      <c r="J500" s="23">
        <f>IF($C500="",0,IFERROR(INDEX(Deals!$H$2:$H$355,MATCH($C500,Deals!$A$2:$A$355,0)),0))</f>
        <v/>
      </c>
      <c r="K500" s="20">
        <f>IF(Settings!$B$4="Yes",$I500*$J500,$I500)</f>
        <v/>
      </c>
      <c r="L500" s="31">
        <f>IF($C500="","",IFERROR(IF(INDEX(Deals!$I$2:$I$355,MATCH($C500,Deals!$A$2:$A$355,0))=0,"",INDEX(Deals!$I$2:$I$355,MATCH($C500,Deals!$A$2:$A$355,0))),""))</f>
        <v/>
      </c>
      <c r="M500" s="31">
        <f>IF($C500="","",IFERROR(IF(INDEX(Deals!$J$2:$J$355,MATCH($C500,Deals!$A$2:$A$355,0))=0,"",INDEX(Deals!$J$2:$J$355,MATCH($C500,Deals!$A$2:$A$355,0))),""))</f>
        <v/>
      </c>
      <c r="N500" s="24">
        <f>IF($L500="",DATE(1900,1,1),$L500)</f>
        <v/>
      </c>
      <c r="O500" s="24">
        <f>IF($M500="",DATE(2100,12,31),$M500)</f>
        <v/>
      </c>
      <c r="P500" s="16" t="inlineStr">
        <is>
          <t>Dead</t>
        </is>
      </c>
      <c r="Q500" s="16" t="inlineStr"/>
      <c r="R500" s="29">
        <f>IF($C500="","",IFERROR(IF(INDEX(Deals!$U$2:$U$355,MATCH($C500,Deals!$A$2:$A$355,0))=0,"",INDEX(Deals!$U$2:$U$355,MATCH($C500,Deals!$A$2:$A$355,0))),""))</f>
        <v/>
      </c>
      <c r="S500" s="22">
        <f>IFERROR(IF($U500="",1,INDEX(Deals!$V$2:$V$355,MATCH($C500,Deals!$A$2:$A$355,0))),1)</f>
        <v/>
      </c>
      <c r="T500" s="22">
        <f>IFERROR(IF($U500="",1,INDEX(Deals!$W$2:$W$355,MATCH($C500,Deals!$A$2:$A$355,0))),1)</f>
        <v/>
      </c>
      <c r="U500" s="31">
        <f>IF($C500="","",IFERROR(IF(INDEX(Deals!$Y$2:$Y$355,MATCH($C500,Deals!$A$2:$A$355,0))=0,"",INDEX(Deals!$Y$2:$Y$355,MATCH($C500,Deals!$A$2:$A$355,0))),""))</f>
        <v/>
      </c>
      <c r="V500" s="24">
        <f>IF($U500="",DATE(1900,1,1),$N500)</f>
        <v/>
      </c>
      <c r="W500" s="24">
        <f>IF($U500="",DATE(2100,12,31),$U500)</f>
        <v/>
      </c>
      <c r="X500" s="20">
        <f>IF($U500="",$K500,$K500*$S500)</f>
        <v/>
      </c>
      <c r="Y500" s="24">
        <f>IF($U500="",DATE(2100,12,31),$U500+1)</f>
        <v/>
      </c>
      <c r="Z500" s="24">
        <f>IF($U500="",DATE(1900,1,1),$O500)</f>
        <v/>
      </c>
      <c r="AA500" s="20">
        <f>IF($U500="",0,$K500*$T500)</f>
        <v/>
      </c>
    </row>
    <row r="501">
      <c r="A501" s="15" t="inlineStr">
        <is>
          <t>Colleen</t>
        </is>
      </c>
      <c r="B501" s="29">
        <f>IF($A501="","",IFERROR(INDEX(Roster!$B$2:$B$40,MATCH($A501,Roster!$A$2:$A$40,0)),"?"))</f>
        <v/>
      </c>
      <c r="C501" s="15" t="inlineStr">
        <is>
          <t>Edward_1</t>
        </is>
      </c>
      <c r="D501" s="29">
        <f>IF($C501="","",IFERROR(IF(INDEX(Deals!$C$2:$C$355,MATCH($C501,Deals!$A$2:$A$355,0))=0,"",INDEX(Deals!$C$2:$C$355,MATCH($C501,Deals!$A$2:$A$355,0))),"?"))</f>
        <v/>
      </c>
      <c r="E501" s="29">
        <f>IF($C501="","",IFERROR(INDEX(Deals!$F$2:$F$355,MATCH($C501,Deals!$A$2:$A$355,0)),"?"))</f>
        <v/>
      </c>
      <c r="F501" s="15" t="inlineStr">
        <is>
          <t>Senior Associate</t>
        </is>
      </c>
      <c r="G501" s="15" t="inlineStr">
        <is>
          <t>Inactive</t>
        </is>
      </c>
      <c r="H501" s="27" t="n"/>
      <c r="I501" s="20">
        <f>IF(OR($A501="",$G501&lt;&gt;"Active"),0,IF($H501&lt;&gt;"",$H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</f>
        <v/>
      </c>
      <c r="J501" s="23">
        <f>IF($C501="",0,IFERROR(INDEX(Deals!$H$2:$H$355,MATCH($C501,Deals!$A$2:$A$355,0)),0))</f>
        <v/>
      </c>
      <c r="K501" s="20">
        <f>IF(Settings!$B$4="Yes",$I501*$J501,$I501)</f>
        <v/>
      </c>
      <c r="L501" s="31">
        <f>IF($C501="","",IFERROR(IF(INDEX(Deals!$I$2:$I$355,MATCH($C501,Deals!$A$2:$A$355,0))=0,"",INDEX(Deals!$I$2:$I$355,MATCH($C501,Deals!$A$2:$A$355,0))),""))</f>
        <v/>
      </c>
      <c r="M501" s="31">
        <f>IF($C501="","",IFERROR(IF(INDEX(Deals!$J$2:$J$355,MATCH($C501,Deals!$A$2:$A$355,0))=0,"",INDEX(Deals!$J$2:$J$355,MATCH($C501,Deals!$A$2:$A$355,0))),""))</f>
        <v/>
      </c>
      <c r="N501" s="24">
        <f>IF($L501="",DATE(1900,1,1),$L501)</f>
        <v/>
      </c>
      <c r="O501" s="24">
        <f>IF($M501="",DATE(2100,12,31),$M501)</f>
        <v/>
      </c>
      <c r="P501" s="16" t="inlineStr">
        <is>
          <t>Closed</t>
        </is>
      </c>
      <c r="Q501" s="16" t="inlineStr"/>
      <c r="R501" s="29">
        <f>IF($C501="","",IFERROR(IF(INDEX(Deals!$U$2:$U$355,MATCH($C501,Deals!$A$2:$A$355,0))=0,"",INDEX(Deals!$U$2:$U$355,MATCH($C501,Deals!$A$2:$A$355,0))),""))</f>
        <v/>
      </c>
      <c r="S501" s="22">
        <f>IFERROR(IF($U501="",1,INDEX(Deals!$V$2:$V$355,MATCH($C501,Deals!$A$2:$A$355,0))),1)</f>
        <v/>
      </c>
      <c r="T501" s="22">
        <f>IFERROR(IF($U501="",1,INDEX(Deals!$W$2:$W$355,MATCH($C501,Deals!$A$2:$A$355,0))),1)</f>
        <v/>
      </c>
      <c r="U501" s="31">
        <f>IF($C501="","",IFERROR(IF(INDEX(Deals!$Y$2:$Y$355,MATCH($C501,Deals!$A$2:$A$355,0))=0,"",INDEX(Deals!$Y$2:$Y$355,MATCH($C501,Deals!$A$2:$A$355,0))),""))</f>
        <v/>
      </c>
      <c r="V501" s="24">
        <f>IF($U501="",DATE(1900,1,1),$N501)</f>
        <v/>
      </c>
      <c r="W501" s="24">
        <f>IF($U501="",DATE(2100,12,31),$U501)</f>
        <v/>
      </c>
      <c r="X501" s="20">
        <f>IF($U501="",$K501,$K501*$S501)</f>
        <v/>
      </c>
      <c r="Y501" s="24">
        <f>IF($U501="",DATE(2100,12,31),$U501+1)</f>
        <v/>
      </c>
      <c r="Z501" s="24">
        <f>IF($U501="",DATE(1900,1,1),$O501)</f>
        <v/>
      </c>
      <c r="AA501" s="20">
        <f>IF($U501="",0,$K501*$T501)</f>
        <v/>
      </c>
    </row>
    <row r="502">
      <c r="A502" s="15" t="inlineStr">
        <is>
          <t>Colleen</t>
        </is>
      </c>
      <c r="B502" s="29">
        <f>IF($A502="","",IFERROR(INDEX(Roster!$B$2:$B$40,MATCH($A502,Roster!$A$2:$A$40,0)),"?"))</f>
        <v/>
      </c>
      <c r="C502" s="15" t="inlineStr">
        <is>
          <t>FAUME US Expansion_1</t>
        </is>
      </c>
      <c r="D502" s="29">
        <f>IF($C502="","",IFERROR(IF(INDEX(Deals!$C$2:$C$355,MATCH($C502,Deals!$A$2:$A$355,0))=0,"",INDEX(Deals!$C$2:$C$355,MATCH($C502,Deals!$A$2:$A$355,0))),"?"))</f>
        <v/>
      </c>
      <c r="E502" s="29">
        <f>IF($C502="","",IFERROR(INDEX(Deals!$F$2:$F$355,MATCH($C502,Deals!$A$2:$A$355,0)),"?"))</f>
        <v/>
      </c>
      <c r="F502" s="15" t="inlineStr">
        <is>
          <t>Senior Associate</t>
        </is>
      </c>
      <c r="G502" s="15" t="inlineStr">
        <is>
          <t>Active</t>
        </is>
      </c>
      <c r="H502" s="27" t="n"/>
      <c r="I502" s="20">
        <f>IF(OR($A502="",$G502&lt;&gt;"Active"),0,IF($H502&lt;&gt;"",$H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</f>
        <v/>
      </c>
      <c r="J502" s="23">
        <f>IF($C502="",0,IFERROR(INDEX(Deals!$H$2:$H$355,MATCH($C502,Deals!$A$2:$A$355,0)),0))</f>
        <v/>
      </c>
      <c r="K502" s="20">
        <f>IF(Settings!$B$4="Yes",$I502*$J502,$I502)</f>
        <v/>
      </c>
      <c r="L502" s="31">
        <f>IF($C502="","",IFERROR(IF(INDEX(Deals!$I$2:$I$355,MATCH($C502,Deals!$A$2:$A$355,0))=0,"",INDEX(Deals!$I$2:$I$355,MATCH($C502,Deals!$A$2:$A$355,0))),""))</f>
        <v/>
      </c>
      <c r="M502" s="31">
        <f>IF($C502="","",IFERROR(IF(INDEX(Deals!$J$2:$J$355,MATCH($C502,Deals!$A$2:$A$355,0))=0,"",INDEX(Deals!$J$2:$J$355,MATCH($C502,Deals!$A$2:$A$355,0))),""))</f>
        <v/>
      </c>
      <c r="N502" s="24">
        <f>IF($L502="",DATE(1900,1,1),$L502)</f>
        <v/>
      </c>
      <c r="O502" s="24">
        <f>IF($M502="",DATE(2100,12,31),$M502)</f>
        <v/>
      </c>
      <c r="P502" s="16" t="inlineStr">
        <is>
          <t>Proposal</t>
        </is>
      </c>
      <c r="Q502" s="16" t="inlineStr"/>
      <c r="R502" s="29">
        <f>IF($C502="","",IFERROR(IF(INDEX(Deals!$U$2:$U$355,MATCH($C502,Deals!$A$2:$A$355,0))=0,"",INDEX(Deals!$U$2:$U$355,MATCH($C502,Deals!$A$2:$A$355,0))),""))</f>
        <v/>
      </c>
      <c r="S502" s="22">
        <f>IFERROR(IF($U502="",1,INDEX(Deals!$V$2:$V$355,MATCH($C502,Deals!$A$2:$A$355,0))),1)</f>
        <v/>
      </c>
      <c r="T502" s="22">
        <f>IFERROR(IF($U502="",1,INDEX(Deals!$W$2:$W$355,MATCH($C502,Deals!$A$2:$A$355,0))),1)</f>
        <v/>
      </c>
      <c r="U502" s="31">
        <f>IF($C502="","",IFERROR(IF(INDEX(Deals!$Y$2:$Y$355,MATCH($C502,Deals!$A$2:$A$355,0))=0,"",INDEX(Deals!$Y$2:$Y$355,MATCH($C502,Deals!$A$2:$A$355,0))),""))</f>
        <v/>
      </c>
      <c r="V502" s="24">
        <f>IF($U502="",DATE(1900,1,1),$N502)</f>
        <v/>
      </c>
      <c r="W502" s="24">
        <f>IF($U502="",DATE(2100,12,31),$U502)</f>
        <v/>
      </c>
      <c r="X502" s="20">
        <f>IF($U502="",$K502,$K502*$S502)</f>
        <v/>
      </c>
      <c r="Y502" s="24">
        <f>IF($U502="",DATE(2100,12,31),$U502+1)</f>
        <v/>
      </c>
      <c r="Z502" s="24">
        <f>IF($U502="",DATE(1900,1,1),$O502)</f>
        <v/>
      </c>
      <c r="AA502" s="20">
        <f>IF($U502="",0,$K502*$T502)</f>
        <v/>
      </c>
    </row>
    <row r="503">
      <c r="A503" s="15" t="inlineStr">
        <is>
          <t>Colleen</t>
        </is>
      </c>
      <c r="B503" s="29">
        <f>IF($A503="","",IFERROR(INDEX(Roster!$B$2:$B$40,MATCH($A503,Roster!$A$2:$A$40,0)),"?"))</f>
        <v/>
      </c>
      <c r="C503" s="15" t="inlineStr">
        <is>
          <t>Fury_1</t>
        </is>
      </c>
      <c r="D503" s="29">
        <f>IF($C503="","",IFERROR(IF(INDEX(Deals!$C$2:$C$355,MATCH($C503,Deals!$A$2:$A$355,0))=0,"",INDEX(Deals!$C$2:$C$355,MATCH($C503,Deals!$A$2:$A$355,0))),"?"))</f>
        <v/>
      </c>
      <c r="E503" s="29">
        <f>IF($C503="","",IFERROR(INDEX(Deals!$F$2:$F$355,MATCH($C503,Deals!$A$2:$A$355,0)),"?"))</f>
        <v/>
      </c>
      <c r="F503" s="15" t="inlineStr">
        <is>
          <t>Senior Associate</t>
        </is>
      </c>
      <c r="G503" s="15" t="inlineStr">
        <is>
          <t>Active</t>
        </is>
      </c>
      <c r="H503" s="27" t="n"/>
      <c r="I503" s="20">
        <f>IF(OR($A503="",$G503&lt;&gt;"Active"),0,IF($H503&lt;&gt;"",$H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</f>
        <v/>
      </c>
      <c r="J503" s="23">
        <f>IF($C503="",0,IFERROR(INDEX(Deals!$H$2:$H$355,MATCH($C503,Deals!$A$2:$A$355,0)),0))</f>
        <v/>
      </c>
      <c r="K503" s="20">
        <f>IF(Settings!$B$4="Yes",$I503*$J503,$I503)</f>
        <v/>
      </c>
      <c r="L503" s="31">
        <f>IF($C503="","",IFERROR(IF(INDEX(Deals!$I$2:$I$355,MATCH($C503,Deals!$A$2:$A$355,0))=0,"",INDEX(Deals!$I$2:$I$355,MATCH($C503,Deals!$A$2:$A$355,0))),""))</f>
        <v/>
      </c>
      <c r="M503" s="31">
        <f>IF($C503="","",IFERROR(IF(INDEX(Deals!$J$2:$J$355,MATCH($C503,Deals!$A$2:$A$355,0))=0,"",INDEX(Deals!$J$2:$J$355,MATCH($C503,Deals!$A$2:$A$355,0))),""))</f>
        <v/>
      </c>
      <c r="N503" s="24">
        <f>IF($L503="",DATE(1900,1,1),$L503)</f>
        <v/>
      </c>
      <c r="O503" s="24">
        <f>IF($M503="",DATE(2100,12,31),$M503)</f>
        <v/>
      </c>
      <c r="P503" s="16" t="inlineStr"/>
      <c r="Q503" s="16" t="inlineStr"/>
      <c r="R503" s="29">
        <f>IF($C503="","",IFERROR(IF(INDEX(Deals!$U$2:$U$355,MATCH($C503,Deals!$A$2:$A$355,0))=0,"",INDEX(Deals!$U$2:$U$355,MATCH($C503,Deals!$A$2:$A$355,0))),""))</f>
        <v/>
      </c>
      <c r="S503" s="22">
        <f>IFERROR(IF($U503="",1,INDEX(Deals!$V$2:$V$355,MATCH($C503,Deals!$A$2:$A$355,0))),1)</f>
        <v/>
      </c>
      <c r="T503" s="22">
        <f>IFERROR(IF($U503="",1,INDEX(Deals!$W$2:$W$355,MATCH($C503,Deals!$A$2:$A$355,0))),1)</f>
        <v/>
      </c>
      <c r="U503" s="31">
        <f>IF($C503="","",IFERROR(IF(INDEX(Deals!$Y$2:$Y$355,MATCH($C503,Deals!$A$2:$A$355,0))=0,"",INDEX(Deals!$Y$2:$Y$355,MATCH($C503,Deals!$A$2:$A$355,0))),""))</f>
        <v/>
      </c>
      <c r="V503" s="24">
        <f>IF($U503="",DATE(1900,1,1),$N503)</f>
        <v/>
      </c>
      <c r="W503" s="24">
        <f>IF($U503="",DATE(2100,12,31),$U503)</f>
        <v/>
      </c>
      <c r="X503" s="20">
        <f>IF($U503="",$K503,$K503*$S503)</f>
        <v/>
      </c>
      <c r="Y503" s="24">
        <f>IF($U503="",DATE(2100,12,31),$U503+1)</f>
        <v/>
      </c>
      <c r="Z503" s="24">
        <f>IF($U503="",DATE(1900,1,1),$O503)</f>
        <v/>
      </c>
      <c r="AA503" s="20">
        <f>IF($U503="",0,$K503*$T503)</f>
        <v/>
      </c>
    </row>
    <row r="504">
      <c r="A504" s="15" t="inlineStr">
        <is>
          <t>Colleen</t>
        </is>
      </c>
      <c r="B504" s="29">
        <f>IF($A504="","",IFERROR(INDEX(Roster!$B$2:$B$40,MATCH($A504,Roster!$A$2:$A$40,0)),"?"))</f>
        <v/>
      </c>
      <c r="C504" s="15" t="inlineStr">
        <is>
          <t>Gambit_1</t>
        </is>
      </c>
      <c r="D504" s="29">
        <f>IF($C504="","",IFERROR(IF(INDEX(Deals!$C$2:$C$355,MATCH($C504,Deals!$A$2:$A$355,0))=0,"",INDEX(Deals!$C$2:$C$355,MATCH($C504,Deals!$A$2:$A$355,0))),"?"))</f>
        <v/>
      </c>
      <c r="E504" s="29">
        <f>IF($C504="","",IFERROR(INDEX(Deals!$F$2:$F$355,MATCH($C504,Deals!$A$2:$A$355,0)),"?"))</f>
        <v/>
      </c>
      <c r="F504" s="15" t="inlineStr">
        <is>
          <t>Senior Associate</t>
        </is>
      </c>
      <c r="G504" s="15" t="inlineStr">
        <is>
          <t>Active</t>
        </is>
      </c>
      <c r="H504" s="27" t="n"/>
      <c r="I504" s="20">
        <f>IF(OR($A504="",$G504&lt;&gt;"Active"),0,IF($H504&lt;&gt;"",$H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</f>
        <v/>
      </c>
      <c r="J504" s="23">
        <f>IF($C504="",0,IFERROR(INDEX(Deals!$H$2:$H$355,MATCH($C504,Deals!$A$2:$A$355,0)),0))</f>
        <v/>
      </c>
      <c r="K504" s="20">
        <f>IF(Settings!$B$4="Yes",$I504*$J504,$I504)</f>
        <v/>
      </c>
      <c r="L504" s="31">
        <f>IF($C504="","",IFERROR(IF(INDEX(Deals!$I$2:$I$355,MATCH($C504,Deals!$A$2:$A$355,0))=0,"",INDEX(Deals!$I$2:$I$355,MATCH($C504,Deals!$A$2:$A$355,0))),""))</f>
        <v/>
      </c>
      <c r="M504" s="31">
        <f>IF($C504="","",IFERROR(IF(INDEX(Deals!$J$2:$J$355,MATCH($C504,Deals!$A$2:$A$355,0))=0,"",INDEX(Deals!$J$2:$J$355,MATCH($C504,Deals!$A$2:$A$355,0))),""))</f>
        <v/>
      </c>
      <c r="N504" s="24">
        <f>IF($L504="",DATE(1900,1,1),$L504)</f>
        <v/>
      </c>
      <c r="O504" s="24">
        <f>IF($M504="",DATE(2100,12,31),$M504)</f>
        <v/>
      </c>
      <c r="P504" s="16" t="inlineStr">
        <is>
          <t>Ongoing</t>
        </is>
      </c>
      <c r="Q504" s="16" t="inlineStr"/>
      <c r="R504" s="29">
        <f>IF($C504="","",IFERROR(IF(INDEX(Deals!$U$2:$U$355,MATCH($C504,Deals!$A$2:$A$355,0))=0,"",INDEX(Deals!$U$2:$U$355,MATCH($C504,Deals!$A$2:$A$355,0))),""))</f>
        <v/>
      </c>
      <c r="S504" s="22">
        <f>IFERROR(IF($U504="",1,INDEX(Deals!$V$2:$V$355,MATCH($C504,Deals!$A$2:$A$355,0))),1)</f>
        <v/>
      </c>
      <c r="T504" s="22">
        <f>IFERROR(IF($U504="",1,INDEX(Deals!$W$2:$W$355,MATCH($C504,Deals!$A$2:$A$355,0))),1)</f>
        <v/>
      </c>
      <c r="U504" s="31">
        <f>IF($C504="","",IFERROR(IF(INDEX(Deals!$Y$2:$Y$355,MATCH($C504,Deals!$A$2:$A$355,0))=0,"",INDEX(Deals!$Y$2:$Y$355,MATCH($C504,Deals!$A$2:$A$355,0))),""))</f>
        <v/>
      </c>
      <c r="V504" s="24">
        <f>IF($U504="",DATE(1900,1,1),$N504)</f>
        <v/>
      </c>
      <c r="W504" s="24">
        <f>IF($U504="",DATE(2100,12,31),$U504)</f>
        <v/>
      </c>
      <c r="X504" s="20">
        <f>IF($U504="",$K504,$K504*$S504)</f>
        <v/>
      </c>
      <c r="Y504" s="24">
        <f>IF($U504="",DATE(2100,12,31),$U504+1)</f>
        <v/>
      </c>
      <c r="Z504" s="24">
        <f>IF($U504="",DATE(1900,1,1),$O504)</f>
        <v/>
      </c>
      <c r="AA504" s="20">
        <f>IF($U504="",0,$K504*$T504)</f>
        <v/>
      </c>
    </row>
    <row r="505">
      <c r="A505" s="15" t="inlineStr">
        <is>
          <t>Colleen</t>
        </is>
      </c>
      <c r="B505" s="29">
        <f>IF($A505="","",IFERROR(INDEX(Roster!$B$2:$B$40,MATCH($A505,Roster!$A$2:$A$40,0)),"?"))</f>
        <v/>
      </c>
      <c r="C505" s="15" t="inlineStr">
        <is>
          <t>Georgia_3</t>
        </is>
      </c>
      <c r="D505" s="29">
        <f>IF($C505="","",IFERROR(IF(INDEX(Deals!$C$2:$C$355,MATCH($C505,Deals!$A$2:$A$355,0))=0,"",INDEX(Deals!$C$2:$C$355,MATCH($C505,Deals!$A$2:$A$355,0))),"?"))</f>
        <v/>
      </c>
      <c r="E505" s="29">
        <f>IF($C505="","",IFERROR(INDEX(Deals!$F$2:$F$355,MATCH($C505,Deals!$A$2:$A$355,0)),"?"))</f>
        <v/>
      </c>
      <c r="F505" s="15" t="inlineStr">
        <is>
          <t>Senior Associate</t>
        </is>
      </c>
      <c r="G505" s="15" t="inlineStr">
        <is>
          <t>Inactive</t>
        </is>
      </c>
      <c r="H505" s="27" t="n"/>
      <c r="I505" s="20">
        <f>IF(OR($A505="",$G505&lt;&gt;"Active"),0,IF($H505&lt;&gt;"",$H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</f>
        <v/>
      </c>
      <c r="J505" s="23">
        <f>IF($C505="",0,IFERROR(INDEX(Deals!$H$2:$H$355,MATCH($C505,Deals!$A$2:$A$355,0)),0))</f>
        <v/>
      </c>
      <c r="K505" s="20">
        <f>IF(Settings!$B$4="Yes",$I505*$J505,$I505)</f>
        <v/>
      </c>
      <c r="L505" s="31">
        <f>IF($C505="","",IFERROR(IF(INDEX(Deals!$I$2:$I$355,MATCH($C505,Deals!$A$2:$A$355,0))=0,"",INDEX(Deals!$I$2:$I$355,MATCH($C505,Deals!$A$2:$A$355,0))),""))</f>
        <v/>
      </c>
      <c r="M505" s="31">
        <f>IF($C505="","",IFERROR(IF(INDEX(Deals!$J$2:$J$355,MATCH($C505,Deals!$A$2:$A$355,0))=0,"",INDEX(Deals!$J$2:$J$355,MATCH($C505,Deals!$A$2:$A$355,0))),""))</f>
        <v/>
      </c>
      <c r="N505" s="24">
        <f>IF($L505="",DATE(1900,1,1),$L505)</f>
        <v/>
      </c>
      <c r="O505" s="24">
        <f>IF($M505="",DATE(2100,12,31),$M505)</f>
        <v/>
      </c>
      <c r="P505" s="16" t="inlineStr">
        <is>
          <t>Dead</t>
        </is>
      </c>
      <c r="Q505" s="16" t="inlineStr"/>
      <c r="R505" s="29">
        <f>IF($C505="","",IFERROR(IF(INDEX(Deals!$U$2:$U$355,MATCH($C505,Deals!$A$2:$A$355,0))=0,"",INDEX(Deals!$U$2:$U$355,MATCH($C505,Deals!$A$2:$A$355,0))),""))</f>
        <v/>
      </c>
      <c r="S505" s="22">
        <f>IFERROR(IF($U505="",1,INDEX(Deals!$V$2:$V$355,MATCH($C505,Deals!$A$2:$A$355,0))),1)</f>
        <v/>
      </c>
      <c r="T505" s="22">
        <f>IFERROR(IF($U505="",1,INDEX(Deals!$W$2:$W$355,MATCH($C505,Deals!$A$2:$A$355,0))),1)</f>
        <v/>
      </c>
      <c r="U505" s="31">
        <f>IF($C505="","",IFERROR(IF(INDEX(Deals!$Y$2:$Y$355,MATCH($C505,Deals!$A$2:$A$355,0))=0,"",INDEX(Deals!$Y$2:$Y$355,MATCH($C505,Deals!$A$2:$A$355,0))),""))</f>
        <v/>
      </c>
      <c r="V505" s="24">
        <f>IF($U505="",DATE(1900,1,1),$N505)</f>
        <v/>
      </c>
      <c r="W505" s="24">
        <f>IF($U505="",DATE(2100,12,31),$U505)</f>
        <v/>
      </c>
      <c r="X505" s="20">
        <f>IF($U505="",$K505,$K505*$S505)</f>
        <v/>
      </c>
      <c r="Y505" s="24">
        <f>IF($U505="",DATE(2100,12,31),$U505+1)</f>
        <v/>
      </c>
      <c r="Z505" s="24">
        <f>IF($U505="",DATE(1900,1,1),$O505)</f>
        <v/>
      </c>
      <c r="AA505" s="20">
        <f>IF($U505="",0,$K505*$T505)</f>
        <v/>
      </c>
    </row>
    <row r="506">
      <c r="A506" s="15" t="inlineStr">
        <is>
          <t>Colleen</t>
        </is>
      </c>
      <c r="B506" s="29">
        <f>IF($A506="","",IFERROR(INDEX(Roster!$B$2:$B$40,MATCH($A506,Roster!$A$2:$A$40,0)),"?"))</f>
        <v/>
      </c>
      <c r="C506" s="15" t="inlineStr">
        <is>
          <t>Guardian_3</t>
        </is>
      </c>
      <c r="D506" s="29">
        <f>IF($C506="","",IFERROR(IF(INDEX(Deals!$C$2:$C$355,MATCH($C506,Deals!$A$2:$A$355,0))=0,"",INDEX(Deals!$C$2:$C$355,MATCH($C506,Deals!$A$2:$A$355,0))),"?"))</f>
        <v/>
      </c>
      <c r="E506" s="29">
        <f>IF($C506="","",IFERROR(INDEX(Deals!$F$2:$F$355,MATCH($C506,Deals!$A$2:$A$355,0)),"?"))</f>
        <v/>
      </c>
      <c r="F506" s="15" t="inlineStr">
        <is>
          <t>Senior Associate</t>
        </is>
      </c>
      <c r="G506" s="15" t="inlineStr">
        <is>
          <t>Inactive</t>
        </is>
      </c>
      <c r="H506" s="27" t="n"/>
      <c r="I506" s="20">
        <f>IF(OR($A506="",$G506&lt;&gt;"Active"),0,IF($H506&lt;&gt;"",$H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</f>
        <v/>
      </c>
      <c r="J506" s="23">
        <f>IF($C506="",0,IFERROR(INDEX(Deals!$H$2:$H$355,MATCH($C506,Deals!$A$2:$A$355,0)),0))</f>
        <v/>
      </c>
      <c r="K506" s="20">
        <f>IF(Settings!$B$4="Yes",$I506*$J506,$I506)</f>
        <v/>
      </c>
      <c r="L506" s="31">
        <f>IF($C506="","",IFERROR(IF(INDEX(Deals!$I$2:$I$355,MATCH($C506,Deals!$A$2:$A$355,0))=0,"",INDEX(Deals!$I$2:$I$355,MATCH($C506,Deals!$A$2:$A$355,0))),""))</f>
        <v/>
      </c>
      <c r="M506" s="31">
        <f>IF($C506="","",IFERROR(IF(INDEX(Deals!$J$2:$J$355,MATCH($C506,Deals!$A$2:$A$355,0))=0,"",INDEX(Deals!$J$2:$J$355,MATCH($C506,Deals!$A$2:$A$355,0))),""))</f>
        <v/>
      </c>
      <c r="N506" s="24">
        <f>IF($L506="",DATE(1900,1,1),$L506)</f>
        <v/>
      </c>
      <c r="O506" s="24">
        <f>IF($M506="",DATE(2100,12,31),$M506)</f>
        <v/>
      </c>
      <c r="P506" s="16" t="inlineStr">
        <is>
          <t>Dead</t>
        </is>
      </c>
      <c r="Q506" s="16" t="inlineStr"/>
      <c r="R506" s="29">
        <f>IF($C506="","",IFERROR(IF(INDEX(Deals!$U$2:$U$355,MATCH($C506,Deals!$A$2:$A$355,0))=0,"",INDEX(Deals!$U$2:$U$355,MATCH($C506,Deals!$A$2:$A$355,0))),""))</f>
        <v/>
      </c>
      <c r="S506" s="22">
        <f>IFERROR(IF($U506="",1,INDEX(Deals!$V$2:$V$355,MATCH($C506,Deals!$A$2:$A$355,0))),1)</f>
        <v/>
      </c>
      <c r="T506" s="22">
        <f>IFERROR(IF($U506="",1,INDEX(Deals!$W$2:$W$355,MATCH($C506,Deals!$A$2:$A$355,0))),1)</f>
        <v/>
      </c>
      <c r="U506" s="31">
        <f>IF($C506="","",IFERROR(IF(INDEX(Deals!$Y$2:$Y$355,MATCH($C506,Deals!$A$2:$A$355,0))=0,"",INDEX(Deals!$Y$2:$Y$355,MATCH($C506,Deals!$A$2:$A$355,0))),""))</f>
        <v/>
      </c>
      <c r="V506" s="24">
        <f>IF($U506="",DATE(1900,1,1),$N506)</f>
        <v/>
      </c>
      <c r="W506" s="24">
        <f>IF($U506="",DATE(2100,12,31),$U506)</f>
        <v/>
      </c>
      <c r="X506" s="20">
        <f>IF($U506="",$K506,$K506*$S506)</f>
        <v/>
      </c>
      <c r="Y506" s="24">
        <f>IF($U506="",DATE(2100,12,31),$U506+1)</f>
        <v/>
      </c>
      <c r="Z506" s="24">
        <f>IF($U506="",DATE(1900,1,1),$O506)</f>
        <v/>
      </c>
      <c r="AA506" s="20">
        <f>IF($U506="",0,$K506*$T506)</f>
        <v/>
      </c>
    </row>
    <row r="507">
      <c r="A507" s="15" t="inlineStr">
        <is>
          <t>Colleen</t>
        </is>
      </c>
      <c r="B507" s="29">
        <f>IF($A507="","",IFERROR(INDEX(Roster!$B$2:$B$40,MATCH($A507,Roster!$A$2:$A$40,0)),"?"))</f>
        <v/>
      </c>
      <c r="C507" s="15" t="inlineStr">
        <is>
          <t>IPX Power_1</t>
        </is>
      </c>
      <c r="D507" s="29">
        <f>IF($C507="","",IFERROR(IF(INDEX(Deals!$C$2:$C$355,MATCH($C507,Deals!$A$2:$A$355,0))=0,"",INDEX(Deals!$C$2:$C$355,MATCH($C507,Deals!$A$2:$A$355,0))),"?"))</f>
        <v/>
      </c>
      <c r="E507" s="29">
        <f>IF($C507="","",IFERROR(INDEX(Deals!$F$2:$F$355,MATCH($C507,Deals!$A$2:$A$355,0)),"?"))</f>
        <v/>
      </c>
      <c r="F507" s="15" t="inlineStr">
        <is>
          <t>Senior Associate</t>
        </is>
      </c>
      <c r="G507" s="15" t="inlineStr">
        <is>
          <t>Inactive</t>
        </is>
      </c>
      <c r="H507" s="27" t="n"/>
      <c r="I507" s="20">
        <f>IF(OR($A507="",$G507&lt;&gt;"Active"),0,IF($H507&lt;&gt;"",$H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</f>
        <v/>
      </c>
      <c r="J507" s="23">
        <f>IF($C507="",0,IFERROR(INDEX(Deals!$H$2:$H$355,MATCH($C507,Deals!$A$2:$A$355,0)),0))</f>
        <v/>
      </c>
      <c r="K507" s="20">
        <f>IF(Settings!$B$4="Yes",$I507*$J507,$I507)</f>
        <v/>
      </c>
      <c r="L507" s="31">
        <f>IF($C507="","",IFERROR(IF(INDEX(Deals!$I$2:$I$355,MATCH($C507,Deals!$A$2:$A$355,0))=0,"",INDEX(Deals!$I$2:$I$355,MATCH($C507,Deals!$A$2:$A$355,0))),""))</f>
        <v/>
      </c>
      <c r="M507" s="31">
        <f>IF($C507="","",IFERROR(IF(INDEX(Deals!$J$2:$J$355,MATCH($C507,Deals!$A$2:$A$355,0))=0,"",INDEX(Deals!$J$2:$J$355,MATCH($C507,Deals!$A$2:$A$355,0))),""))</f>
        <v/>
      </c>
      <c r="N507" s="24">
        <f>IF($L507="",DATE(1900,1,1),$L507)</f>
        <v/>
      </c>
      <c r="O507" s="24">
        <f>IF($M507="",DATE(2100,12,31),$M507)</f>
        <v/>
      </c>
      <c r="P507" s="16" t="inlineStr">
        <is>
          <t>Dead</t>
        </is>
      </c>
      <c r="Q507" s="16" t="inlineStr"/>
      <c r="R507" s="29">
        <f>IF($C507="","",IFERROR(IF(INDEX(Deals!$U$2:$U$355,MATCH($C507,Deals!$A$2:$A$355,0))=0,"",INDEX(Deals!$U$2:$U$355,MATCH($C507,Deals!$A$2:$A$355,0))),""))</f>
        <v/>
      </c>
      <c r="S507" s="22">
        <f>IFERROR(IF($U507="",1,INDEX(Deals!$V$2:$V$355,MATCH($C507,Deals!$A$2:$A$355,0))),1)</f>
        <v/>
      </c>
      <c r="T507" s="22">
        <f>IFERROR(IF($U507="",1,INDEX(Deals!$W$2:$W$355,MATCH($C507,Deals!$A$2:$A$355,0))),1)</f>
        <v/>
      </c>
      <c r="U507" s="31">
        <f>IF($C507="","",IFERROR(IF(INDEX(Deals!$Y$2:$Y$355,MATCH($C507,Deals!$A$2:$A$355,0))=0,"",INDEX(Deals!$Y$2:$Y$355,MATCH($C507,Deals!$A$2:$A$355,0))),""))</f>
        <v/>
      </c>
      <c r="V507" s="24">
        <f>IF($U507="",DATE(1900,1,1),$N507)</f>
        <v/>
      </c>
      <c r="W507" s="24">
        <f>IF($U507="",DATE(2100,12,31),$U507)</f>
        <v/>
      </c>
      <c r="X507" s="20">
        <f>IF($U507="",$K507,$K507*$S507)</f>
        <v/>
      </c>
      <c r="Y507" s="24">
        <f>IF($U507="",DATE(2100,12,31),$U507+1)</f>
        <v/>
      </c>
      <c r="Z507" s="24">
        <f>IF($U507="",DATE(1900,1,1),$O507)</f>
        <v/>
      </c>
      <c r="AA507" s="20">
        <f>IF($U507="",0,$K507*$T507)</f>
        <v/>
      </c>
    </row>
    <row r="508">
      <c r="A508" s="15" t="inlineStr">
        <is>
          <t>Colleen</t>
        </is>
      </c>
      <c r="B508" s="29">
        <f>IF($A508="","",IFERROR(INDEX(Roster!$B$2:$B$40,MATCH($A508,Roster!$A$2:$A$40,0)),"?"))</f>
        <v/>
      </c>
      <c r="C508" s="15" t="inlineStr">
        <is>
          <t>Javelina Gain_1</t>
        </is>
      </c>
      <c r="D508" s="29">
        <f>IF($C508="","",IFERROR(IF(INDEX(Deals!$C$2:$C$355,MATCH($C508,Deals!$A$2:$A$355,0))=0,"",INDEX(Deals!$C$2:$C$355,MATCH($C508,Deals!$A$2:$A$355,0))),"?"))</f>
        <v/>
      </c>
      <c r="E508" s="29">
        <f>IF($C508="","",IFERROR(INDEX(Deals!$F$2:$F$355,MATCH($C508,Deals!$A$2:$A$355,0)),"?"))</f>
        <v/>
      </c>
      <c r="F508" s="15" t="inlineStr">
        <is>
          <t>Senior Associate</t>
        </is>
      </c>
      <c r="G508" s="15" t="inlineStr">
        <is>
          <t>Active</t>
        </is>
      </c>
      <c r="H508" s="27" t="n"/>
      <c r="I508" s="20">
        <f>IF(OR($A508="",$G508&lt;&gt;"Active"),0,IF($H508&lt;&gt;"",$H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</f>
        <v/>
      </c>
      <c r="J508" s="23">
        <f>IF($C508="",0,IFERROR(INDEX(Deals!$H$2:$H$355,MATCH($C508,Deals!$A$2:$A$355,0)),0))</f>
        <v/>
      </c>
      <c r="K508" s="20">
        <f>IF(Settings!$B$4="Yes",$I508*$J508,$I508)</f>
        <v/>
      </c>
      <c r="L508" s="31">
        <f>IF($C508="","",IFERROR(IF(INDEX(Deals!$I$2:$I$355,MATCH($C508,Deals!$A$2:$A$355,0))=0,"",INDEX(Deals!$I$2:$I$355,MATCH($C508,Deals!$A$2:$A$355,0))),""))</f>
        <v/>
      </c>
      <c r="M508" s="31">
        <f>IF($C508="","",IFERROR(IF(INDEX(Deals!$J$2:$J$355,MATCH($C508,Deals!$A$2:$A$355,0))=0,"",INDEX(Deals!$J$2:$J$355,MATCH($C508,Deals!$A$2:$A$355,0))),""))</f>
        <v/>
      </c>
      <c r="N508" s="24">
        <f>IF($L508="",DATE(1900,1,1),$L508)</f>
        <v/>
      </c>
      <c r="O508" s="24">
        <f>IF($M508="",DATE(2100,12,31),$M508)</f>
        <v/>
      </c>
      <c r="P508" s="16" t="inlineStr"/>
      <c r="Q508" s="16" t="inlineStr"/>
      <c r="R508" s="29">
        <f>IF($C508="","",IFERROR(IF(INDEX(Deals!$U$2:$U$355,MATCH($C508,Deals!$A$2:$A$355,0))=0,"",INDEX(Deals!$U$2:$U$355,MATCH($C508,Deals!$A$2:$A$355,0))),""))</f>
        <v/>
      </c>
      <c r="S508" s="22">
        <f>IFERROR(IF($U508="",1,INDEX(Deals!$V$2:$V$355,MATCH($C508,Deals!$A$2:$A$355,0))),1)</f>
        <v/>
      </c>
      <c r="T508" s="22">
        <f>IFERROR(IF($U508="",1,INDEX(Deals!$W$2:$W$355,MATCH($C508,Deals!$A$2:$A$355,0))),1)</f>
        <v/>
      </c>
      <c r="U508" s="31">
        <f>IF($C508="","",IFERROR(IF(INDEX(Deals!$Y$2:$Y$355,MATCH($C508,Deals!$A$2:$A$355,0))=0,"",INDEX(Deals!$Y$2:$Y$355,MATCH($C508,Deals!$A$2:$A$355,0))),""))</f>
        <v/>
      </c>
      <c r="V508" s="24">
        <f>IF($U508="",DATE(1900,1,1),$N508)</f>
        <v/>
      </c>
      <c r="W508" s="24">
        <f>IF($U508="",DATE(2100,12,31),$U508)</f>
        <v/>
      </c>
      <c r="X508" s="20">
        <f>IF($U508="",$K508,$K508*$S508)</f>
        <v/>
      </c>
      <c r="Y508" s="24">
        <f>IF($U508="",DATE(2100,12,31),$U508+1)</f>
        <v/>
      </c>
      <c r="Z508" s="24">
        <f>IF($U508="",DATE(1900,1,1),$O508)</f>
        <v/>
      </c>
      <c r="AA508" s="20">
        <f>IF($U508="",0,$K508*$T508)</f>
        <v/>
      </c>
    </row>
    <row r="509">
      <c r="A509" s="15" t="inlineStr">
        <is>
          <t>Colleen</t>
        </is>
      </c>
      <c r="B509" s="29">
        <f>IF($A509="","",IFERROR(INDEX(Roster!$B$2:$B$40,MATCH($A509,Roster!$A$2:$A$40,0)),"?"))</f>
        <v/>
      </c>
      <c r="C509" s="15" t="inlineStr">
        <is>
          <t>Marigold_2</t>
        </is>
      </c>
      <c r="D509" s="29">
        <f>IF($C509="","",IFERROR(IF(INDEX(Deals!$C$2:$C$355,MATCH($C509,Deals!$A$2:$A$355,0))=0,"",INDEX(Deals!$C$2:$C$355,MATCH($C509,Deals!$A$2:$A$355,0))),"?"))</f>
        <v/>
      </c>
      <c r="E509" s="29">
        <f>IF($C509="","",IFERROR(INDEX(Deals!$F$2:$F$355,MATCH($C509,Deals!$A$2:$A$355,0)),"?"))</f>
        <v/>
      </c>
      <c r="F509" s="15" t="inlineStr">
        <is>
          <t>Senior Associate</t>
        </is>
      </c>
      <c r="G509" s="15" t="inlineStr">
        <is>
          <t>Inactive</t>
        </is>
      </c>
      <c r="H509" s="27" t="n"/>
      <c r="I509" s="20">
        <f>IF(OR($A509="",$G509&lt;&gt;"Active"),0,IF($H509&lt;&gt;"",$H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</f>
        <v/>
      </c>
      <c r="J509" s="23">
        <f>IF($C509="",0,IFERROR(INDEX(Deals!$H$2:$H$355,MATCH($C509,Deals!$A$2:$A$355,0)),0))</f>
        <v/>
      </c>
      <c r="K509" s="20">
        <f>IF(Settings!$B$4="Yes",$I509*$J509,$I509)</f>
        <v/>
      </c>
      <c r="L509" s="31">
        <f>IF($C509="","",IFERROR(IF(INDEX(Deals!$I$2:$I$355,MATCH($C509,Deals!$A$2:$A$355,0))=0,"",INDEX(Deals!$I$2:$I$355,MATCH($C509,Deals!$A$2:$A$355,0))),""))</f>
        <v/>
      </c>
      <c r="M509" s="31">
        <f>IF($C509="","",IFERROR(IF(INDEX(Deals!$J$2:$J$355,MATCH($C509,Deals!$A$2:$A$355,0))=0,"",INDEX(Deals!$J$2:$J$355,MATCH($C509,Deals!$A$2:$A$355,0))),""))</f>
        <v/>
      </c>
      <c r="N509" s="24">
        <f>IF($L509="",DATE(1900,1,1),$L509)</f>
        <v/>
      </c>
      <c r="O509" s="24">
        <f>IF($M509="",DATE(2100,12,31),$M509)</f>
        <v/>
      </c>
      <c r="P509" s="16" t="inlineStr">
        <is>
          <t>Closed</t>
        </is>
      </c>
      <c r="Q509" s="16" t="inlineStr"/>
      <c r="R509" s="29">
        <f>IF($C509="","",IFERROR(IF(INDEX(Deals!$U$2:$U$355,MATCH($C509,Deals!$A$2:$A$355,0))=0,"",INDEX(Deals!$U$2:$U$355,MATCH($C509,Deals!$A$2:$A$355,0))),""))</f>
        <v/>
      </c>
      <c r="S509" s="22">
        <f>IFERROR(IF($U509="",1,INDEX(Deals!$V$2:$V$355,MATCH($C509,Deals!$A$2:$A$355,0))),1)</f>
        <v/>
      </c>
      <c r="T509" s="22">
        <f>IFERROR(IF($U509="",1,INDEX(Deals!$W$2:$W$355,MATCH($C509,Deals!$A$2:$A$355,0))),1)</f>
        <v/>
      </c>
      <c r="U509" s="31">
        <f>IF($C509="","",IFERROR(IF(INDEX(Deals!$Y$2:$Y$355,MATCH($C509,Deals!$A$2:$A$355,0))=0,"",INDEX(Deals!$Y$2:$Y$355,MATCH($C509,Deals!$A$2:$A$355,0))),""))</f>
        <v/>
      </c>
      <c r="V509" s="24">
        <f>IF($U509="",DATE(1900,1,1),$N509)</f>
        <v/>
      </c>
      <c r="W509" s="24">
        <f>IF($U509="",DATE(2100,12,31),$U509)</f>
        <v/>
      </c>
      <c r="X509" s="20">
        <f>IF($U509="",$K509,$K509*$S509)</f>
        <v/>
      </c>
      <c r="Y509" s="24">
        <f>IF($U509="",DATE(2100,12,31),$U509+1)</f>
        <v/>
      </c>
      <c r="Z509" s="24">
        <f>IF($U509="",DATE(1900,1,1),$O509)</f>
        <v/>
      </c>
      <c r="AA509" s="20">
        <f>IF($U509="",0,$K509*$T509)</f>
        <v/>
      </c>
    </row>
    <row r="510">
      <c r="A510" s="15" t="inlineStr">
        <is>
          <t>Colleen</t>
        </is>
      </c>
      <c r="B510" s="29">
        <f>IF($A510="","",IFERROR(INDEX(Roster!$B$2:$B$40,MATCH($A510,Roster!$A$2:$A$40,0)),"?"))</f>
        <v/>
      </c>
      <c r="C510" s="15" t="inlineStr">
        <is>
          <t>Nevada_1</t>
        </is>
      </c>
      <c r="D510" s="29">
        <f>IF($C510="","",IFERROR(IF(INDEX(Deals!$C$2:$C$355,MATCH($C510,Deals!$A$2:$A$355,0))=0,"",INDEX(Deals!$C$2:$C$355,MATCH($C510,Deals!$A$2:$A$355,0))),"?"))</f>
        <v/>
      </c>
      <c r="E510" s="29">
        <f>IF($C510="","",IFERROR(INDEX(Deals!$F$2:$F$355,MATCH($C510,Deals!$A$2:$A$355,0)),"?"))</f>
        <v/>
      </c>
      <c r="F510" s="15" t="inlineStr">
        <is>
          <t>Senior Associate</t>
        </is>
      </c>
      <c r="G510" s="15" t="inlineStr">
        <is>
          <t>Active</t>
        </is>
      </c>
      <c r="H510" s="27" t="n"/>
      <c r="I510" s="20">
        <f>IF(OR($A510="",$G510&lt;&gt;"Active"),0,IF($H510&lt;&gt;"",$H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</f>
        <v/>
      </c>
      <c r="J510" s="23">
        <f>IF($C510="",0,IFERROR(INDEX(Deals!$H$2:$H$355,MATCH($C510,Deals!$A$2:$A$355,0)),0))</f>
        <v/>
      </c>
      <c r="K510" s="20">
        <f>IF(Settings!$B$4="Yes",$I510*$J510,$I510)</f>
        <v/>
      </c>
      <c r="L510" s="31">
        <f>IF($C510="","",IFERROR(IF(INDEX(Deals!$I$2:$I$355,MATCH($C510,Deals!$A$2:$A$355,0))=0,"",INDEX(Deals!$I$2:$I$355,MATCH($C510,Deals!$A$2:$A$355,0))),""))</f>
        <v/>
      </c>
      <c r="M510" s="31">
        <f>IF($C510="","",IFERROR(IF(INDEX(Deals!$J$2:$J$355,MATCH($C510,Deals!$A$2:$A$355,0))=0,"",INDEX(Deals!$J$2:$J$355,MATCH($C510,Deals!$A$2:$A$355,0))),""))</f>
        <v/>
      </c>
      <c r="N510" s="24">
        <f>IF($L510="",DATE(1900,1,1),$L510)</f>
        <v/>
      </c>
      <c r="O510" s="24">
        <f>IF($M510="",DATE(2100,12,31),$M510)</f>
        <v/>
      </c>
      <c r="P510" s="16" t="inlineStr">
        <is>
          <t>Ongoing</t>
        </is>
      </c>
      <c r="Q510" s="16" t="inlineStr"/>
      <c r="R510" s="29">
        <f>IF($C510="","",IFERROR(IF(INDEX(Deals!$U$2:$U$355,MATCH($C510,Deals!$A$2:$A$355,0))=0,"",INDEX(Deals!$U$2:$U$355,MATCH($C510,Deals!$A$2:$A$355,0))),""))</f>
        <v/>
      </c>
      <c r="S510" s="22">
        <f>IFERROR(IF($U510="",1,INDEX(Deals!$V$2:$V$355,MATCH($C510,Deals!$A$2:$A$355,0))),1)</f>
        <v/>
      </c>
      <c r="T510" s="22">
        <f>IFERROR(IF($U510="",1,INDEX(Deals!$W$2:$W$355,MATCH($C510,Deals!$A$2:$A$355,0))),1)</f>
        <v/>
      </c>
      <c r="U510" s="31">
        <f>IF($C510="","",IFERROR(IF(INDEX(Deals!$Y$2:$Y$355,MATCH($C510,Deals!$A$2:$A$355,0))=0,"",INDEX(Deals!$Y$2:$Y$355,MATCH($C510,Deals!$A$2:$A$355,0))),""))</f>
        <v/>
      </c>
      <c r="V510" s="24">
        <f>IF($U510="",DATE(1900,1,1),$N510)</f>
        <v/>
      </c>
      <c r="W510" s="24">
        <f>IF($U510="",DATE(2100,12,31),$U510)</f>
        <v/>
      </c>
      <c r="X510" s="20">
        <f>IF($U510="",$K510,$K510*$S510)</f>
        <v/>
      </c>
      <c r="Y510" s="24">
        <f>IF($U510="",DATE(2100,12,31),$U510+1)</f>
        <v/>
      </c>
      <c r="Z510" s="24">
        <f>IF($U510="",DATE(1900,1,1),$O510)</f>
        <v/>
      </c>
      <c r="AA510" s="20">
        <f>IF($U510="",0,$K510*$T510)</f>
        <v/>
      </c>
    </row>
    <row r="511">
      <c r="A511" s="15" t="inlineStr">
        <is>
          <t>Colleen</t>
        </is>
      </c>
      <c r="B511" s="29">
        <f>IF($A511="","",IFERROR(INDEX(Roster!$B$2:$B$40,MATCH($A511,Roster!$A$2:$A$40,0)),"?"))</f>
        <v/>
      </c>
      <c r="C511" s="15" t="inlineStr">
        <is>
          <t>Nexus_6</t>
        </is>
      </c>
      <c r="D511" s="29">
        <f>IF($C511="","",IFERROR(IF(INDEX(Deals!$C$2:$C$355,MATCH($C511,Deals!$A$2:$A$355,0))=0,"",INDEX(Deals!$C$2:$C$355,MATCH($C511,Deals!$A$2:$A$355,0))),"?"))</f>
        <v/>
      </c>
      <c r="E511" s="29">
        <f>IF($C511="","",IFERROR(INDEX(Deals!$F$2:$F$355,MATCH($C511,Deals!$A$2:$A$355,0)),"?"))</f>
        <v/>
      </c>
      <c r="F511" s="15" t="inlineStr">
        <is>
          <t>Senior Associate</t>
        </is>
      </c>
      <c r="G511" s="15" t="inlineStr">
        <is>
          <t>Inactive</t>
        </is>
      </c>
      <c r="H511" s="27" t="n"/>
      <c r="I511" s="20">
        <f>IF(OR($A511="",$G511&lt;&gt;"Active"),0,IF($H511&lt;&gt;"",$H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</f>
        <v/>
      </c>
      <c r="J511" s="23">
        <f>IF($C511="",0,IFERROR(INDEX(Deals!$H$2:$H$355,MATCH($C511,Deals!$A$2:$A$355,0)),0))</f>
        <v/>
      </c>
      <c r="K511" s="20">
        <f>IF(Settings!$B$4="Yes",$I511*$J511,$I511)</f>
        <v/>
      </c>
      <c r="L511" s="31">
        <f>IF($C511="","",IFERROR(IF(INDEX(Deals!$I$2:$I$355,MATCH($C511,Deals!$A$2:$A$355,0))=0,"",INDEX(Deals!$I$2:$I$355,MATCH($C511,Deals!$A$2:$A$355,0))),""))</f>
        <v/>
      </c>
      <c r="M511" s="31">
        <f>IF($C511="","",IFERROR(IF(INDEX(Deals!$J$2:$J$355,MATCH($C511,Deals!$A$2:$A$355,0))=0,"",INDEX(Deals!$J$2:$J$355,MATCH($C511,Deals!$A$2:$A$355,0))),""))</f>
        <v/>
      </c>
      <c r="N511" s="24">
        <f>IF($L511="",DATE(1900,1,1),$L511)</f>
        <v/>
      </c>
      <c r="O511" s="24">
        <f>IF($M511="",DATE(2100,12,31),$M511)</f>
        <v/>
      </c>
      <c r="P511" s="16" t="inlineStr">
        <is>
          <t>Closed</t>
        </is>
      </c>
      <c r="Q511" s="16" t="inlineStr"/>
      <c r="R511" s="29">
        <f>IF($C511="","",IFERROR(IF(INDEX(Deals!$U$2:$U$355,MATCH($C511,Deals!$A$2:$A$355,0))=0,"",INDEX(Deals!$U$2:$U$355,MATCH($C511,Deals!$A$2:$A$355,0))),""))</f>
        <v/>
      </c>
      <c r="S511" s="22">
        <f>IFERROR(IF($U511="",1,INDEX(Deals!$V$2:$V$355,MATCH($C511,Deals!$A$2:$A$355,0))),1)</f>
        <v/>
      </c>
      <c r="T511" s="22">
        <f>IFERROR(IF($U511="",1,INDEX(Deals!$W$2:$W$355,MATCH($C511,Deals!$A$2:$A$355,0))),1)</f>
        <v/>
      </c>
      <c r="U511" s="31">
        <f>IF($C511="","",IFERROR(IF(INDEX(Deals!$Y$2:$Y$355,MATCH($C511,Deals!$A$2:$A$355,0))=0,"",INDEX(Deals!$Y$2:$Y$355,MATCH($C511,Deals!$A$2:$A$355,0))),""))</f>
        <v/>
      </c>
      <c r="V511" s="24">
        <f>IF($U511="",DATE(1900,1,1),$N511)</f>
        <v/>
      </c>
      <c r="W511" s="24">
        <f>IF($U511="",DATE(2100,12,31),$U511)</f>
        <v/>
      </c>
      <c r="X511" s="20">
        <f>IF($U511="",$K511,$K511*$S511)</f>
        <v/>
      </c>
      <c r="Y511" s="24">
        <f>IF($U511="",DATE(2100,12,31),$U511+1)</f>
        <v/>
      </c>
      <c r="Z511" s="24">
        <f>IF($U511="",DATE(1900,1,1),$O511)</f>
        <v/>
      </c>
      <c r="AA511" s="20">
        <f>IF($U511="",0,$K511*$T511)</f>
        <v/>
      </c>
    </row>
    <row r="512">
      <c r="A512" s="15" t="inlineStr">
        <is>
          <t>Colleen</t>
        </is>
      </c>
      <c r="B512" s="29">
        <f>IF($A512="","",IFERROR(INDEX(Roster!$B$2:$B$40,MATCH($A512,Roster!$A$2:$A$40,0)),"?"))</f>
        <v/>
      </c>
      <c r="C512" s="15" t="inlineStr">
        <is>
          <t>Plasma_1</t>
        </is>
      </c>
      <c r="D512" s="29">
        <f>IF($C512="","",IFERROR(IF(INDEX(Deals!$C$2:$C$355,MATCH($C512,Deals!$A$2:$A$355,0))=0,"",INDEX(Deals!$C$2:$C$355,MATCH($C512,Deals!$A$2:$A$355,0))),"?"))</f>
        <v/>
      </c>
      <c r="E512" s="29">
        <f>IF($C512="","",IFERROR(INDEX(Deals!$F$2:$F$355,MATCH($C512,Deals!$A$2:$A$355,0)),"?"))</f>
        <v/>
      </c>
      <c r="F512" s="15" t="inlineStr">
        <is>
          <t>Senior Associate</t>
        </is>
      </c>
      <c r="G512" s="15" t="inlineStr">
        <is>
          <t>Active</t>
        </is>
      </c>
      <c r="H512" s="27" t="n"/>
      <c r="I512" s="20">
        <f>IF(OR($A512="",$G512&lt;&gt;"Active"),0,IF($H512&lt;&gt;"",$H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</f>
        <v/>
      </c>
      <c r="J512" s="23">
        <f>IF($C512="",0,IFERROR(INDEX(Deals!$H$2:$H$355,MATCH($C512,Deals!$A$2:$A$355,0)),0))</f>
        <v/>
      </c>
      <c r="K512" s="20">
        <f>IF(Settings!$B$4="Yes",$I512*$J512,$I512)</f>
        <v/>
      </c>
      <c r="L512" s="31">
        <f>IF($C512="","",IFERROR(IF(INDEX(Deals!$I$2:$I$355,MATCH($C512,Deals!$A$2:$A$355,0))=0,"",INDEX(Deals!$I$2:$I$355,MATCH($C512,Deals!$A$2:$A$355,0))),""))</f>
        <v/>
      </c>
      <c r="M512" s="31">
        <f>IF($C512="","",IFERROR(IF(INDEX(Deals!$J$2:$J$355,MATCH($C512,Deals!$A$2:$A$355,0))=0,"",INDEX(Deals!$J$2:$J$355,MATCH($C512,Deals!$A$2:$A$355,0))),""))</f>
        <v/>
      </c>
      <c r="N512" s="24">
        <f>IF($L512="",DATE(1900,1,1),$L512)</f>
        <v/>
      </c>
      <c r="O512" s="24">
        <f>IF($M512="",DATE(2100,12,31),$M512)</f>
        <v/>
      </c>
      <c r="P512" s="16" t="inlineStr">
        <is>
          <t>Ongoing</t>
        </is>
      </c>
      <c r="Q512" s="16" t="inlineStr"/>
      <c r="R512" s="29">
        <f>IF($C512="","",IFERROR(IF(INDEX(Deals!$U$2:$U$355,MATCH($C512,Deals!$A$2:$A$355,0))=0,"",INDEX(Deals!$U$2:$U$355,MATCH($C512,Deals!$A$2:$A$355,0))),""))</f>
        <v/>
      </c>
      <c r="S512" s="22">
        <f>IFERROR(IF($U512="",1,INDEX(Deals!$V$2:$V$355,MATCH($C512,Deals!$A$2:$A$355,0))),1)</f>
        <v/>
      </c>
      <c r="T512" s="22">
        <f>IFERROR(IF($U512="",1,INDEX(Deals!$W$2:$W$355,MATCH($C512,Deals!$A$2:$A$355,0))),1)</f>
        <v/>
      </c>
      <c r="U512" s="31">
        <f>IF($C512="","",IFERROR(IF(INDEX(Deals!$Y$2:$Y$355,MATCH($C512,Deals!$A$2:$A$355,0))=0,"",INDEX(Deals!$Y$2:$Y$355,MATCH($C512,Deals!$A$2:$A$355,0))),""))</f>
        <v/>
      </c>
      <c r="V512" s="24">
        <f>IF($U512="",DATE(1900,1,1),$N512)</f>
        <v/>
      </c>
      <c r="W512" s="24">
        <f>IF($U512="",DATE(2100,12,31),$U512)</f>
        <v/>
      </c>
      <c r="X512" s="20">
        <f>IF($U512="",$K512,$K512*$S512)</f>
        <v/>
      </c>
      <c r="Y512" s="24">
        <f>IF($U512="",DATE(2100,12,31),$U512+1)</f>
        <v/>
      </c>
      <c r="Z512" s="24">
        <f>IF($U512="",DATE(1900,1,1),$O512)</f>
        <v/>
      </c>
      <c r="AA512" s="20">
        <f>IF($U512="",0,$K512*$T512)</f>
        <v/>
      </c>
    </row>
    <row r="513">
      <c r="A513" s="15" t="inlineStr">
        <is>
          <t>Colleen</t>
        </is>
      </c>
      <c r="B513" s="29">
        <f>IF($A513="","",IFERROR(INDEX(Roster!$B$2:$B$40,MATCH($A513,Roster!$A$2:$A$40,0)),"?"))</f>
        <v/>
      </c>
      <c r="C513" s="15" t="inlineStr">
        <is>
          <t>Spark_1</t>
        </is>
      </c>
      <c r="D513" s="29">
        <f>IF($C513="","",IFERROR(IF(INDEX(Deals!$C$2:$C$355,MATCH($C513,Deals!$A$2:$A$355,0))=0,"",INDEX(Deals!$C$2:$C$355,MATCH($C513,Deals!$A$2:$A$355,0))),"?"))</f>
        <v/>
      </c>
      <c r="E513" s="29">
        <f>IF($C513="","",IFERROR(INDEX(Deals!$F$2:$F$355,MATCH($C513,Deals!$A$2:$A$355,0)),"?"))</f>
        <v/>
      </c>
      <c r="F513" s="15" t="inlineStr">
        <is>
          <t>Senior Associate</t>
        </is>
      </c>
      <c r="G513" s="15" t="inlineStr">
        <is>
          <t>Active</t>
        </is>
      </c>
      <c r="H513" s="27" t="n"/>
      <c r="I513" s="20">
        <f>IF(OR($A513="",$G513&lt;&gt;"Active"),0,IF($H513&lt;&gt;"",$H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</f>
        <v/>
      </c>
      <c r="J513" s="23">
        <f>IF($C513="",0,IFERROR(INDEX(Deals!$H$2:$H$355,MATCH($C513,Deals!$A$2:$A$355,0)),0))</f>
        <v/>
      </c>
      <c r="K513" s="20">
        <f>IF(Settings!$B$4="Yes",$I513*$J513,$I513)</f>
        <v/>
      </c>
      <c r="L513" s="31">
        <f>IF($C513="","",IFERROR(IF(INDEX(Deals!$I$2:$I$355,MATCH($C513,Deals!$A$2:$A$355,0))=0,"",INDEX(Deals!$I$2:$I$355,MATCH($C513,Deals!$A$2:$A$355,0))),""))</f>
        <v/>
      </c>
      <c r="M513" s="31">
        <f>IF($C513="","",IFERROR(IF(INDEX(Deals!$J$2:$J$355,MATCH($C513,Deals!$A$2:$A$355,0))=0,"",INDEX(Deals!$J$2:$J$355,MATCH($C513,Deals!$A$2:$A$355,0))),""))</f>
        <v/>
      </c>
      <c r="N513" s="24">
        <f>IF($L513="",DATE(1900,1,1),$L513)</f>
        <v/>
      </c>
      <c r="O513" s="24">
        <f>IF($M513="",DATE(2100,12,31),$M513)</f>
        <v/>
      </c>
      <c r="P513" s="16" t="inlineStr">
        <is>
          <t>Ongoing</t>
        </is>
      </c>
      <c r="Q513" s="16" t="inlineStr"/>
      <c r="R513" s="29">
        <f>IF($C513="","",IFERROR(IF(INDEX(Deals!$U$2:$U$355,MATCH($C513,Deals!$A$2:$A$355,0))=0,"",INDEX(Deals!$U$2:$U$355,MATCH($C513,Deals!$A$2:$A$355,0))),""))</f>
        <v/>
      </c>
      <c r="S513" s="22">
        <f>IFERROR(IF($U513="",1,INDEX(Deals!$V$2:$V$355,MATCH($C513,Deals!$A$2:$A$355,0))),1)</f>
        <v/>
      </c>
      <c r="T513" s="22">
        <f>IFERROR(IF($U513="",1,INDEX(Deals!$W$2:$W$355,MATCH($C513,Deals!$A$2:$A$355,0))),1)</f>
        <v/>
      </c>
      <c r="U513" s="31">
        <f>IF($C513="","",IFERROR(IF(INDEX(Deals!$Y$2:$Y$355,MATCH($C513,Deals!$A$2:$A$355,0))=0,"",INDEX(Deals!$Y$2:$Y$355,MATCH($C513,Deals!$A$2:$A$355,0))),""))</f>
        <v/>
      </c>
      <c r="V513" s="24">
        <f>IF($U513="",DATE(1900,1,1),$N513)</f>
        <v/>
      </c>
      <c r="W513" s="24">
        <f>IF($U513="",DATE(2100,12,31),$U513)</f>
        <v/>
      </c>
      <c r="X513" s="20">
        <f>IF($U513="",$K513,$K513*$S513)</f>
        <v/>
      </c>
      <c r="Y513" s="24">
        <f>IF($U513="",DATE(2100,12,31),$U513+1)</f>
        <v/>
      </c>
      <c r="Z513" s="24">
        <f>IF($U513="",DATE(1900,1,1),$O513)</f>
        <v/>
      </c>
      <c r="AA513" s="20">
        <f>IF($U513="",0,$K513*$T513)</f>
        <v/>
      </c>
    </row>
    <row r="514">
      <c r="A514" s="15" t="inlineStr">
        <is>
          <t>Colleen</t>
        </is>
      </c>
      <c r="B514" s="29">
        <f>IF($A514="","",IFERROR(INDEX(Roster!$B$2:$B$40,MATCH($A514,Roster!$A$2:$A$40,0)),"?"))</f>
        <v/>
      </c>
      <c r="C514" s="15" t="inlineStr">
        <is>
          <t>Sunshine_4</t>
        </is>
      </c>
      <c r="D514" s="29">
        <f>IF($C514="","",IFERROR(IF(INDEX(Deals!$C$2:$C$355,MATCH($C514,Deals!$A$2:$A$355,0))=0,"",INDEX(Deals!$C$2:$C$355,MATCH($C514,Deals!$A$2:$A$355,0))),"?"))</f>
        <v/>
      </c>
      <c r="E514" s="29">
        <f>IF($C514="","",IFERROR(INDEX(Deals!$F$2:$F$355,MATCH($C514,Deals!$A$2:$A$355,0)),"?"))</f>
        <v/>
      </c>
      <c r="F514" s="15" t="inlineStr">
        <is>
          <t>Senior Associate</t>
        </is>
      </c>
      <c r="G514" s="15" t="inlineStr">
        <is>
          <t>Inactive</t>
        </is>
      </c>
      <c r="H514" s="27" t="n"/>
      <c r="I514" s="20">
        <f>IF(OR($A514="",$G514&lt;&gt;"Active"),0,IF($H514&lt;&gt;"",$H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</f>
        <v/>
      </c>
      <c r="J514" s="23">
        <f>IF($C514="",0,IFERROR(INDEX(Deals!$H$2:$H$355,MATCH($C514,Deals!$A$2:$A$355,0)),0))</f>
        <v/>
      </c>
      <c r="K514" s="20">
        <f>IF(Settings!$B$4="Yes",$I514*$J514,$I514)</f>
        <v/>
      </c>
      <c r="L514" s="31">
        <f>IF($C514="","",IFERROR(IF(INDEX(Deals!$I$2:$I$355,MATCH($C514,Deals!$A$2:$A$355,0))=0,"",INDEX(Deals!$I$2:$I$355,MATCH($C514,Deals!$A$2:$A$355,0))),""))</f>
        <v/>
      </c>
      <c r="M514" s="31">
        <f>IF($C514="","",IFERROR(IF(INDEX(Deals!$J$2:$J$355,MATCH($C514,Deals!$A$2:$A$355,0))=0,"",INDEX(Deals!$J$2:$J$355,MATCH($C514,Deals!$A$2:$A$355,0))),""))</f>
        <v/>
      </c>
      <c r="N514" s="24">
        <f>IF($L514="",DATE(1900,1,1),$L514)</f>
        <v/>
      </c>
      <c r="O514" s="24">
        <f>IF($M514="",DATE(2100,12,31),$M514)</f>
        <v/>
      </c>
      <c r="P514" s="16" t="inlineStr">
        <is>
          <t>Dead</t>
        </is>
      </c>
      <c r="Q514" s="16" t="inlineStr"/>
      <c r="R514" s="29">
        <f>IF($C514="","",IFERROR(IF(INDEX(Deals!$U$2:$U$355,MATCH($C514,Deals!$A$2:$A$355,0))=0,"",INDEX(Deals!$U$2:$U$355,MATCH($C514,Deals!$A$2:$A$355,0))),""))</f>
        <v/>
      </c>
      <c r="S514" s="22">
        <f>IFERROR(IF($U514="",1,INDEX(Deals!$V$2:$V$355,MATCH($C514,Deals!$A$2:$A$355,0))),1)</f>
        <v/>
      </c>
      <c r="T514" s="22">
        <f>IFERROR(IF($U514="",1,INDEX(Deals!$W$2:$W$355,MATCH($C514,Deals!$A$2:$A$355,0))),1)</f>
        <v/>
      </c>
      <c r="U514" s="31">
        <f>IF($C514="","",IFERROR(IF(INDEX(Deals!$Y$2:$Y$355,MATCH($C514,Deals!$A$2:$A$355,0))=0,"",INDEX(Deals!$Y$2:$Y$355,MATCH($C514,Deals!$A$2:$A$355,0))),""))</f>
        <v/>
      </c>
      <c r="V514" s="24">
        <f>IF($U514="",DATE(1900,1,1),$N514)</f>
        <v/>
      </c>
      <c r="W514" s="24">
        <f>IF($U514="",DATE(2100,12,31),$U514)</f>
        <v/>
      </c>
      <c r="X514" s="20">
        <f>IF($U514="",$K514,$K514*$S514)</f>
        <v/>
      </c>
      <c r="Y514" s="24">
        <f>IF($U514="",DATE(2100,12,31),$U514+1)</f>
        <v/>
      </c>
      <c r="Z514" s="24">
        <f>IF($U514="",DATE(1900,1,1),$O514)</f>
        <v/>
      </c>
      <c r="AA514" s="20">
        <f>IF($U514="",0,$K514*$T514)</f>
        <v/>
      </c>
    </row>
    <row r="515">
      <c r="A515" s="15" t="inlineStr">
        <is>
          <t>Colleen</t>
        </is>
      </c>
      <c r="B515" s="29">
        <f>IF($A515="","",IFERROR(INDEX(Roster!$B$2:$B$40,MATCH($A515,Roster!$A$2:$A$40,0)),"?"))</f>
        <v/>
      </c>
      <c r="C515" s="15" t="inlineStr">
        <is>
          <t>Takeover_1</t>
        </is>
      </c>
      <c r="D515" s="29">
        <f>IF($C515="","",IFERROR(IF(INDEX(Deals!$C$2:$C$355,MATCH($C515,Deals!$A$2:$A$355,0))=0,"",INDEX(Deals!$C$2:$C$355,MATCH($C515,Deals!$A$2:$A$355,0))),"?"))</f>
        <v/>
      </c>
      <c r="E515" s="29">
        <f>IF($C515="","",IFERROR(INDEX(Deals!$F$2:$F$355,MATCH($C515,Deals!$A$2:$A$355,0)),"?"))</f>
        <v/>
      </c>
      <c r="F515" s="15" t="inlineStr">
        <is>
          <t>Senior Associate</t>
        </is>
      </c>
      <c r="G515" s="15" t="inlineStr">
        <is>
          <t>Inactive</t>
        </is>
      </c>
      <c r="H515" s="27" t="n"/>
      <c r="I515" s="20">
        <f>IF(OR($A515="",$G515&lt;&gt;"Active"),0,IF($H515&lt;&gt;"",$H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</f>
        <v/>
      </c>
      <c r="J515" s="23">
        <f>IF($C515="",0,IFERROR(INDEX(Deals!$H$2:$H$355,MATCH($C515,Deals!$A$2:$A$355,0)),0))</f>
        <v/>
      </c>
      <c r="K515" s="20">
        <f>IF(Settings!$B$4="Yes",$I515*$J515,$I515)</f>
        <v/>
      </c>
      <c r="L515" s="31">
        <f>IF($C515="","",IFERROR(IF(INDEX(Deals!$I$2:$I$355,MATCH($C515,Deals!$A$2:$A$355,0))=0,"",INDEX(Deals!$I$2:$I$355,MATCH($C515,Deals!$A$2:$A$355,0))),""))</f>
        <v/>
      </c>
      <c r="M515" s="31">
        <f>IF($C515="","",IFERROR(IF(INDEX(Deals!$J$2:$J$355,MATCH($C515,Deals!$A$2:$A$355,0))=0,"",INDEX(Deals!$J$2:$J$355,MATCH($C515,Deals!$A$2:$A$355,0))),""))</f>
        <v/>
      </c>
      <c r="N515" s="24">
        <f>IF($L515="",DATE(1900,1,1),$L515)</f>
        <v/>
      </c>
      <c r="O515" s="24">
        <f>IF($M515="",DATE(2100,12,31),$M515)</f>
        <v/>
      </c>
      <c r="P515" s="16" t="inlineStr">
        <is>
          <t>Dead</t>
        </is>
      </c>
      <c r="Q515" s="16" t="inlineStr"/>
      <c r="R515" s="29">
        <f>IF($C515="","",IFERROR(IF(INDEX(Deals!$U$2:$U$355,MATCH($C515,Deals!$A$2:$A$355,0))=0,"",INDEX(Deals!$U$2:$U$355,MATCH($C515,Deals!$A$2:$A$355,0))),""))</f>
        <v/>
      </c>
      <c r="S515" s="22">
        <f>IFERROR(IF($U515="",1,INDEX(Deals!$V$2:$V$355,MATCH($C515,Deals!$A$2:$A$355,0))),1)</f>
        <v/>
      </c>
      <c r="T515" s="22">
        <f>IFERROR(IF($U515="",1,INDEX(Deals!$W$2:$W$355,MATCH($C515,Deals!$A$2:$A$355,0))),1)</f>
        <v/>
      </c>
      <c r="U515" s="31">
        <f>IF($C515="","",IFERROR(IF(INDEX(Deals!$Y$2:$Y$355,MATCH($C515,Deals!$A$2:$A$355,0))=0,"",INDEX(Deals!$Y$2:$Y$355,MATCH($C515,Deals!$A$2:$A$355,0))),""))</f>
        <v/>
      </c>
      <c r="V515" s="24">
        <f>IF($U515="",DATE(1900,1,1),$N515)</f>
        <v/>
      </c>
      <c r="W515" s="24">
        <f>IF($U515="",DATE(2100,12,31),$U515)</f>
        <v/>
      </c>
      <c r="X515" s="20">
        <f>IF($U515="",$K515,$K515*$S515)</f>
        <v/>
      </c>
      <c r="Y515" s="24">
        <f>IF($U515="",DATE(2100,12,31),$U515+1)</f>
        <v/>
      </c>
      <c r="Z515" s="24">
        <f>IF($U515="",DATE(1900,1,1),$O515)</f>
        <v/>
      </c>
      <c r="AA515" s="20">
        <f>IF($U515="",0,$K515*$T515)</f>
        <v/>
      </c>
    </row>
    <row r="516">
      <c r="A516" s="15" t="inlineStr">
        <is>
          <t>Colleen</t>
        </is>
      </c>
      <c r="B516" s="29">
        <f>IF($A516="","",IFERROR(INDEX(Roster!$B$2:$B$40,MATCH($A516,Roster!$A$2:$A$40,0)),"?"))</f>
        <v/>
      </c>
      <c r="C516" s="15" t="inlineStr">
        <is>
          <t>Voyager_1</t>
        </is>
      </c>
      <c r="D516" s="29">
        <f>IF($C516="","",IFERROR(IF(INDEX(Deals!$C$2:$C$355,MATCH($C516,Deals!$A$2:$A$355,0))=0,"",INDEX(Deals!$C$2:$C$355,MATCH($C516,Deals!$A$2:$A$355,0))),"?"))</f>
        <v/>
      </c>
      <c r="E516" s="29">
        <f>IF($C516="","",IFERROR(INDEX(Deals!$F$2:$F$355,MATCH($C516,Deals!$A$2:$A$355,0)),"?"))</f>
        <v/>
      </c>
      <c r="F516" s="15" t="inlineStr">
        <is>
          <t>Senior Associate</t>
        </is>
      </c>
      <c r="G516" s="15" t="inlineStr">
        <is>
          <t>Active</t>
        </is>
      </c>
      <c r="H516" s="27" t="n"/>
      <c r="I516" s="20">
        <f>IF(OR($A516="",$G516&lt;&gt;"Active"),0,IF($H516&lt;&gt;"",$H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</f>
        <v/>
      </c>
      <c r="J516" s="23">
        <f>IF($C516="",0,IFERROR(INDEX(Deals!$H$2:$H$355,MATCH($C516,Deals!$A$2:$A$355,0)),0))</f>
        <v/>
      </c>
      <c r="K516" s="20">
        <f>IF(Settings!$B$4="Yes",$I516*$J516,$I516)</f>
        <v/>
      </c>
      <c r="L516" s="31">
        <f>IF($C516="","",IFERROR(IF(INDEX(Deals!$I$2:$I$355,MATCH($C516,Deals!$A$2:$A$355,0))=0,"",INDEX(Deals!$I$2:$I$355,MATCH($C516,Deals!$A$2:$A$355,0))),""))</f>
        <v/>
      </c>
      <c r="M516" s="31">
        <f>IF($C516="","",IFERROR(IF(INDEX(Deals!$J$2:$J$355,MATCH($C516,Deals!$A$2:$A$355,0))=0,"",INDEX(Deals!$J$2:$J$355,MATCH($C516,Deals!$A$2:$A$355,0))),""))</f>
        <v/>
      </c>
      <c r="N516" s="24">
        <f>IF($L516="",DATE(1900,1,1),$L516)</f>
        <v/>
      </c>
      <c r="O516" s="24">
        <f>IF($M516="",DATE(2100,12,31),$M516)</f>
        <v/>
      </c>
      <c r="P516" s="16" t="inlineStr">
        <is>
          <t>Ongoing</t>
        </is>
      </c>
      <c r="Q516" s="16" t="inlineStr"/>
      <c r="R516" s="29">
        <f>IF($C516="","",IFERROR(IF(INDEX(Deals!$U$2:$U$355,MATCH($C516,Deals!$A$2:$A$355,0))=0,"",INDEX(Deals!$U$2:$U$355,MATCH($C516,Deals!$A$2:$A$355,0))),""))</f>
        <v/>
      </c>
      <c r="S516" s="22">
        <f>IFERROR(IF($U516="",1,INDEX(Deals!$V$2:$V$355,MATCH($C516,Deals!$A$2:$A$355,0))),1)</f>
        <v/>
      </c>
      <c r="T516" s="22">
        <f>IFERROR(IF($U516="",1,INDEX(Deals!$W$2:$W$355,MATCH($C516,Deals!$A$2:$A$355,0))),1)</f>
        <v/>
      </c>
      <c r="U516" s="31">
        <f>IF($C516="","",IFERROR(IF(INDEX(Deals!$Y$2:$Y$355,MATCH($C516,Deals!$A$2:$A$355,0))=0,"",INDEX(Deals!$Y$2:$Y$355,MATCH($C516,Deals!$A$2:$A$355,0))),""))</f>
        <v/>
      </c>
      <c r="V516" s="24">
        <f>IF($U516="",DATE(1900,1,1),$N516)</f>
        <v/>
      </c>
      <c r="W516" s="24">
        <f>IF($U516="",DATE(2100,12,31),$U516)</f>
        <v/>
      </c>
      <c r="X516" s="20">
        <f>IF($U516="",$K516,$K516*$S516)</f>
        <v/>
      </c>
      <c r="Y516" s="24">
        <f>IF($U516="",DATE(2100,12,31),$U516+1)</f>
        <v/>
      </c>
      <c r="Z516" s="24">
        <f>IF($U516="",DATE(1900,1,1),$O516)</f>
        <v/>
      </c>
      <c r="AA516" s="20">
        <f>IF($U516="",0,$K516*$T516)</f>
        <v/>
      </c>
    </row>
    <row r="517">
      <c r="A517" s="15" t="inlineStr">
        <is>
          <t>Colleen</t>
        </is>
      </c>
      <c r="B517" s="29">
        <f>IF($A517="","",IFERROR(INDEX(Roster!$B$2:$B$40,MATCH($A517,Roster!$A$2:$A$40,0)),"?"))</f>
        <v/>
      </c>
      <c r="C517" s="15" t="inlineStr">
        <is>
          <t>Wheelhouse_2</t>
        </is>
      </c>
      <c r="D517" s="29">
        <f>IF($C517="","",IFERROR(IF(INDEX(Deals!$C$2:$C$355,MATCH($C517,Deals!$A$2:$A$355,0))=0,"",INDEX(Deals!$C$2:$C$355,MATCH($C517,Deals!$A$2:$A$355,0))),"?"))</f>
        <v/>
      </c>
      <c r="E517" s="29">
        <f>IF($C517="","",IFERROR(INDEX(Deals!$F$2:$F$355,MATCH($C517,Deals!$A$2:$A$355,0)),"?"))</f>
        <v/>
      </c>
      <c r="F517" s="15" t="inlineStr">
        <is>
          <t>Senior Associate</t>
        </is>
      </c>
      <c r="G517" s="15" t="inlineStr">
        <is>
          <t>Inactive</t>
        </is>
      </c>
      <c r="H517" s="27" t="n"/>
      <c r="I517" s="20">
        <f>IF(OR($A517="",$G517&lt;&gt;"Active"),0,IF($H517&lt;&gt;"",$H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</f>
        <v/>
      </c>
      <c r="J517" s="23">
        <f>IF($C517="",0,IFERROR(INDEX(Deals!$H$2:$H$355,MATCH($C517,Deals!$A$2:$A$355,0)),0))</f>
        <v/>
      </c>
      <c r="K517" s="20">
        <f>IF(Settings!$B$4="Yes",$I517*$J517,$I517)</f>
        <v/>
      </c>
      <c r="L517" s="31">
        <f>IF($C517="","",IFERROR(IF(INDEX(Deals!$I$2:$I$355,MATCH($C517,Deals!$A$2:$A$355,0))=0,"",INDEX(Deals!$I$2:$I$355,MATCH($C517,Deals!$A$2:$A$355,0))),""))</f>
        <v/>
      </c>
      <c r="M517" s="31">
        <f>IF($C517="","",IFERROR(IF(INDEX(Deals!$J$2:$J$355,MATCH($C517,Deals!$A$2:$A$355,0))=0,"",INDEX(Deals!$J$2:$J$355,MATCH($C517,Deals!$A$2:$A$355,0))),""))</f>
        <v/>
      </c>
      <c r="N517" s="24">
        <f>IF($L517="",DATE(1900,1,1),$L517)</f>
        <v/>
      </c>
      <c r="O517" s="24">
        <f>IF($M517="",DATE(2100,12,31),$M517)</f>
        <v/>
      </c>
      <c r="P517" s="16" t="inlineStr">
        <is>
          <t>Closed</t>
        </is>
      </c>
      <c r="Q517" s="16" t="inlineStr"/>
      <c r="R517" s="29">
        <f>IF($C517="","",IFERROR(IF(INDEX(Deals!$U$2:$U$355,MATCH($C517,Deals!$A$2:$A$355,0))=0,"",INDEX(Deals!$U$2:$U$355,MATCH($C517,Deals!$A$2:$A$355,0))),""))</f>
        <v/>
      </c>
      <c r="S517" s="22">
        <f>IFERROR(IF($U517="",1,INDEX(Deals!$V$2:$V$355,MATCH($C517,Deals!$A$2:$A$355,0))),1)</f>
        <v/>
      </c>
      <c r="T517" s="22">
        <f>IFERROR(IF($U517="",1,INDEX(Deals!$W$2:$W$355,MATCH($C517,Deals!$A$2:$A$355,0))),1)</f>
        <v/>
      </c>
      <c r="U517" s="31">
        <f>IF($C517="","",IFERROR(IF(INDEX(Deals!$Y$2:$Y$355,MATCH($C517,Deals!$A$2:$A$355,0))=0,"",INDEX(Deals!$Y$2:$Y$355,MATCH($C517,Deals!$A$2:$A$355,0))),""))</f>
        <v/>
      </c>
      <c r="V517" s="24">
        <f>IF($U517="",DATE(1900,1,1),$N517)</f>
        <v/>
      </c>
      <c r="W517" s="24">
        <f>IF($U517="",DATE(2100,12,31),$U517)</f>
        <v/>
      </c>
      <c r="X517" s="20">
        <f>IF($U517="",$K517,$K517*$S517)</f>
        <v/>
      </c>
      <c r="Y517" s="24">
        <f>IF($U517="",DATE(2100,12,31),$U517+1)</f>
        <v/>
      </c>
      <c r="Z517" s="24">
        <f>IF($U517="",DATE(1900,1,1),$O517)</f>
        <v/>
      </c>
      <c r="AA517" s="20">
        <f>IF($U517="",0,$K517*$T517)</f>
        <v/>
      </c>
    </row>
    <row r="518">
      <c r="A518" s="15" t="inlineStr">
        <is>
          <t>Colleen</t>
        </is>
      </c>
      <c r="B518" s="29">
        <f>IF($A518="","",IFERROR(INDEX(Roster!$B$2:$B$40,MATCH($A518,Roster!$A$2:$A$40,0)),"?"))</f>
        <v/>
      </c>
      <c r="C518" s="15" t="inlineStr">
        <is>
          <t>Zora_1</t>
        </is>
      </c>
      <c r="D518" s="29">
        <f>IF($C518="","",IFERROR(IF(INDEX(Deals!$C$2:$C$355,MATCH($C518,Deals!$A$2:$A$355,0))=0,"",INDEX(Deals!$C$2:$C$355,MATCH($C518,Deals!$A$2:$A$355,0))),"?"))</f>
        <v/>
      </c>
      <c r="E518" s="29">
        <f>IF($C518="","",IFERROR(INDEX(Deals!$F$2:$F$355,MATCH($C518,Deals!$A$2:$A$355,0)),"?"))</f>
        <v/>
      </c>
      <c r="F518" s="15" t="inlineStr">
        <is>
          <t>Senior Associate</t>
        </is>
      </c>
      <c r="G518" s="15" t="inlineStr">
        <is>
          <t>Inactive</t>
        </is>
      </c>
      <c r="H518" s="27" t="n"/>
      <c r="I518" s="20">
        <f>IF(OR($A518="",$G518&lt;&gt;"Active"),0,IF($H518&lt;&gt;"",$H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</f>
        <v/>
      </c>
      <c r="J518" s="23">
        <f>IF($C518="",0,IFERROR(INDEX(Deals!$H$2:$H$355,MATCH($C518,Deals!$A$2:$A$355,0)),0))</f>
        <v/>
      </c>
      <c r="K518" s="20">
        <f>IF(Settings!$B$4="Yes",$I518*$J518,$I518)</f>
        <v/>
      </c>
      <c r="L518" s="31">
        <f>IF($C518="","",IFERROR(IF(INDEX(Deals!$I$2:$I$355,MATCH($C518,Deals!$A$2:$A$355,0))=0,"",INDEX(Deals!$I$2:$I$355,MATCH($C518,Deals!$A$2:$A$355,0))),""))</f>
        <v/>
      </c>
      <c r="M518" s="31">
        <f>IF($C518="","",IFERROR(IF(INDEX(Deals!$J$2:$J$355,MATCH($C518,Deals!$A$2:$A$355,0))=0,"",INDEX(Deals!$J$2:$J$355,MATCH($C518,Deals!$A$2:$A$355,0))),""))</f>
        <v/>
      </c>
      <c r="N518" s="24">
        <f>IF($L518="",DATE(1900,1,1),$L518)</f>
        <v/>
      </c>
      <c r="O518" s="24">
        <f>IF($M518="",DATE(2100,12,31),$M518)</f>
        <v/>
      </c>
      <c r="P518" s="16" t="inlineStr">
        <is>
          <t>Closed</t>
        </is>
      </c>
      <c r="Q518" s="16" t="inlineStr"/>
      <c r="R518" s="29">
        <f>IF($C518="","",IFERROR(IF(INDEX(Deals!$U$2:$U$355,MATCH($C518,Deals!$A$2:$A$355,0))=0,"",INDEX(Deals!$U$2:$U$355,MATCH($C518,Deals!$A$2:$A$355,0))),""))</f>
        <v/>
      </c>
      <c r="S518" s="22">
        <f>IFERROR(IF($U518="",1,INDEX(Deals!$V$2:$V$355,MATCH($C518,Deals!$A$2:$A$355,0))),1)</f>
        <v/>
      </c>
      <c r="T518" s="22">
        <f>IFERROR(IF($U518="",1,INDEX(Deals!$W$2:$W$355,MATCH($C518,Deals!$A$2:$A$355,0))),1)</f>
        <v/>
      </c>
      <c r="U518" s="31">
        <f>IF($C518="","",IFERROR(IF(INDEX(Deals!$Y$2:$Y$355,MATCH($C518,Deals!$A$2:$A$355,0))=0,"",INDEX(Deals!$Y$2:$Y$355,MATCH($C518,Deals!$A$2:$A$355,0))),""))</f>
        <v/>
      </c>
      <c r="V518" s="24">
        <f>IF($U518="",DATE(1900,1,1),$N518)</f>
        <v/>
      </c>
      <c r="W518" s="24">
        <f>IF($U518="",DATE(2100,12,31),$U518)</f>
        <v/>
      </c>
      <c r="X518" s="20">
        <f>IF($U518="",$K518,$K518*$S518)</f>
        <v/>
      </c>
      <c r="Y518" s="24">
        <f>IF($U518="",DATE(2100,12,31),$U518+1)</f>
        <v/>
      </c>
      <c r="Z518" s="24">
        <f>IF($U518="",DATE(1900,1,1),$O518)</f>
        <v/>
      </c>
      <c r="AA518" s="20">
        <f>IF($U518="",0,$K518*$T518)</f>
        <v/>
      </c>
    </row>
    <row r="519">
      <c r="A519" s="15" t="inlineStr">
        <is>
          <t>Jennifer Wu</t>
        </is>
      </c>
      <c r="B519" s="29">
        <f>IF($A519="","",IFERROR(INDEX(Roster!$B$2:$B$40,MATCH($A519,Roster!$A$2:$A$40,0)),"?"))</f>
        <v/>
      </c>
      <c r="C519" s="15" t="inlineStr">
        <is>
          <t>360_2</t>
        </is>
      </c>
      <c r="D519" s="29">
        <f>IF($C519="","",IFERROR(IF(INDEX(Deals!$C$2:$C$355,MATCH($C519,Deals!$A$2:$A$355,0))=0,"",INDEX(Deals!$C$2:$C$355,MATCH($C519,Deals!$A$2:$A$355,0))),"?"))</f>
        <v/>
      </c>
      <c r="E519" s="29">
        <f>IF($C519="","",IFERROR(INDEX(Deals!$F$2:$F$355,MATCH($C519,Deals!$A$2:$A$355,0)),"?"))</f>
        <v/>
      </c>
      <c r="F519" s="15" t="inlineStr">
        <is>
          <t>Senior Associate</t>
        </is>
      </c>
      <c r="G519" s="15" t="inlineStr">
        <is>
          <t>Active</t>
        </is>
      </c>
      <c r="H519" s="27" t="n"/>
      <c r="I519" s="20">
        <f>IF(OR($A519="",$G519&lt;&gt;"Active"),0,IF($H519&lt;&gt;"",$H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</f>
        <v/>
      </c>
      <c r="J519" s="23">
        <f>IF($C519="",0,IFERROR(INDEX(Deals!$H$2:$H$355,MATCH($C519,Deals!$A$2:$A$355,0)),0))</f>
        <v/>
      </c>
      <c r="K519" s="20">
        <f>IF(Settings!$B$4="Yes",$I519*$J519,$I519)</f>
        <v/>
      </c>
      <c r="L519" s="31">
        <f>IF($C519="","",IFERROR(IF(INDEX(Deals!$I$2:$I$355,MATCH($C519,Deals!$A$2:$A$355,0))=0,"",INDEX(Deals!$I$2:$I$355,MATCH($C519,Deals!$A$2:$A$355,0))),""))</f>
        <v/>
      </c>
      <c r="M519" s="31">
        <f>IF($C519="","",IFERROR(IF(INDEX(Deals!$J$2:$J$355,MATCH($C519,Deals!$A$2:$A$355,0))=0,"",INDEX(Deals!$J$2:$J$355,MATCH($C519,Deals!$A$2:$A$355,0))),""))</f>
        <v/>
      </c>
      <c r="N519" s="24">
        <f>IF($L519="",DATE(1900,1,1),$L519)</f>
        <v/>
      </c>
      <c r="O519" s="24">
        <f>IF($M519="",DATE(2100,12,31),$M519)</f>
        <v/>
      </c>
      <c r="P519" s="16" t="inlineStr"/>
      <c r="Q519" s="16" t="inlineStr"/>
      <c r="R519" s="29">
        <f>IF($C519="","",IFERROR(IF(INDEX(Deals!$U$2:$U$355,MATCH($C519,Deals!$A$2:$A$355,0))=0,"",INDEX(Deals!$U$2:$U$355,MATCH($C519,Deals!$A$2:$A$355,0))),""))</f>
        <v/>
      </c>
      <c r="S519" s="22">
        <f>IFERROR(IF($U519="",1,INDEX(Deals!$V$2:$V$355,MATCH($C519,Deals!$A$2:$A$355,0))),1)</f>
        <v/>
      </c>
      <c r="T519" s="22">
        <f>IFERROR(IF($U519="",1,INDEX(Deals!$W$2:$W$355,MATCH($C519,Deals!$A$2:$A$355,0))),1)</f>
        <v/>
      </c>
      <c r="U519" s="31">
        <f>IF($C519="","",IFERROR(IF(INDEX(Deals!$Y$2:$Y$355,MATCH($C519,Deals!$A$2:$A$355,0))=0,"",INDEX(Deals!$Y$2:$Y$355,MATCH($C519,Deals!$A$2:$A$355,0))),""))</f>
        <v/>
      </c>
      <c r="V519" s="24">
        <f>IF($U519="",DATE(1900,1,1),$N519)</f>
        <v/>
      </c>
      <c r="W519" s="24">
        <f>IF($U519="",DATE(2100,12,31),$U519)</f>
        <v/>
      </c>
      <c r="X519" s="20">
        <f>IF($U519="",$K519,$K519*$S519)</f>
        <v/>
      </c>
      <c r="Y519" s="24">
        <f>IF($U519="",DATE(2100,12,31),$U519+1)</f>
        <v/>
      </c>
      <c r="Z519" s="24">
        <f>IF($U519="",DATE(1900,1,1),$O519)</f>
        <v/>
      </c>
      <c r="AA519" s="20">
        <f>IF($U519="",0,$K519*$T519)</f>
        <v/>
      </c>
    </row>
    <row r="520">
      <c r="A520" s="15" t="inlineStr">
        <is>
          <t>Jennifer Wu</t>
        </is>
      </c>
      <c r="B520" s="29">
        <f>IF($A520="","",IFERROR(INDEX(Roster!$B$2:$B$40,MATCH($A520,Roster!$A$2:$A$40,0)),"?"))</f>
        <v/>
      </c>
      <c r="C520" s="15" t="inlineStr">
        <is>
          <t>Avengers</t>
        </is>
      </c>
      <c r="D520" s="29">
        <f>IF($C520="","",IFERROR(IF(INDEX(Deals!$C$2:$C$355,MATCH($C520,Deals!$A$2:$A$355,0))=0,"",INDEX(Deals!$C$2:$C$355,MATCH($C520,Deals!$A$2:$A$355,0))),"?"))</f>
        <v/>
      </c>
      <c r="E520" s="29">
        <f>IF($C520="","",IFERROR(INDEX(Deals!$F$2:$F$355,MATCH($C520,Deals!$A$2:$A$355,0)),"?"))</f>
        <v/>
      </c>
      <c r="F520" s="15" t="inlineStr">
        <is>
          <t>Senior Associate</t>
        </is>
      </c>
      <c r="G520" s="15" t="inlineStr">
        <is>
          <t>Active</t>
        </is>
      </c>
      <c r="H520" s="27" t="n"/>
      <c r="I520" s="20">
        <f>IF(OR($A520="",$G520&lt;&gt;"Active"),0,IF($H520&lt;&gt;"",$H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</f>
        <v/>
      </c>
      <c r="J520" s="23">
        <f>IF($C520="",0,IFERROR(INDEX(Deals!$H$2:$H$355,MATCH($C520,Deals!$A$2:$A$355,0)),0))</f>
        <v/>
      </c>
      <c r="K520" s="20">
        <f>IF(Settings!$B$4="Yes",$I520*$J520,$I520)</f>
        <v/>
      </c>
      <c r="L520" s="31">
        <f>IF($C520="","",IFERROR(IF(INDEX(Deals!$I$2:$I$355,MATCH($C520,Deals!$A$2:$A$355,0))=0,"",INDEX(Deals!$I$2:$I$355,MATCH($C520,Deals!$A$2:$A$355,0))),""))</f>
        <v/>
      </c>
      <c r="M520" s="31">
        <f>IF($C520="","",IFERROR(IF(INDEX(Deals!$J$2:$J$355,MATCH($C520,Deals!$A$2:$A$355,0))=0,"",INDEX(Deals!$J$2:$J$355,MATCH($C520,Deals!$A$2:$A$355,0))),""))</f>
        <v/>
      </c>
      <c r="N520" s="24">
        <f>IF($L520="",DATE(1900,1,1),$L520)</f>
        <v/>
      </c>
      <c r="O520" s="24">
        <f>IF($M520="",DATE(2100,12,31),$M520)</f>
        <v/>
      </c>
      <c r="P520" s="16" t="inlineStr"/>
      <c r="Q520" s="16" t="inlineStr"/>
      <c r="R520" s="29">
        <f>IF($C520="","",IFERROR(IF(INDEX(Deals!$U$2:$U$355,MATCH($C520,Deals!$A$2:$A$355,0))=0,"",INDEX(Deals!$U$2:$U$355,MATCH($C520,Deals!$A$2:$A$355,0))),""))</f>
        <v/>
      </c>
      <c r="S520" s="22">
        <f>IFERROR(IF($U520="",1,INDEX(Deals!$V$2:$V$355,MATCH($C520,Deals!$A$2:$A$355,0))),1)</f>
        <v/>
      </c>
      <c r="T520" s="22">
        <f>IFERROR(IF($U520="",1,INDEX(Deals!$W$2:$W$355,MATCH($C520,Deals!$A$2:$A$355,0))),1)</f>
        <v/>
      </c>
      <c r="U520" s="31">
        <f>IF($C520="","",IFERROR(IF(INDEX(Deals!$Y$2:$Y$355,MATCH($C520,Deals!$A$2:$A$355,0))=0,"",INDEX(Deals!$Y$2:$Y$355,MATCH($C520,Deals!$A$2:$A$355,0))),""))</f>
        <v/>
      </c>
      <c r="V520" s="24">
        <f>IF($U520="",DATE(1900,1,1),$N520)</f>
        <v/>
      </c>
      <c r="W520" s="24">
        <f>IF($U520="",DATE(2100,12,31),$U520)</f>
        <v/>
      </c>
      <c r="X520" s="20">
        <f>IF($U520="",$K520,$K520*$S520)</f>
        <v/>
      </c>
      <c r="Y520" s="24">
        <f>IF($U520="",DATE(2100,12,31),$U520+1)</f>
        <v/>
      </c>
      <c r="Z520" s="24">
        <f>IF($U520="",DATE(1900,1,1),$O520)</f>
        <v/>
      </c>
      <c r="AA520" s="20">
        <f>IF($U520="",0,$K520*$T520)</f>
        <v/>
      </c>
    </row>
    <row r="521">
      <c r="A521" s="15" t="inlineStr">
        <is>
          <t>Jennifer Wu</t>
        </is>
      </c>
      <c r="B521" s="29">
        <f>IF($A521="","",IFERROR(INDEX(Roster!$B$2:$B$40,MATCH($A521,Roster!$A$2:$A$40,0)),"?"))</f>
        <v/>
      </c>
      <c r="C521" s="15" t="inlineStr">
        <is>
          <t>B2V_1</t>
        </is>
      </c>
      <c r="D521" s="29">
        <f>IF($C521="","",IFERROR(IF(INDEX(Deals!$C$2:$C$355,MATCH($C521,Deals!$A$2:$A$355,0))=0,"",INDEX(Deals!$C$2:$C$355,MATCH($C521,Deals!$A$2:$A$355,0))),"?"))</f>
        <v/>
      </c>
      <c r="E521" s="29">
        <f>IF($C521="","",IFERROR(INDEX(Deals!$F$2:$F$355,MATCH($C521,Deals!$A$2:$A$355,0)),"?"))</f>
        <v/>
      </c>
      <c r="F521" s="15" t="inlineStr">
        <is>
          <t>Senior Associate</t>
        </is>
      </c>
      <c r="G521" s="15" t="inlineStr">
        <is>
          <t>Active</t>
        </is>
      </c>
      <c r="H521" s="27" t="n"/>
      <c r="I521" s="20">
        <f>IF(OR($A521="",$G521&lt;&gt;"Active"),0,IF($H521&lt;&gt;"",$H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</f>
        <v/>
      </c>
      <c r="J521" s="23">
        <f>IF($C521="",0,IFERROR(INDEX(Deals!$H$2:$H$355,MATCH($C521,Deals!$A$2:$A$355,0)),0))</f>
        <v/>
      </c>
      <c r="K521" s="20">
        <f>IF(Settings!$B$4="Yes",$I521*$J521,$I521)</f>
        <v/>
      </c>
      <c r="L521" s="31">
        <f>IF($C521="","",IFERROR(IF(INDEX(Deals!$I$2:$I$355,MATCH($C521,Deals!$A$2:$A$355,0))=0,"",INDEX(Deals!$I$2:$I$355,MATCH($C521,Deals!$A$2:$A$355,0))),""))</f>
        <v/>
      </c>
      <c r="M521" s="31">
        <f>IF($C521="","",IFERROR(IF(INDEX(Deals!$J$2:$J$355,MATCH($C521,Deals!$A$2:$A$355,0))=0,"",INDEX(Deals!$J$2:$J$355,MATCH($C521,Deals!$A$2:$A$355,0))),""))</f>
        <v/>
      </c>
      <c r="N521" s="24">
        <f>IF($L521="",DATE(1900,1,1),$L521)</f>
        <v/>
      </c>
      <c r="O521" s="24">
        <f>IF($M521="",DATE(2100,12,31),$M521)</f>
        <v/>
      </c>
      <c r="P521" s="16" t="inlineStr"/>
      <c r="Q521" s="16" t="inlineStr"/>
      <c r="R521" s="29">
        <f>IF($C521="","",IFERROR(IF(INDEX(Deals!$U$2:$U$355,MATCH($C521,Deals!$A$2:$A$355,0))=0,"",INDEX(Deals!$U$2:$U$355,MATCH($C521,Deals!$A$2:$A$355,0))),""))</f>
        <v/>
      </c>
      <c r="S521" s="22">
        <f>IFERROR(IF($U521="",1,INDEX(Deals!$V$2:$V$355,MATCH($C521,Deals!$A$2:$A$355,0))),1)</f>
        <v/>
      </c>
      <c r="T521" s="22">
        <f>IFERROR(IF($U521="",1,INDEX(Deals!$W$2:$W$355,MATCH($C521,Deals!$A$2:$A$355,0))),1)</f>
        <v/>
      </c>
      <c r="U521" s="31">
        <f>IF($C521="","",IFERROR(IF(INDEX(Deals!$Y$2:$Y$355,MATCH($C521,Deals!$A$2:$A$355,0))=0,"",INDEX(Deals!$Y$2:$Y$355,MATCH($C521,Deals!$A$2:$A$355,0))),""))</f>
        <v/>
      </c>
      <c r="V521" s="24">
        <f>IF($U521="",DATE(1900,1,1),$N521)</f>
        <v/>
      </c>
      <c r="W521" s="24">
        <f>IF($U521="",DATE(2100,12,31),$U521)</f>
        <v/>
      </c>
      <c r="X521" s="20">
        <f>IF($U521="",$K521,$K521*$S521)</f>
        <v/>
      </c>
      <c r="Y521" s="24">
        <f>IF($U521="",DATE(2100,12,31),$U521+1)</f>
        <v/>
      </c>
      <c r="Z521" s="24">
        <f>IF($U521="",DATE(1900,1,1),$O521)</f>
        <v/>
      </c>
      <c r="AA521" s="20">
        <f>IF($U521="",0,$K521*$T521)</f>
        <v/>
      </c>
    </row>
    <row r="522">
      <c r="A522" s="15" t="inlineStr">
        <is>
          <t>Jennifer Wu</t>
        </is>
      </c>
      <c r="B522" s="29">
        <f>IF($A522="","",IFERROR(INDEX(Roster!$B$2:$B$40,MATCH($A522,Roster!$A$2:$A$40,0)),"?"))</f>
        <v/>
      </c>
      <c r="C522" s="15" t="inlineStr">
        <is>
          <t>Bay_2</t>
        </is>
      </c>
      <c r="D522" s="29">
        <f>IF($C522="","",IFERROR(IF(INDEX(Deals!$C$2:$C$355,MATCH($C522,Deals!$A$2:$A$355,0))=0,"",INDEX(Deals!$C$2:$C$355,MATCH($C522,Deals!$A$2:$A$355,0))),"?"))</f>
        <v/>
      </c>
      <c r="E522" s="29">
        <f>IF($C522="","",IFERROR(INDEX(Deals!$F$2:$F$355,MATCH($C522,Deals!$A$2:$A$355,0)),"?"))</f>
        <v/>
      </c>
      <c r="F522" s="15" t="inlineStr">
        <is>
          <t>Senior Associate</t>
        </is>
      </c>
      <c r="G522" s="15" t="inlineStr">
        <is>
          <t>Active</t>
        </is>
      </c>
      <c r="H522" s="27" t="n"/>
      <c r="I522" s="20">
        <f>IF(OR($A522="",$G522&lt;&gt;"Active"),0,IF($H522&lt;&gt;"",$H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</f>
        <v/>
      </c>
      <c r="J522" s="23">
        <f>IF($C522="",0,IFERROR(INDEX(Deals!$H$2:$H$355,MATCH($C522,Deals!$A$2:$A$355,0)),0))</f>
        <v/>
      </c>
      <c r="K522" s="20">
        <f>IF(Settings!$B$4="Yes",$I522*$J522,$I522)</f>
        <v/>
      </c>
      <c r="L522" s="31">
        <f>IF($C522="","",IFERROR(IF(INDEX(Deals!$I$2:$I$355,MATCH($C522,Deals!$A$2:$A$355,0))=0,"",INDEX(Deals!$I$2:$I$355,MATCH($C522,Deals!$A$2:$A$355,0))),""))</f>
        <v/>
      </c>
      <c r="M522" s="31">
        <f>IF($C522="","",IFERROR(IF(INDEX(Deals!$J$2:$J$355,MATCH($C522,Deals!$A$2:$A$355,0))=0,"",INDEX(Deals!$J$2:$J$355,MATCH($C522,Deals!$A$2:$A$355,0))),""))</f>
        <v/>
      </c>
      <c r="N522" s="24">
        <f>IF($L522="",DATE(1900,1,1),$L522)</f>
        <v/>
      </c>
      <c r="O522" s="24">
        <f>IF($M522="",DATE(2100,12,31),$M522)</f>
        <v/>
      </c>
      <c r="P522" s="16" t="inlineStr"/>
      <c r="Q522" s="16" t="inlineStr"/>
      <c r="R522" s="29">
        <f>IF($C522="","",IFERROR(IF(INDEX(Deals!$U$2:$U$355,MATCH($C522,Deals!$A$2:$A$355,0))=0,"",INDEX(Deals!$U$2:$U$355,MATCH($C522,Deals!$A$2:$A$355,0))),""))</f>
        <v/>
      </c>
      <c r="S522" s="22">
        <f>IFERROR(IF($U522="",1,INDEX(Deals!$V$2:$V$355,MATCH($C522,Deals!$A$2:$A$355,0))),1)</f>
        <v/>
      </c>
      <c r="T522" s="22">
        <f>IFERROR(IF($U522="",1,INDEX(Deals!$W$2:$W$355,MATCH($C522,Deals!$A$2:$A$355,0))),1)</f>
        <v/>
      </c>
      <c r="U522" s="31">
        <f>IF($C522="","",IFERROR(IF(INDEX(Deals!$Y$2:$Y$355,MATCH($C522,Deals!$A$2:$A$355,0))=0,"",INDEX(Deals!$Y$2:$Y$355,MATCH($C522,Deals!$A$2:$A$355,0))),""))</f>
        <v/>
      </c>
      <c r="V522" s="24">
        <f>IF($U522="",DATE(1900,1,1),$N522)</f>
        <v/>
      </c>
      <c r="W522" s="24">
        <f>IF($U522="",DATE(2100,12,31),$U522)</f>
        <v/>
      </c>
      <c r="X522" s="20">
        <f>IF($U522="",$K522,$K522*$S522)</f>
        <v/>
      </c>
      <c r="Y522" s="24">
        <f>IF($U522="",DATE(2100,12,31),$U522+1)</f>
        <v/>
      </c>
      <c r="Z522" s="24">
        <f>IF($U522="",DATE(1900,1,1),$O522)</f>
        <v/>
      </c>
      <c r="AA522" s="20">
        <f>IF($U522="",0,$K522*$T522)</f>
        <v/>
      </c>
    </row>
    <row r="523">
      <c r="A523" s="15" t="inlineStr">
        <is>
          <t>Jennifer Wu</t>
        </is>
      </c>
      <c r="B523" s="29">
        <f>IF($A523="","",IFERROR(INDEX(Roster!$B$2:$B$40,MATCH($A523,Roster!$A$2:$A$40,0)),"?"))</f>
        <v/>
      </c>
      <c r="C523" s="15" t="inlineStr">
        <is>
          <t>Breakaway_1</t>
        </is>
      </c>
      <c r="D523" s="29">
        <f>IF($C523="","",IFERROR(IF(INDEX(Deals!$C$2:$C$355,MATCH($C523,Deals!$A$2:$A$355,0))=0,"",INDEX(Deals!$C$2:$C$355,MATCH($C523,Deals!$A$2:$A$355,0))),"?"))</f>
        <v/>
      </c>
      <c r="E523" s="29">
        <f>IF($C523="","",IFERROR(INDEX(Deals!$F$2:$F$355,MATCH($C523,Deals!$A$2:$A$355,0)),"?"))</f>
        <v/>
      </c>
      <c r="F523" s="15" t="inlineStr">
        <is>
          <t>Senior Associate</t>
        </is>
      </c>
      <c r="G523" s="15" t="inlineStr">
        <is>
          <t>Active</t>
        </is>
      </c>
      <c r="H523" s="27" t="n"/>
      <c r="I523" s="20">
        <f>IF(OR($A523="",$G523&lt;&gt;"Active"),0,IF($H523&lt;&gt;"",$H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</f>
        <v/>
      </c>
      <c r="J523" s="23">
        <f>IF($C523="",0,IFERROR(INDEX(Deals!$H$2:$H$355,MATCH($C523,Deals!$A$2:$A$355,0)),0))</f>
        <v/>
      </c>
      <c r="K523" s="20">
        <f>IF(Settings!$B$4="Yes",$I523*$J523,$I523)</f>
        <v/>
      </c>
      <c r="L523" s="31">
        <f>IF($C523="","",IFERROR(IF(INDEX(Deals!$I$2:$I$355,MATCH($C523,Deals!$A$2:$A$355,0))=0,"",INDEX(Deals!$I$2:$I$355,MATCH($C523,Deals!$A$2:$A$355,0))),""))</f>
        <v/>
      </c>
      <c r="M523" s="31">
        <f>IF($C523="","",IFERROR(IF(INDEX(Deals!$J$2:$J$355,MATCH($C523,Deals!$A$2:$A$355,0))=0,"",INDEX(Deals!$J$2:$J$355,MATCH($C523,Deals!$A$2:$A$355,0))),""))</f>
        <v/>
      </c>
      <c r="N523" s="24">
        <f>IF($L523="",DATE(1900,1,1),$L523)</f>
        <v/>
      </c>
      <c r="O523" s="24">
        <f>IF($M523="",DATE(2100,12,31),$M523)</f>
        <v/>
      </c>
      <c r="P523" s="16" t="inlineStr"/>
      <c r="Q523" s="16" t="inlineStr"/>
      <c r="R523" s="29">
        <f>IF($C523="","",IFERROR(IF(INDEX(Deals!$U$2:$U$355,MATCH($C523,Deals!$A$2:$A$355,0))=0,"",INDEX(Deals!$U$2:$U$355,MATCH($C523,Deals!$A$2:$A$355,0))),""))</f>
        <v/>
      </c>
      <c r="S523" s="22">
        <f>IFERROR(IF($U523="",1,INDEX(Deals!$V$2:$V$355,MATCH($C523,Deals!$A$2:$A$355,0))),1)</f>
        <v/>
      </c>
      <c r="T523" s="22">
        <f>IFERROR(IF($U523="",1,INDEX(Deals!$W$2:$W$355,MATCH($C523,Deals!$A$2:$A$355,0))),1)</f>
        <v/>
      </c>
      <c r="U523" s="31">
        <f>IF($C523="","",IFERROR(IF(INDEX(Deals!$Y$2:$Y$355,MATCH($C523,Deals!$A$2:$A$355,0))=0,"",INDEX(Deals!$Y$2:$Y$355,MATCH($C523,Deals!$A$2:$A$355,0))),""))</f>
        <v/>
      </c>
      <c r="V523" s="24">
        <f>IF($U523="",DATE(1900,1,1),$N523)</f>
        <v/>
      </c>
      <c r="W523" s="24">
        <f>IF($U523="",DATE(2100,12,31),$U523)</f>
        <v/>
      </c>
      <c r="X523" s="20">
        <f>IF($U523="",$K523,$K523*$S523)</f>
        <v/>
      </c>
      <c r="Y523" s="24">
        <f>IF($U523="",DATE(2100,12,31),$U523+1)</f>
        <v/>
      </c>
      <c r="Z523" s="24">
        <f>IF($U523="",DATE(1900,1,1),$O523)</f>
        <v/>
      </c>
      <c r="AA523" s="20">
        <f>IF($U523="",0,$K523*$T523)</f>
        <v/>
      </c>
    </row>
    <row r="524">
      <c r="A524" s="15" t="inlineStr">
        <is>
          <t>Jennifer Wu</t>
        </is>
      </c>
      <c r="B524" s="29">
        <f>IF($A524="","",IFERROR(INDEX(Roster!$B$2:$B$40,MATCH($A524,Roster!$A$2:$A$40,0)),"?"))</f>
        <v/>
      </c>
      <c r="C524" s="15" t="inlineStr">
        <is>
          <t>Cactus</t>
        </is>
      </c>
      <c r="D524" s="29">
        <f>IF($C524="","",IFERROR(IF(INDEX(Deals!$C$2:$C$355,MATCH($C524,Deals!$A$2:$A$355,0))=0,"",INDEX(Deals!$C$2:$C$355,MATCH($C524,Deals!$A$2:$A$355,0))),"?"))</f>
        <v/>
      </c>
      <c r="E524" s="29">
        <f>IF($C524="","",IFERROR(INDEX(Deals!$F$2:$F$355,MATCH($C524,Deals!$A$2:$A$355,0)),"?"))</f>
        <v/>
      </c>
      <c r="F524" s="15" t="inlineStr">
        <is>
          <t>Senior Associate</t>
        </is>
      </c>
      <c r="G524" s="15" t="inlineStr">
        <is>
          <t>Active</t>
        </is>
      </c>
      <c r="H524" s="27" t="n"/>
      <c r="I524" s="20">
        <f>IF(OR($A524="",$G524&lt;&gt;"Active"),0,IF($H524&lt;&gt;"",$H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</f>
        <v/>
      </c>
      <c r="J524" s="23">
        <f>IF($C524="",0,IFERROR(INDEX(Deals!$H$2:$H$355,MATCH($C524,Deals!$A$2:$A$355,0)),0))</f>
        <v/>
      </c>
      <c r="K524" s="20">
        <f>IF(Settings!$B$4="Yes",$I524*$J524,$I524)</f>
        <v/>
      </c>
      <c r="L524" s="31">
        <f>IF($C524="","",IFERROR(IF(INDEX(Deals!$I$2:$I$355,MATCH($C524,Deals!$A$2:$A$355,0))=0,"",INDEX(Deals!$I$2:$I$355,MATCH($C524,Deals!$A$2:$A$355,0))),""))</f>
        <v/>
      </c>
      <c r="M524" s="31">
        <f>IF($C524="","",IFERROR(IF(INDEX(Deals!$J$2:$J$355,MATCH($C524,Deals!$A$2:$A$355,0))=0,"",INDEX(Deals!$J$2:$J$355,MATCH($C524,Deals!$A$2:$A$355,0))),""))</f>
        <v/>
      </c>
      <c r="N524" s="24">
        <f>IF($L524="",DATE(1900,1,1),$L524)</f>
        <v/>
      </c>
      <c r="O524" s="24">
        <f>IF($M524="",DATE(2100,12,31),$M524)</f>
        <v/>
      </c>
      <c r="P524" s="16" t="inlineStr"/>
      <c r="Q524" s="16" t="inlineStr"/>
      <c r="R524" s="29">
        <f>IF($C524="","",IFERROR(IF(INDEX(Deals!$U$2:$U$355,MATCH($C524,Deals!$A$2:$A$355,0))=0,"",INDEX(Deals!$U$2:$U$355,MATCH($C524,Deals!$A$2:$A$355,0))),""))</f>
        <v/>
      </c>
      <c r="S524" s="22">
        <f>IFERROR(IF($U524="",1,INDEX(Deals!$V$2:$V$355,MATCH($C524,Deals!$A$2:$A$355,0))),1)</f>
        <v/>
      </c>
      <c r="T524" s="22">
        <f>IFERROR(IF($U524="",1,INDEX(Deals!$W$2:$W$355,MATCH($C524,Deals!$A$2:$A$355,0))),1)</f>
        <v/>
      </c>
      <c r="U524" s="31">
        <f>IF($C524="","",IFERROR(IF(INDEX(Deals!$Y$2:$Y$355,MATCH($C524,Deals!$A$2:$A$355,0))=0,"",INDEX(Deals!$Y$2:$Y$355,MATCH($C524,Deals!$A$2:$A$355,0))),""))</f>
        <v/>
      </c>
      <c r="V524" s="24">
        <f>IF($U524="",DATE(1900,1,1),$N524)</f>
        <v/>
      </c>
      <c r="W524" s="24">
        <f>IF($U524="",DATE(2100,12,31),$U524)</f>
        <v/>
      </c>
      <c r="X524" s="20">
        <f>IF($U524="",$K524,$K524*$S524)</f>
        <v/>
      </c>
      <c r="Y524" s="24">
        <f>IF($U524="",DATE(2100,12,31),$U524+1)</f>
        <v/>
      </c>
      <c r="Z524" s="24">
        <f>IF($U524="",DATE(1900,1,1),$O524)</f>
        <v/>
      </c>
      <c r="AA524" s="20">
        <f>IF($U524="",0,$K524*$T524)</f>
        <v/>
      </c>
    </row>
    <row r="525">
      <c r="A525" s="15" t="inlineStr">
        <is>
          <t>Jennifer Wu</t>
        </is>
      </c>
      <c r="B525" s="29">
        <f>IF($A525="","",IFERROR(INDEX(Roster!$B$2:$B$40,MATCH($A525,Roster!$A$2:$A$40,0)),"?"))</f>
        <v/>
      </c>
      <c r="C525" s="15" t="inlineStr">
        <is>
          <t>Canyon_2</t>
        </is>
      </c>
      <c r="D525" s="29">
        <f>IF($C525="","",IFERROR(IF(INDEX(Deals!$C$2:$C$355,MATCH($C525,Deals!$A$2:$A$355,0))=0,"",INDEX(Deals!$C$2:$C$355,MATCH($C525,Deals!$A$2:$A$355,0))),"?"))</f>
        <v/>
      </c>
      <c r="E525" s="29">
        <f>IF($C525="","",IFERROR(INDEX(Deals!$F$2:$F$355,MATCH($C525,Deals!$A$2:$A$355,0)),"?"))</f>
        <v/>
      </c>
      <c r="F525" s="15" t="inlineStr">
        <is>
          <t>Senior Associate</t>
        </is>
      </c>
      <c r="G525" s="15" t="inlineStr">
        <is>
          <t>Active</t>
        </is>
      </c>
      <c r="H525" s="27" t="n"/>
      <c r="I525" s="20">
        <f>IF(OR($A525="",$G525&lt;&gt;"Active"),0,IF($H525&lt;&gt;"",$H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</f>
        <v/>
      </c>
      <c r="J525" s="23">
        <f>IF($C525="",0,IFERROR(INDEX(Deals!$H$2:$H$355,MATCH($C525,Deals!$A$2:$A$355,0)),0))</f>
        <v/>
      </c>
      <c r="K525" s="20">
        <f>IF(Settings!$B$4="Yes",$I525*$J525,$I525)</f>
        <v/>
      </c>
      <c r="L525" s="31">
        <f>IF($C525="","",IFERROR(IF(INDEX(Deals!$I$2:$I$355,MATCH($C525,Deals!$A$2:$A$355,0))=0,"",INDEX(Deals!$I$2:$I$355,MATCH($C525,Deals!$A$2:$A$355,0))),""))</f>
        <v/>
      </c>
      <c r="M525" s="31">
        <f>IF($C525="","",IFERROR(IF(INDEX(Deals!$J$2:$J$355,MATCH($C525,Deals!$A$2:$A$355,0))=0,"",INDEX(Deals!$J$2:$J$355,MATCH($C525,Deals!$A$2:$A$355,0))),""))</f>
        <v/>
      </c>
      <c r="N525" s="24">
        <f>IF($L525="",DATE(1900,1,1),$L525)</f>
        <v/>
      </c>
      <c r="O525" s="24">
        <f>IF($M525="",DATE(2100,12,31),$M525)</f>
        <v/>
      </c>
      <c r="P525" s="16" t="inlineStr"/>
      <c r="Q525" s="16" t="inlineStr"/>
      <c r="R525" s="29">
        <f>IF($C525="","",IFERROR(IF(INDEX(Deals!$U$2:$U$355,MATCH($C525,Deals!$A$2:$A$355,0))=0,"",INDEX(Deals!$U$2:$U$355,MATCH($C525,Deals!$A$2:$A$355,0))),""))</f>
        <v/>
      </c>
      <c r="S525" s="22">
        <f>IFERROR(IF($U525="",1,INDEX(Deals!$V$2:$V$355,MATCH($C525,Deals!$A$2:$A$355,0))),1)</f>
        <v/>
      </c>
      <c r="T525" s="22">
        <f>IFERROR(IF($U525="",1,INDEX(Deals!$W$2:$W$355,MATCH($C525,Deals!$A$2:$A$355,0))),1)</f>
        <v/>
      </c>
      <c r="U525" s="31">
        <f>IF($C525="","",IFERROR(IF(INDEX(Deals!$Y$2:$Y$355,MATCH($C525,Deals!$A$2:$A$355,0))=0,"",INDEX(Deals!$Y$2:$Y$355,MATCH($C525,Deals!$A$2:$A$355,0))),""))</f>
        <v/>
      </c>
      <c r="V525" s="24">
        <f>IF($U525="",DATE(1900,1,1),$N525)</f>
        <v/>
      </c>
      <c r="W525" s="24">
        <f>IF($U525="",DATE(2100,12,31),$U525)</f>
        <v/>
      </c>
      <c r="X525" s="20">
        <f>IF($U525="",$K525,$K525*$S525)</f>
        <v/>
      </c>
      <c r="Y525" s="24">
        <f>IF($U525="",DATE(2100,12,31),$U525+1)</f>
        <v/>
      </c>
      <c r="Z525" s="24">
        <f>IF($U525="",DATE(1900,1,1),$O525)</f>
        <v/>
      </c>
      <c r="AA525" s="20">
        <f>IF($U525="",0,$K525*$T525)</f>
        <v/>
      </c>
    </row>
    <row r="526">
      <c r="A526" s="15" t="inlineStr">
        <is>
          <t>Jennifer Wu</t>
        </is>
      </c>
      <c r="B526" s="29">
        <f>IF($A526="","",IFERROR(INDEX(Roster!$B$2:$B$40,MATCH($A526,Roster!$A$2:$A$40,0)),"?"))</f>
        <v/>
      </c>
      <c r="C526" s="15" t="inlineStr">
        <is>
          <t>Concrete_1</t>
        </is>
      </c>
      <c r="D526" s="29">
        <f>IF($C526="","",IFERROR(IF(INDEX(Deals!$C$2:$C$355,MATCH($C526,Deals!$A$2:$A$355,0))=0,"",INDEX(Deals!$C$2:$C$355,MATCH($C526,Deals!$A$2:$A$355,0))),"?"))</f>
        <v/>
      </c>
      <c r="E526" s="29">
        <f>IF($C526="","",IFERROR(INDEX(Deals!$F$2:$F$355,MATCH($C526,Deals!$A$2:$A$355,0)),"?"))</f>
        <v/>
      </c>
      <c r="F526" s="15" t="inlineStr">
        <is>
          <t>Senior Associate</t>
        </is>
      </c>
      <c r="G526" s="15" t="inlineStr">
        <is>
          <t>Active</t>
        </is>
      </c>
      <c r="H526" s="27" t="n"/>
      <c r="I526" s="20">
        <f>IF(OR($A526="",$G526&lt;&gt;"Active"),0,IF($H526&lt;&gt;"",$H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</f>
        <v/>
      </c>
      <c r="J526" s="23">
        <f>IF($C526="",0,IFERROR(INDEX(Deals!$H$2:$H$355,MATCH($C526,Deals!$A$2:$A$355,0)),0))</f>
        <v/>
      </c>
      <c r="K526" s="20">
        <f>IF(Settings!$B$4="Yes",$I526*$J526,$I526)</f>
        <v/>
      </c>
      <c r="L526" s="31">
        <f>IF($C526="","",IFERROR(IF(INDEX(Deals!$I$2:$I$355,MATCH($C526,Deals!$A$2:$A$355,0))=0,"",INDEX(Deals!$I$2:$I$355,MATCH($C526,Deals!$A$2:$A$355,0))),""))</f>
        <v/>
      </c>
      <c r="M526" s="31">
        <f>IF($C526="","",IFERROR(IF(INDEX(Deals!$J$2:$J$355,MATCH($C526,Deals!$A$2:$A$355,0))=0,"",INDEX(Deals!$J$2:$J$355,MATCH($C526,Deals!$A$2:$A$355,0))),""))</f>
        <v/>
      </c>
      <c r="N526" s="24">
        <f>IF($L526="",DATE(1900,1,1),$L526)</f>
        <v/>
      </c>
      <c r="O526" s="24">
        <f>IF($M526="",DATE(2100,12,31),$M526)</f>
        <v/>
      </c>
      <c r="P526" s="16" t="inlineStr"/>
      <c r="Q526" s="16" t="inlineStr"/>
      <c r="R526" s="29">
        <f>IF($C526="","",IFERROR(IF(INDEX(Deals!$U$2:$U$355,MATCH($C526,Deals!$A$2:$A$355,0))=0,"",INDEX(Deals!$U$2:$U$355,MATCH($C526,Deals!$A$2:$A$355,0))),""))</f>
        <v/>
      </c>
      <c r="S526" s="22">
        <f>IFERROR(IF($U526="",1,INDEX(Deals!$V$2:$V$355,MATCH($C526,Deals!$A$2:$A$355,0))),1)</f>
        <v/>
      </c>
      <c r="T526" s="22">
        <f>IFERROR(IF($U526="",1,INDEX(Deals!$W$2:$W$355,MATCH($C526,Deals!$A$2:$A$355,0))),1)</f>
        <v/>
      </c>
      <c r="U526" s="31">
        <f>IF($C526="","",IFERROR(IF(INDEX(Deals!$Y$2:$Y$355,MATCH($C526,Deals!$A$2:$A$355,0))=0,"",INDEX(Deals!$Y$2:$Y$355,MATCH($C526,Deals!$A$2:$A$355,0))),""))</f>
        <v/>
      </c>
      <c r="V526" s="24">
        <f>IF($U526="",DATE(1900,1,1),$N526)</f>
        <v/>
      </c>
      <c r="W526" s="24">
        <f>IF($U526="",DATE(2100,12,31),$U526)</f>
        <v/>
      </c>
      <c r="X526" s="20">
        <f>IF($U526="",$K526,$K526*$S526)</f>
        <v/>
      </c>
      <c r="Y526" s="24">
        <f>IF($U526="",DATE(2100,12,31),$U526+1)</f>
        <v/>
      </c>
      <c r="Z526" s="24">
        <f>IF($U526="",DATE(1900,1,1),$O526)</f>
        <v/>
      </c>
      <c r="AA526" s="20">
        <f>IF($U526="",0,$K526*$T526)</f>
        <v/>
      </c>
    </row>
    <row r="527">
      <c r="A527" s="15" t="inlineStr">
        <is>
          <t>Jennifer Wu</t>
        </is>
      </c>
      <c r="B527" s="29">
        <f>IF($A527="","",IFERROR(INDEX(Roster!$B$2:$B$40,MATCH($A527,Roster!$A$2:$A$40,0)),"?"))</f>
        <v/>
      </c>
      <c r="C527" s="15" t="inlineStr">
        <is>
          <t>Denali_3</t>
        </is>
      </c>
      <c r="D527" s="29">
        <f>IF($C527="","",IFERROR(IF(INDEX(Deals!$C$2:$C$355,MATCH($C527,Deals!$A$2:$A$355,0))=0,"",INDEX(Deals!$C$2:$C$355,MATCH($C527,Deals!$A$2:$A$355,0))),"?"))</f>
        <v/>
      </c>
      <c r="E527" s="29">
        <f>IF($C527="","",IFERROR(INDEX(Deals!$F$2:$F$355,MATCH($C527,Deals!$A$2:$A$355,0)),"?"))</f>
        <v/>
      </c>
      <c r="F527" s="15" t="inlineStr">
        <is>
          <t>Senior Associate</t>
        </is>
      </c>
      <c r="G527" s="15" t="inlineStr">
        <is>
          <t>Active</t>
        </is>
      </c>
      <c r="H527" s="27" t="n"/>
      <c r="I527" s="20">
        <f>IF(OR($A527="",$G527&lt;&gt;"Active"),0,IF($H527&lt;&gt;"",$H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</f>
        <v/>
      </c>
      <c r="J527" s="23">
        <f>IF($C527="",0,IFERROR(INDEX(Deals!$H$2:$H$355,MATCH($C527,Deals!$A$2:$A$355,0)),0))</f>
        <v/>
      </c>
      <c r="K527" s="20">
        <f>IF(Settings!$B$4="Yes",$I527*$J527,$I527)</f>
        <v/>
      </c>
      <c r="L527" s="31">
        <f>IF($C527="","",IFERROR(IF(INDEX(Deals!$I$2:$I$355,MATCH($C527,Deals!$A$2:$A$355,0))=0,"",INDEX(Deals!$I$2:$I$355,MATCH($C527,Deals!$A$2:$A$355,0))),""))</f>
        <v/>
      </c>
      <c r="M527" s="31">
        <f>IF($C527="","",IFERROR(IF(INDEX(Deals!$J$2:$J$355,MATCH($C527,Deals!$A$2:$A$355,0))=0,"",INDEX(Deals!$J$2:$J$355,MATCH($C527,Deals!$A$2:$A$355,0))),""))</f>
        <v/>
      </c>
      <c r="N527" s="24">
        <f>IF($L527="",DATE(1900,1,1),$L527)</f>
        <v/>
      </c>
      <c r="O527" s="24">
        <f>IF($M527="",DATE(2100,12,31),$M527)</f>
        <v/>
      </c>
      <c r="P527" s="16" t="inlineStr"/>
      <c r="Q527" s="16" t="inlineStr"/>
      <c r="R527" s="29">
        <f>IF($C527="","",IFERROR(IF(INDEX(Deals!$U$2:$U$355,MATCH($C527,Deals!$A$2:$A$355,0))=0,"",INDEX(Deals!$U$2:$U$355,MATCH($C527,Deals!$A$2:$A$355,0))),""))</f>
        <v/>
      </c>
      <c r="S527" s="22">
        <f>IFERROR(IF($U527="",1,INDEX(Deals!$V$2:$V$355,MATCH($C527,Deals!$A$2:$A$355,0))),1)</f>
        <v/>
      </c>
      <c r="T527" s="22">
        <f>IFERROR(IF($U527="",1,INDEX(Deals!$W$2:$W$355,MATCH($C527,Deals!$A$2:$A$355,0))),1)</f>
        <v/>
      </c>
      <c r="U527" s="31">
        <f>IF($C527="","",IFERROR(IF(INDEX(Deals!$Y$2:$Y$355,MATCH($C527,Deals!$A$2:$A$355,0))=0,"",INDEX(Deals!$Y$2:$Y$355,MATCH($C527,Deals!$A$2:$A$355,0))),""))</f>
        <v/>
      </c>
      <c r="V527" s="24">
        <f>IF($U527="",DATE(1900,1,1),$N527)</f>
        <v/>
      </c>
      <c r="W527" s="24">
        <f>IF($U527="",DATE(2100,12,31),$U527)</f>
        <v/>
      </c>
      <c r="X527" s="20">
        <f>IF($U527="",$K527,$K527*$S527)</f>
        <v/>
      </c>
      <c r="Y527" s="24">
        <f>IF($U527="",DATE(2100,12,31),$U527+1)</f>
        <v/>
      </c>
      <c r="Z527" s="24">
        <f>IF($U527="",DATE(1900,1,1),$O527)</f>
        <v/>
      </c>
      <c r="AA527" s="20">
        <f>IF($U527="",0,$K527*$T527)</f>
        <v/>
      </c>
    </row>
    <row r="528">
      <c r="A528" s="15" t="inlineStr">
        <is>
          <t>Jennifer Wu</t>
        </is>
      </c>
      <c r="B528" s="29">
        <f>IF($A528="","",IFERROR(INDEX(Roster!$B$2:$B$40,MATCH($A528,Roster!$A$2:$A$40,0)),"?"))</f>
        <v/>
      </c>
      <c r="C528" s="15" t="inlineStr">
        <is>
          <t>Gemini</t>
        </is>
      </c>
      <c r="D528" s="29">
        <f>IF($C528="","",IFERROR(IF(INDEX(Deals!$C$2:$C$355,MATCH($C528,Deals!$A$2:$A$355,0))=0,"",INDEX(Deals!$C$2:$C$355,MATCH($C528,Deals!$A$2:$A$355,0))),"?"))</f>
        <v/>
      </c>
      <c r="E528" s="29">
        <f>IF($C528="","",IFERROR(INDEX(Deals!$F$2:$F$355,MATCH($C528,Deals!$A$2:$A$355,0)),"?"))</f>
        <v/>
      </c>
      <c r="F528" s="15" t="inlineStr">
        <is>
          <t>Senior Associate</t>
        </is>
      </c>
      <c r="G528" s="15" t="inlineStr">
        <is>
          <t>Active</t>
        </is>
      </c>
      <c r="H528" s="27" t="n"/>
      <c r="I528" s="20">
        <f>IF(OR($A528="",$G528&lt;&gt;"Active"),0,IF($H528&lt;&gt;"",$H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</f>
        <v/>
      </c>
      <c r="J528" s="23">
        <f>IF($C528="",0,IFERROR(INDEX(Deals!$H$2:$H$355,MATCH($C528,Deals!$A$2:$A$355,0)),0))</f>
        <v/>
      </c>
      <c r="K528" s="20">
        <f>IF(Settings!$B$4="Yes",$I528*$J528,$I528)</f>
        <v/>
      </c>
      <c r="L528" s="31">
        <f>IF($C528="","",IFERROR(IF(INDEX(Deals!$I$2:$I$355,MATCH($C528,Deals!$A$2:$A$355,0))=0,"",INDEX(Deals!$I$2:$I$355,MATCH($C528,Deals!$A$2:$A$355,0))),""))</f>
        <v/>
      </c>
      <c r="M528" s="31">
        <f>IF($C528="","",IFERROR(IF(INDEX(Deals!$J$2:$J$355,MATCH($C528,Deals!$A$2:$A$355,0))=0,"",INDEX(Deals!$J$2:$J$355,MATCH($C528,Deals!$A$2:$A$355,0))),""))</f>
        <v/>
      </c>
      <c r="N528" s="24">
        <f>IF($L528="",DATE(1900,1,1),$L528)</f>
        <v/>
      </c>
      <c r="O528" s="24">
        <f>IF($M528="",DATE(2100,12,31),$M528)</f>
        <v/>
      </c>
      <c r="P528" s="16" t="inlineStr"/>
      <c r="Q528" s="16" t="inlineStr"/>
      <c r="R528" s="29">
        <f>IF($C528="","",IFERROR(IF(INDEX(Deals!$U$2:$U$355,MATCH($C528,Deals!$A$2:$A$355,0))=0,"",INDEX(Deals!$U$2:$U$355,MATCH($C528,Deals!$A$2:$A$355,0))),""))</f>
        <v/>
      </c>
      <c r="S528" s="22">
        <f>IFERROR(IF($U528="",1,INDEX(Deals!$V$2:$V$355,MATCH($C528,Deals!$A$2:$A$355,0))),1)</f>
        <v/>
      </c>
      <c r="T528" s="22">
        <f>IFERROR(IF($U528="",1,INDEX(Deals!$W$2:$W$355,MATCH($C528,Deals!$A$2:$A$355,0))),1)</f>
        <v/>
      </c>
      <c r="U528" s="31">
        <f>IF($C528="","",IFERROR(IF(INDEX(Deals!$Y$2:$Y$355,MATCH($C528,Deals!$A$2:$A$355,0))=0,"",INDEX(Deals!$Y$2:$Y$355,MATCH($C528,Deals!$A$2:$A$355,0))),""))</f>
        <v/>
      </c>
      <c r="V528" s="24">
        <f>IF($U528="",DATE(1900,1,1),$N528)</f>
        <v/>
      </c>
      <c r="W528" s="24">
        <f>IF($U528="",DATE(2100,12,31),$U528)</f>
        <v/>
      </c>
      <c r="X528" s="20">
        <f>IF($U528="",$K528,$K528*$S528)</f>
        <v/>
      </c>
      <c r="Y528" s="24">
        <f>IF($U528="",DATE(2100,12,31),$U528+1)</f>
        <v/>
      </c>
      <c r="Z528" s="24">
        <f>IF($U528="",DATE(1900,1,1),$O528)</f>
        <v/>
      </c>
      <c r="AA528" s="20">
        <f>IF($U528="",0,$K528*$T528)</f>
        <v/>
      </c>
    </row>
    <row r="529">
      <c r="A529" s="15" t="inlineStr">
        <is>
          <t>Jennifer Wu</t>
        </is>
      </c>
      <c r="B529" s="29">
        <f>IF($A529="","",IFERROR(INDEX(Roster!$B$2:$B$40,MATCH($A529,Roster!$A$2:$A$40,0)),"?"))</f>
        <v/>
      </c>
      <c r="C529" s="15" t="inlineStr">
        <is>
          <t>Medicis_1</t>
        </is>
      </c>
      <c r="D529" s="29">
        <f>IF($C529="","",IFERROR(IF(INDEX(Deals!$C$2:$C$355,MATCH($C529,Deals!$A$2:$A$355,0))=0,"",INDEX(Deals!$C$2:$C$355,MATCH($C529,Deals!$A$2:$A$355,0))),"?"))</f>
        <v/>
      </c>
      <c r="E529" s="29">
        <f>IF($C529="","",IFERROR(INDEX(Deals!$F$2:$F$355,MATCH($C529,Deals!$A$2:$A$355,0)),"?"))</f>
        <v/>
      </c>
      <c r="F529" s="15" t="inlineStr">
        <is>
          <t>Senior Associate</t>
        </is>
      </c>
      <c r="G529" s="15" t="inlineStr">
        <is>
          <t>Active</t>
        </is>
      </c>
      <c r="H529" s="27" t="n"/>
      <c r="I529" s="20">
        <f>IF(OR($A529="",$G529&lt;&gt;"Active"),0,IF($H529&lt;&gt;"",$H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</f>
        <v/>
      </c>
      <c r="J529" s="23">
        <f>IF($C529="",0,IFERROR(INDEX(Deals!$H$2:$H$355,MATCH($C529,Deals!$A$2:$A$355,0)),0))</f>
        <v/>
      </c>
      <c r="K529" s="20">
        <f>IF(Settings!$B$4="Yes",$I529*$J529,$I529)</f>
        <v/>
      </c>
      <c r="L529" s="31">
        <f>IF($C529="","",IFERROR(IF(INDEX(Deals!$I$2:$I$355,MATCH($C529,Deals!$A$2:$A$355,0))=0,"",INDEX(Deals!$I$2:$I$355,MATCH($C529,Deals!$A$2:$A$355,0))),""))</f>
        <v/>
      </c>
      <c r="M529" s="31">
        <f>IF($C529="","",IFERROR(IF(INDEX(Deals!$J$2:$J$355,MATCH($C529,Deals!$A$2:$A$355,0))=0,"",INDEX(Deals!$J$2:$J$355,MATCH($C529,Deals!$A$2:$A$355,0))),""))</f>
        <v/>
      </c>
      <c r="N529" s="24">
        <f>IF($L529="",DATE(1900,1,1),$L529)</f>
        <v/>
      </c>
      <c r="O529" s="24">
        <f>IF($M529="",DATE(2100,12,31),$M529)</f>
        <v/>
      </c>
      <c r="P529" s="16" t="inlineStr"/>
      <c r="Q529" s="16" t="inlineStr"/>
      <c r="R529" s="29">
        <f>IF($C529="","",IFERROR(IF(INDEX(Deals!$U$2:$U$355,MATCH($C529,Deals!$A$2:$A$355,0))=0,"",INDEX(Deals!$U$2:$U$355,MATCH($C529,Deals!$A$2:$A$355,0))),""))</f>
        <v/>
      </c>
      <c r="S529" s="22">
        <f>IFERROR(IF($U529="",1,INDEX(Deals!$V$2:$V$355,MATCH($C529,Deals!$A$2:$A$355,0))),1)</f>
        <v/>
      </c>
      <c r="T529" s="22">
        <f>IFERROR(IF($U529="",1,INDEX(Deals!$W$2:$W$355,MATCH($C529,Deals!$A$2:$A$355,0))),1)</f>
        <v/>
      </c>
      <c r="U529" s="31">
        <f>IF($C529="","",IFERROR(IF(INDEX(Deals!$Y$2:$Y$355,MATCH($C529,Deals!$A$2:$A$355,0))=0,"",INDEX(Deals!$Y$2:$Y$355,MATCH($C529,Deals!$A$2:$A$355,0))),""))</f>
        <v/>
      </c>
      <c r="V529" s="24">
        <f>IF($U529="",DATE(1900,1,1),$N529)</f>
        <v/>
      </c>
      <c r="W529" s="24">
        <f>IF($U529="",DATE(2100,12,31),$U529)</f>
        <v/>
      </c>
      <c r="X529" s="20">
        <f>IF($U529="",$K529,$K529*$S529)</f>
        <v/>
      </c>
      <c r="Y529" s="24">
        <f>IF($U529="",DATE(2100,12,31),$U529+1)</f>
        <v/>
      </c>
      <c r="Z529" s="24">
        <f>IF($U529="",DATE(1900,1,1),$O529)</f>
        <v/>
      </c>
      <c r="AA529" s="20">
        <f>IF($U529="",0,$K529*$T529)</f>
        <v/>
      </c>
    </row>
    <row r="530">
      <c r="A530" s="15" t="inlineStr">
        <is>
          <t>Jennifer Wu</t>
        </is>
      </c>
      <c r="B530" s="29">
        <f>IF($A530="","",IFERROR(INDEX(Roster!$B$2:$B$40,MATCH($A530,Roster!$A$2:$A$40,0)),"?"))</f>
        <v/>
      </c>
      <c r="C530" s="15" t="inlineStr">
        <is>
          <t>Oasis_2</t>
        </is>
      </c>
      <c r="D530" s="29">
        <f>IF($C530="","",IFERROR(IF(INDEX(Deals!$C$2:$C$355,MATCH($C530,Deals!$A$2:$A$355,0))=0,"",INDEX(Deals!$C$2:$C$355,MATCH($C530,Deals!$A$2:$A$355,0))),"?"))</f>
        <v/>
      </c>
      <c r="E530" s="29">
        <f>IF($C530="","",IFERROR(INDEX(Deals!$F$2:$F$355,MATCH($C530,Deals!$A$2:$A$355,0)),"?"))</f>
        <v/>
      </c>
      <c r="F530" s="15" t="inlineStr">
        <is>
          <t>Senior Associate</t>
        </is>
      </c>
      <c r="G530" s="15" t="inlineStr">
        <is>
          <t>Active</t>
        </is>
      </c>
      <c r="H530" s="27" t="n"/>
      <c r="I530" s="20">
        <f>IF(OR($A530="",$G530&lt;&gt;"Active"),0,IF($H530&lt;&gt;"",$H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</f>
        <v/>
      </c>
      <c r="J530" s="23">
        <f>IF($C530="",0,IFERROR(INDEX(Deals!$H$2:$H$355,MATCH($C530,Deals!$A$2:$A$355,0)),0))</f>
        <v/>
      </c>
      <c r="K530" s="20">
        <f>IF(Settings!$B$4="Yes",$I530*$J530,$I530)</f>
        <v/>
      </c>
      <c r="L530" s="31">
        <f>IF($C530="","",IFERROR(IF(INDEX(Deals!$I$2:$I$355,MATCH($C530,Deals!$A$2:$A$355,0))=0,"",INDEX(Deals!$I$2:$I$355,MATCH($C530,Deals!$A$2:$A$355,0))),""))</f>
        <v/>
      </c>
      <c r="M530" s="31">
        <f>IF($C530="","",IFERROR(IF(INDEX(Deals!$J$2:$J$355,MATCH($C530,Deals!$A$2:$A$355,0))=0,"",INDEX(Deals!$J$2:$J$355,MATCH($C530,Deals!$A$2:$A$355,0))),""))</f>
        <v/>
      </c>
      <c r="N530" s="24">
        <f>IF($L530="",DATE(1900,1,1),$L530)</f>
        <v/>
      </c>
      <c r="O530" s="24">
        <f>IF($M530="",DATE(2100,12,31),$M530)</f>
        <v/>
      </c>
      <c r="P530" s="16" t="inlineStr"/>
      <c r="Q530" s="16" t="inlineStr"/>
      <c r="R530" s="29">
        <f>IF($C530="","",IFERROR(IF(INDEX(Deals!$U$2:$U$355,MATCH($C530,Deals!$A$2:$A$355,0))=0,"",INDEX(Deals!$U$2:$U$355,MATCH($C530,Deals!$A$2:$A$355,0))),""))</f>
        <v/>
      </c>
      <c r="S530" s="22">
        <f>IFERROR(IF($U530="",1,INDEX(Deals!$V$2:$V$355,MATCH($C530,Deals!$A$2:$A$355,0))),1)</f>
        <v/>
      </c>
      <c r="T530" s="22">
        <f>IFERROR(IF($U530="",1,INDEX(Deals!$W$2:$W$355,MATCH($C530,Deals!$A$2:$A$355,0))),1)</f>
        <v/>
      </c>
      <c r="U530" s="31">
        <f>IF($C530="","",IFERROR(IF(INDEX(Deals!$Y$2:$Y$355,MATCH($C530,Deals!$A$2:$A$355,0))=0,"",INDEX(Deals!$Y$2:$Y$355,MATCH($C530,Deals!$A$2:$A$355,0))),""))</f>
        <v/>
      </c>
      <c r="V530" s="24">
        <f>IF($U530="",DATE(1900,1,1),$N530)</f>
        <v/>
      </c>
      <c r="W530" s="24">
        <f>IF($U530="",DATE(2100,12,31),$U530)</f>
        <v/>
      </c>
      <c r="X530" s="20">
        <f>IF($U530="",$K530,$K530*$S530)</f>
        <v/>
      </c>
      <c r="Y530" s="24">
        <f>IF($U530="",DATE(2100,12,31),$U530+1)</f>
        <v/>
      </c>
      <c r="Z530" s="24">
        <f>IF($U530="",DATE(1900,1,1),$O530)</f>
        <v/>
      </c>
      <c r="AA530" s="20">
        <f>IF($U530="",0,$K530*$T530)</f>
        <v/>
      </c>
    </row>
    <row r="531">
      <c r="A531" s="15" t="inlineStr">
        <is>
          <t>Jennifer Wu</t>
        </is>
      </c>
      <c r="B531" s="29">
        <f>IF($A531="","",IFERROR(INDEX(Roster!$B$2:$B$40,MATCH($A531,Roster!$A$2:$A$40,0)),"?"))</f>
        <v/>
      </c>
      <c r="C531" s="15" t="inlineStr">
        <is>
          <t>PMD_1</t>
        </is>
      </c>
      <c r="D531" s="29">
        <f>IF($C531="","",IFERROR(IF(INDEX(Deals!$C$2:$C$355,MATCH($C531,Deals!$A$2:$A$355,0))=0,"",INDEX(Deals!$C$2:$C$355,MATCH($C531,Deals!$A$2:$A$355,0))),"?"))</f>
        <v/>
      </c>
      <c r="E531" s="29">
        <f>IF($C531="","",IFERROR(INDEX(Deals!$F$2:$F$355,MATCH($C531,Deals!$A$2:$A$355,0)),"?"))</f>
        <v/>
      </c>
      <c r="F531" s="15" t="inlineStr">
        <is>
          <t>Senior Associate</t>
        </is>
      </c>
      <c r="G531" s="15" t="inlineStr">
        <is>
          <t>Active</t>
        </is>
      </c>
      <c r="H531" s="27" t="n"/>
      <c r="I531" s="20">
        <f>IF(OR($A531="",$G531&lt;&gt;"Active"),0,IF($H531&lt;&gt;"",$H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</f>
        <v/>
      </c>
      <c r="J531" s="23">
        <f>IF($C531="",0,IFERROR(INDEX(Deals!$H$2:$H$355,MATCH($C531,Deals!$A$2:$A$355,0)),0))</f>
        <v/>
      </c>
      <c r="K531" s="20">
        <f>IF(Settings!$B$4="Yes",$I531*$J531,$I531)</f>
        <v/>
      </c>
      <c r="L531" s="31">
        <f>IF($C531="","",IFERROR(IF(INDEX(Deals!$I$2:$I$355,MATCH($C531,Deals!$A$2:$A$355,0))=0,"",INDEX(Deals!$I$2:$I$355,MATCH($C531,Deals!$A$2:$A$355,0))),""))</f>
        <v/>
      </c>
      <c r="M531" s="31">
        <f>IF($C531="","",IFERROR(IF(INDEX(Deals!$J$2:$J$355,MATCH($C531,Deals!$A$2:$A$355,0))=0,"",INDEX(Deals!$J$2:$J$355,MATCH($C531,Deals!$A$2:$A$355,0))),""))</f>
        <v/>
      </c>
      <c r="N531" s="24">
        <f>IF($L531="",DATE(1900,1,1),$L531)</f>
        <v/>
      </c>
      <c r="O531" s="24">
        <f>IF($M531="",DATE(2100,12,31),$M531)</f>
        <v/>
      </c>
      <c r="P531" s="16" t="inlineStr"/>
      <c r="Q531" s="16" t="inlineStr"/>
      <c r="R531" s="29">
        <f>IF($C531="","",IFERROR(IF(INDEX(Deals!$U$2:$U$355,MATCH($C531,Deals!$A$2:$A$355,0))=0,"",INDEX(Deals!$U$2:$U$355,MATCH($C531,Deals!$A$2:$A$355,0))),""))</f>
        <v/>
      </c>
      <c r="S531" s="22">
        <f>IFERROR(IF($U531="",1,INDEX(Deals!$V$2:$V$355,MATCH($C531,Deals!$A$2:$A$355,0))),1)</f>
        <v/>
      </c>
      <c r="T531" s="22">
        <f>IFERROR(IF($U531="",1,INDEX(Deals!$W$2:$W$355,MATCH($C531,Deals!$A$2:$A$355,0))),1)</f>
        <v/>
      </c>
      <c r="U531" s="31">
        <f>IF($C531="","",IFERROR(IF(INDEX(Deals!$Y$2:$Y$355,MATCH($C531,Deals!$A$2:$A$355,0))=0,"",INDEX(Deals!$Y$2:$Y$355,MATCH($C531,Deals!$A$2:$A$355,0))),""))</f>
        <v/>
      </c>
      <c r="V531" s="24">
        <f>IF($U531="",DATE(1900,1,1),$N531)</f>
        <v/>
      </c>
      <c r="W531" s="24">
        <f>IF($U531="",DATE(2100,12,31),$U531)</f>
        <v/>
      </c>
      <c r="X531" s="20">
        <f>IF($U531="",$K531,$K531*$S531)</f>
        <v/>
      </c>
      <c r="Y531" s="24">
        <f>IF($U531="",DATE(2100,12,31),$U531+1)</f>
        <v/>
      </c>
      <c r="Z531" s="24">
        <f>IF($U531="",DATE(1900,1,1),$O531)</f>
        <v/>
      </c>
      <c r="AA531" s="20">
        <f>IF($U531="",0,$K531*$T531)</f>
        <v/>
      </c>
    </row>
    <row r="532">
      <c r="A532" s="15" t="inlineStr">
        <is>
          <t>Jennifer Wu</t>
        </is>
      </c>
      <c r="B532" s="29">
        <f>IF($A532="","",IFERROR(INDEX(Roster!$B$2:$B$40,MATCH($A532,Roster!$A$2:$A$40,0)),"?"))</f>
        <v/>
      </c>
      <c r="C532" s="15" t="inlineStr">
        <is>
          <t>Pocket_1</t>
        </is>
      </c>
      <c r="D532" s="29">
        <f>IF($C532="","",IFERROR(IF(INDEX(Deals!$C$2:$C$355,MATCH($C532,Deals!$A$2:$A$355,0))=0,"",INDEX(Deals!$C$2:$C$355,MATCH($C532,Deals!$A$2:$A$355,0))),"?"))</f>
        <v/>
      </c>
      <c r="E532" s="29">
        <f>IF($C532="","",IFERROR(INDEX(Deals!$F$2:$F$355,MATCH($C532,Deals!$A$2:$A$355,0)),"?"))</f>
        <v/>
      </c>
      <c r="F532" s="15" t="inlineStr">
        <is>
          <t>Senior Associate</t>
        </is>
      </c>
      <c r="G532" s="15" t="inlineStr">
        <is>
          <t>Active</t>
        </is>
      </c>
      <c r="H532" s="27" t="n"/>
      <c r="I532" s="20">
        <f>IF(OR($A532="",$G532&lt;&gt;"Active"),0,IF($H532&lt;&gt;"",$H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</f>
        <v/>
      </c>
      <c r="J532" s="23">
        <f>IF($C532="",0,IFERROR(INDEX(Deals!$H$2:$H$355,MATCH($C532,Deals!$A$2:$A$355,0)),0))</f>
        <v/>
      </c>
      <c r="K532" s="20">
        <f>IF(Settings!$B$4="Yes",$I532*$J532,$I532)</f>
        <v/>
      </c>
      <c r="L532" s="31">
        <f>IF($C532="","",IFERROR(IF(INDEX(Deals!$I$2:$I$355,MATCH($C532,Deals!$A$2:$A$355,0))=0,"",INDEX(Deals!$I$2:$I$355,MATCH($C532,Deals!$A$2:$A$355,0))),""))</f>
        <v/>
      </c>
      <c r="M532" s="31">
        <f>IF($C532="","",IFERROR(IF(INDEX(Deals!$J$2:$J$355,MATCH($C532,Deals!$A$2:$A$355,0))=0,"",INDEX(Deals!$J$2:$J$355,MATCH($C532,Deals!$A$2:$A$355,0))),""))</f>
        <v/>
      </c>
      <c r="N532" s="24">
        <f>IF($L532="",DATE(1900,1,1),$L532)</f>
        <v/>
      </c>
      <c r="O532" s="24">
        <f>IF($M532="",DATE(2100,12,31),$M532)</f>
        <v/>
      </c>
      <c r="P532" s="16" t="inlineStr"/>
      <c r="Q532" s="16" t="inlineStr"/>
      <c r="R532" s="29">
        <f>IF($C532="","",IFERROR(IF(INDEX(Deals!$U$2:$U$355,MATCH($C532,Deals!$A$2:$A$355,0))=0,"",INDEX(Deals!$U$2:$U$355,MATCH($C532,Deals!$A$2:$A$355,0))),""))</f>
        <v/>
      </c>
      <c r="S532" s="22">
        <f>IFERROR(IF($U532="",1,INDEX(Deals!$V$2:$V$355,MATCH($C532,Deals!$A$2:$A$355,0))),1)</f>
        <v/>
      </c>
      <c r="T532" s="22">
        <f>IFERROR(IF($U532="",1,INDEX(Deals!$W$2:$W$355,MATCH($C532,Deals!$A$2:$A$355,0))),1)</f>
        <v/>
      </c>
      <c r="U532" s="31">
        <f>IF($C532="","",IFERROR(IF(INDEX(Deals!$Y$2:$Y$355,MATCH($C532,Deals!$A$2:$A$355,0))=0,"",INDEX(Deals!$Y$2:$Y$355,MATCH($C532,Deals!$A$2:$A$355,0))),""))</f>
        <v/>
      </c>
      <c r="V532" s="24">
        <f>IF($U532="",DATE(1900,1,1),$N532)</f>
        <v/>
      </c>
      <c r="W532" s="24">
        <f>IF($U532="",DATE(2100,12,31),$U532)</f>
        <v/>
      </c>
      <c r="X532" s="20">
        <f>IF($U532="",$K532,$K532*$S532)</f>
        <v/>
      </c>
      <c r="Y532" s="24">
        <f>IF($U532="",DATE(2100,12,31),$U532+1)</f>
        <v/>
      </c>
      <c r="Z532" s="24">
        <f>IF($U532="",DATE(1900,1,1),$O532)</f>
        <v/>
      </c>
      <c r="AA532" s="20">
        <f>IF($U532="",0,$K532*$T532)</f>
        <v/>
      </c>
    </row>
    <row r="533">
      <c r="A533" s="15" t="inlineStr">
        <is>
          <t>Jennifer Wu</t>
        </is>
      </c>
      <c r="B533" s="29">
        <f>IF($A533="","",IFERROR(INDEX(Roster!$B$2:$B$40,MATCH($A533,Roster!$A$2:$A$40,0)),"?"))</f>
        <v/>
      </c>
      <c r="C533" s="15" t="inlineStr">
        <is>
          <t>Resolute_1</t>
        </is>
      </c>
      <c r="D533" s="29">
        <f>IF($C533="","",IFERROR(IF(INDEX(Deals!$C$2:$C$355,MATCH($C533,Deals!$A$2:$A$355,0))=0,"",INDEX(Deals!$C$2:$C$355,MATCH($C533,Deals!$A$2:$A$355,0))),"?"))</f>
        <v/>
      </c>
      <c r="E533" s="29">
        <f>IF($C533="","",IFERROR(INDEX(Deals!$F$2:$F$355,MATCH($C533,Deals!$A$2:$A$355,0)),"?"))</f>
        <v/>
      </c>
      <c r="F533" s="15" t="inlineStr">
        <is>
          <t>Senior Associate</t>
        </is>
      </c>
      <c r="G533" s="15" t="inlineStr">
        <is>
          <t>Active</t>
        </is>
      </c>
      <c r="H533" s="27" t="n"/>
      <c r="I533" s="20">
        <f>IF(OR($A533="",$G533&lt;&gt;"Active"),0,IF($H533&lt;&gt;"",$H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</f>
        <v/>
      </c>
      <c r="J533" s="23">
        <f>IF($C533="",0,IFERROR(INDEX(Deals!$H$2:$H$355,MATCH($C533,Deals!$A$2:$A$355,0)),0))</f>
        <v/>
      </c>
      <c r="K533" s="20">
        <f>IF(Settings!$B$4="Yes",$I533*$J533,$I533)</f>
        <v/>
      </c>
      <c r="L533" s="31">
        <f>IF($C533="","",IFERROR(IF(INDEX(Deals!$I$2:$I$355,MATCH($C533,Deals!$A$2:$A$355,0))=0,"",INDEX(Deals!$I$2:$I$355,MATCH($C533,Deals!$A$2:$A$355,0))),""))</f>
        <v/>
      </c>
      <c r="M533" s="31">
        <f>IF($C533="","",IFERROR(IF(INDEX(Deals!$J$2:$J$355,MATCH($C533,Deals!$A$2:$A$355,0))=0,"",INDEX(Deals!$J$2:$J$355,MATCH($C533,Deals!$A$2:$A$355,0))),""))</f>
        <v/>
      </c>
      <c r="N533" s="24">
        <f>IF($L533="",DATE(1900,1,1),$L533)</f>
        <v/>
      </c>
      <c r="O533" s="24">
        <f>IF($M533="",DATE(2100,12,31),$M533)</f>
        <v/>
      </c>
      <c r="P533" s="16" t="inlineStr"/>
      <c r="Q533" s="16" t="inlineStr"/>
      <c r="R533" s="29">
        <f>IF($C533="","",IFERROR(IF(INDEX(Deals!$U$2:$U$355,MATCH($C533,Deals!$A$2:$A$355,0))=0,"",INDEX(Deals!$U$2:$U$355,MATCH($C533,Deals!$A$2:$A$355,0))),""))</f>
        <v/>
      </c>
      <c r="S533" s="22">
        <f>IFERROR(IF($U533="",1,INDEX(Deals!$V$2:$V$355,MATCH($C533,Deals!$A$2:$A$355,0))),1)</f>
        <v/>
      </c>
      <c r="T533" s="22">
        <f>IFERROR(IF($U533="",1,INDEX(Deals!$W$2:$W$355,MATCH($C533,Deals!$A$2:$A$355,0))),1)</f>
        <v/>
      </c>
      <c r="U533" s="31">
        <f>IF($C533="","",IFERROR(IF(INDEX(Deals!$Y$2:$Y$355,MATCH($C533,Deals!$A$2:$A$355,0))=0,"",INDEX(Deals!$Y$2:$Y$355,MATCH($C533,Deals!$A$2:$A$355,0))),""))</f>
        <v/>
      </c>
      <c r="V533" s="24">
        <f>IF($U533="",DATE(1900,1,1),$N533)</f>
        <v/>
      </c>
      <c r="W533" s="24">
        <f>IF($U533="",DATE(2100,12,31),$U533)</f>
        <v/>
      </c>
      <c r="X533" s="20">
        <f>IF($U533="",$K533,$K533*$S533)</f>
        <v/>
      </c>
      <c r="Y533" s="24">
        <f>IF($U533="",DATE(2100,12,31),$U533+1)</f>
        <v/>
      </c>
      <c r="Z533" s="24">
        <f>IF($U533="",DATE(1900,1,1),$O533)</f>
        <v/>
      </c>
      <c r="AA533" s="20">
        <f>IF($U533="",0,$K533*$T533)</f>
        <v/>
      </c>
    </row>
    <row r="534">
      <c r="A534" s="15" t="inlineStr">
        <is>
          <t>Jennifer Wu</t>
        </is>
      </c>
      <c r="B534" s="29">
        <f>IF($A534="","",IFERROR(INDEX(Roster!$B$2:$B$40,MATCH($A534,Roster!$A$2:$A$40,0)),"?"))</f>
        <v/>
      </c>
      <c r="C534" s="15" t="inlineStr">
        <is>
          <t>Sakura</t>
        </is>
      </c>
      <c r="D534" s="29">
        <f>IF($C534="","",IFERROR(IF(INDEX(Deals!$C$2:$C$355,MATCH($C534,Deals!$A$2:$A$355,0))=0,"",INDEX(Deals!$C$2:$C$355,MATCH($C534,Deals!$A$2:$A$355,0))),"?"))</f>
        <v/>
      </c>
      <c r="E534" s="29">
        <f>IF($C534="","",IFERROR(INDEX(Deals!$F$2:$F$355,MATCH($C534,Deals!$A$2:$A$355,0)),"?"))</f>
        <v/>
      </c>
      <c r="F534" s="15" t="inlineStr">
        <is>
          <t>Senior Associate</t>
        </is>
      </c>
      <c r="G534" s="15" t="inlineStr">
        <is>
          <t>Active</t>
        </is>
      </c>
      <c r="H534" s="27" t="n"/>
      <c r="I534" s="20">
        <f>IF(OR($A534="",$G534&lt;&gt;"Active"),0,IF($H534&lt;&gt;"",$H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</f>
        <v/>
      </c>
      <c r="J534" s="23">
        <f>IF($C534="",0,IFERROR(INDEX(Deals!$H$2:$H$355,MATCH($C534,Deals!$A$2:$A$355,0)),0))</f>
        <v/>
      </c>
      <c r="K534" s="20">
        <f>IF(Settings!$B$4="Yes",$I534*$J534,$I534)</f>
        <v/>
      </c>
      <c r="L534" s="31">
        <f>IF($C534="","",IFERROR(IF(INDEX(Deals!$I$2:$I$355,MATCH($C534,Deals!$A$2:$A$355,0))=0,"",INDEX(Deals!$I$2:$I$355,MATCH($C534,Deals!$A$2:$A$355,0))),""))</f>
        <v/>
      </c>
      <c r="M534" s="31">
        <f>IF($C534="","",IFERROR(IF(INDEX(Deals!$J$2:$J$355,MATCH($C534,Deals!$A$2:$A$355,0))=0,"",INDEX(Deals!$J$2:$J$355,MATCH($C534,Deals!$A$2:$A$355,0))),""))</f>
        <v/>
      </c>
      <c r="N534" s="24">
        <f>IF($L534="",DATE(1900,1,1),$L534)</f>
        <v/>
      </c>
      <c r="O534" s="24">
        <f>IF($M534="",DATE(2100,12,31),$M534)</f>
        <v/>
      </c>
      <c r="P534" s="16" t="inlineStr"/>
      <c r="Q534" s="16" t="inlineStr"/>
      <c r="R534" s="29">
        <f>IF($C534="","",IFERROR(IF(INDEX(Deals!$U$2:$U$355,MATCH($C534,Deals!$A$2:$A$355,0))=0,"",INDEX(Deals!$U$2:$U$355,MATCH($C534,Deals!$A$2:$A$355,0))),""))</f>
        <v/>
      </c>
      <c r="S534" s="22">
        <f>IFERROR(IF($U534="",1,INDEX(Deals!$V$2:$V$355,MATCH($C534,Deals!$A$2:$A$355,0))),1)</f>
        <v/>
      </c>
      <c r="T534" s="22">
        <f>IFERROR(IF($U534="",1,INDEX(Deals!$W$2:$W$355,MATCH($C534,Deals!$A$2:$A$355,0))),1)</f>
        <v/>
      </c>
      <c r="U534" s="31">
        <f>IF($C534="","",IFERROR(IF(INDEX(Deals!$Y$2:$Y$355,MATCH($C534,Deals!$A$2:$A$355,0))=0,"",INDEX(Deals!$Y$2:$Y$355,MATCH($C534,Deals!$A$2:$A$355,0))),""))</f>
        <v/>
      </c>
      <c r="V534" s="24">
        <f>IF($U534="",DATE(1900,1,1),$N534)</f>
        <v/>
      </c>
      <c r="W534" s="24">
        <f>IF($U534="",DATE(2100,12,31),$U534)</f>
        <v/>
      </c>
      <c r="X534" s="20">
        <f>IF($U534="",$K534,$K534*$S534)</f>
        <v/>
      </c>
      <c r="Y534" s="24">
        <f>IF($U534="",DATE(2100,12,31),$U534+1)</f>
        <v/>
      </c>
      <c r="Z534" s="24">
        <f>IF($U534="",DATE(1900,1,1),$O534)</f>
        <v/>
      </c>
      <c r="AA534" s="20">
        <f>IF($U534="",0,$K534*$T534)</f>
        <v/>
      </c>
    </row>
    <row r="535">
      <c r="A535" s="15" t="inlineStr">
        <is>
          <t>Jennifer Wu</t>
        </is>
      </c>
      <c r="B535" s="29">
        <f>IF($A535="","",IFERROR(INDEX(Roster!$B$2:$B$40,MATCH($A535,Roster!$A$2:$A$40,0)),"?"))</f>
        <v/>
      </c>
      <c r="C535" s="15" t="inlineStr">
        <is>
          <t>Soltra_1</t>
        </is>
      </c>
      <c r="D535" s="29">
        <f>IF($C535="","",IFERROR(IF(INDEX(Deals!$C$2:$C$355,MATCH($C535,Deals!$A$2:$A$355,0))=0,"",INDEX(Deals!$C$2:$C$355,MATCH($C535,Deals!$A$2:$A$355,0))),"?"))</f>
        <v/>
      </c>
      <c r="E535" s="29">
        <f>IF($C535="","",IFERROR(INDEX(Deals!$F$2:$F$355,MATCH($C535,Deals!$A$2:$A$355,0)),"?"))</f>
        <v/>
      </c>
      <c r="F535" s="15" t="inlineStr">
        <is>
          <t>Senior Associate</t>
        </is>
      </c>
      <c r="G535" s="15" t="inlineStr">
        <is>
          <t>Active</t>
        </is>
      </c>
      <c r="H535" s="27" t="n"/>
      <c r="I535" s="20">
        <f>IF(OR($A535="",$G535&lt;&gt;"Active"),0,IF($H535&lt;&gt;"",$H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</f>
        <v/>
      </c>
      <c r="J535" s="23">
        <f>IF($C535="",0,IFERROR(INDEX(Deals!$H$2:$H$355,MATCH($C535,Deals!$A$2:$A$355,0)),0))</f>
        <v/>
      </c>
      <c r="K535" s="20">
        <f>IF(Settings!$B$4="Yes",$I535*$J535,$I535)</f>
        <v/>
      </c>
      <c r="L535" s="31">
        <f>IF($C535="","",IFERROR(IF(INDEX(Deals!$I$2:$I$355,MATCH($C535,Deals!$A$2:$A$355,0))=0,"",INDEX(Deals!$I$2:$I$355,MATCH($C535,Deals!$A$2:$A$355,0))),""))</f>
        <v/>
      </c>
      <c r="M535" s="31">
        <f>IF($C535="","",IFERROR(IF(INDEX(Deals!$J$2:$J$355,MATCH($C535,Deals!$A$2:$A$355,0))=0,"",INDEX(Deals!$J$2:$J$355,MATCH($C535,Deals!$A$2:$A$355,0))),""))</f>
        <v/>
      </c>
      <c r="N535" s="24">
        <f>IF($L535="",DATE(1900,1,1),$L535)</f>
        <v/>
      </c>
      <c r="O535" s="24">
        <f>IF($M535="",DATE(2100,12,31),$M535)</f>
        <v/>
      </c>
      <c r="P535" s="16" t="inlineStr"/>
      <c r="Q535" s="16" t="inlineStr"/>
      <c r="R535" s="29">
        <f>IF($C535="","",IFERROR(IF(INDEX(Deals!$U$2:$U$355,MATCH($C535,Deals!$A$2:$A$355,0))=0,"",INDEX(Deals!$U$2:$U$355,MATCH($C535,Deals!$A$2:$A$355,0))),""))</f>
        <v/>
      </c>
      <c r="S535" s="22">
        <f>IFERROR(IF($U535="",1,INDEX(Deals!$V$2:$V$355,MATCH($C535,Deals!$A$2:$A$355,0))),1)</f>
        <v/>
      </c>
      <c r="T535" s="22">
        <f>IFERROR(IF($U535="",1,INDEX(Deals!$W$2:$W$355,MATCH($C535,Deals!$A$2:$A$355,0))),1)</f>
        <v/>
      </c>
      <c r="U535" s="31">
        <f>IF($C535="","",IFERROR(IF(INDEX(Deals!$Y$2:$Y$355,MATCH($C535,Deals!$A$2:$A$355,0))=0,"",INDEX(Deals!$Y$2:$Y$355,MATCH($C535,Deals!$A$2:$A$355,0))),""))</f>
        <v/>
      </c>
      <c r="V535" s="24">
        <f>IF($U535="",DATE(1900,1,1),$N535)</f>
        <v/>
      </c>
      <c r="W535" s="24">
        <f>IF($U535="",DATE(2100,12,31),$U535)</f>
        <v/>
      </c>
      <c r="X535" s="20">
        <f>IF($U535="",$K535,$K535*$S535)</f>
        <v/>
      </c>
      <c r="Y535" s="24">
        <f>IF($U535="",DATE(2100,12,31),$U535+1)</f>
        <v/>
      </c>
      <c r="Z535" s="24">
        <f>IF($U535="",DATE(1900,1,1),$O535)</f>
        <v/>
      </c>
      <c r="AA535" s="20">
        <f>IF($U535="",0,$K535*$T535)</f>
        <v/>
      </c>
    </row>
    <row r="536">
      <c r="A536" s="15" t="inlineStr">
        <is>
          <t>Jennifer Wu</t>
        </is>
      </c>
      <c r="B536" s="29">
        <f>IF($A536="","",IFERROR(INDEX(Roster!$B$2:$B$40,MATCH($A536,Roster!$A$2:$A$40,0)),"?"))</f>
        <v/>
      </c>
      <c r="C536" s="15" t="inlineStr">
        <is>
          <t>Twister_1</t>
        </is>
      </c>
      <c r="D536" s="29">
        <f>IF($C536="","",IFERROR(IF(INDEX(Deals!$C$2:$C$355,MATCH($C536,Deals!$A$2:$A$355,0))=0,"",INDEX(Deals!$C$2:$C$355,MATCH($C536,Deals!$A$2:$A$355,0))),"?"))</f>
        <v/>
      </c>
      <c r="E536" s="29">
        <f>IF($C536="","",IFERROR(INDEX(Deals!$F$2:$F$355,MATCH($C536,Deals!$A$2:$A$355,0)),"?"))</f>
        <v/>
      </c>
      <c r="F536" s="15" t="inlineStr">
        <is>
          <t>Senior Associate</t>
        </is>
      </c>
      <c r="G536" s="15" t="inlineStr">
        <is>
          <t>Active</t>
        </is>
      </c>
      <c r="H536" s="27" t="n"/>
      <c r="I536" s="20">
        <f>IF(OR($A536="",$G536&lt;&gt;"Active"),0,IF($H536&lt;&gt;"",$H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</f>
        <v/>
      </c>
      <c r="J536" s="23">
        <f>IF($C536="",0,IFERROR(INDEX(Deals!$H$2:$H$355,MATCH($C536,Deals!$A$2:$A$355,0)),0))</f>
        <v/>
      </c>
      <c r="K536" s="20">
        <f>IF(Settings!$B$4="Yes",$I536*$J536,$I536)</f>
        <v/>
      </c>
      <c r="L536" s="31">
        <f>IF($C536="","",IFERROR(IF(INDEX(Deals!$I$2:$I$355,MATCH($C536,Deals!$A$2:$A$355,0))=0,"",INDEX(Deals!$I$2:$I$355,MATCH($C536,Deals!$A$2:$A$355,0))),""))</f>
        <v/>
      </c>
      <c r="M536" s="31">
        <f>IF($C536="","",IFERROR(IF(INDEX(Deals!$J$2:$J$355,MATCH($C536,Deals!$A$2:$A$355,0))=0,"",INDEX(Deals!$J$2:$J$355,MATCH($C536,Deals!$A$2:$A$355,0))),""))</f>
        <v/>
      </c>
      <c r="N536" s="24">
        <f>IF($L536="",DATE(1900,1,1),$L536)</f>
        <v/>
      </c>
      <c r="O536" s="24">
        <f>IF($M536="",DATE(2100,12,31),$M536)</f>
        <v/>
      </c>
      <c r="P536" s="16" t="inlineStr"/>
      <c r="Q536" s="16" t="inlineStr"/>
      <c r="R536" s="29">
        <f>IF($C536="","",IFERROR(IF(INDEX(Deals!$U$2:$U$355,MATCH($C536,Deals!$A$2:$A$355,0))=0,"",INDEX(Deals!$U$2:$U$355,MATCH($C536,Deals!$A$2:$A$355,0))),""))</f>
        <v/>
      </c>
      <c r="S536" s="22">
        <f>IFERROR(IF($U536="",1,INDEX(Deals!$V$2:$V$355,MATCH($C536,Deals!$A$2:$A$355,0))),1)</f>
        <v/>
      </c>
      <c r="T536" s="22">
        <f>IFERROR(IF($U536="",1,INDEX(Deals!$W$2:$W$355,MATCH($C536,Deals!$A$2:$A$355,0))),1)</f>
        <v/>
      </c>
      <c r="U536" s="31">
        <f>IF($C536="","",IFERROR(IF(INDEX(Deals!$Y$2:$Y$355,MATCH($C536,Deals!$A$2:$A$355,0))=0,"",INDEX(Deals!$Y$2:$Y$355,MATCH($C536,Deals!$A$2:$A$355,0))),""))</f>
        <v/>
      </c>
      <c r="V536" s="24">
        <f>IF($U536="",DATE(1900,1,1),$N536)</f>
        <v/>
      </c>
      <c r="W536" s="24">
        <f>IF($U536="",DATE(2100,12,31),$U536)</f>
        <v/>
      </c>
      <c r="X536" s="20">
        <f>IF($U536="",$K536,$K536*$S536)</f>
        <v/>
      </c>
      <c r="Y536" s="24">
        <f>IF($U536="",DATE(2100,12,31),$U536+1)</f>
        <v/>
      </c>
      <c r="Z536" s="24">
        <f>IF($U536="",DATE(1900,1,1),$O536)</f>
        <v/>
      </c>
      <c r="AA536" s="20">
        <f>IF($U536="",0,$K536*$T536)</f>
        <v/>
      </c>
    </row>
    <row r="537">
      <c r="A537" s="15" t="inlineStr">
        <is>
          <t>Dorian</t>
        </is>
      </c>
      <c r="B537" s="29">
        <f>IF($A537="","",IFERROR(INDEX(Roster!$B$2:$B$40,MATCH($A537,Roster!$A$2:$A$40,0)),"?"))</f>
        <v/>
      </c>
      <c r="C537" s="15" t="inlineStr">
        <is>
          <t>80/20 Assistance_1</t>
        </is>
      </c>
      <c r="D537" s="29">
        <f>IF($C537="","",IFERROR(IF(INDEX(Deals!$C$2:$C$355,MATCH($C537,Deals!$A$2:$A$355,0))=0,"",INDEX(Deals!$C$2:$C$355,MATCH($C537,Deals!$A$2:$A$355,0))),"?"))</f>
        <v/>
      </c>
      <c r="E537" s="29">
        <f>IF($C537="","",IFERROR(INDEX(Deals!$F$2:$F$355,MATCH($C537,Deals!$A$2:$A$355,0)),"?"))</f>
        <v/>
      </c>
      <c r="F537" s="15" t="inlineStr">
        <is>
          <t>Renewable Specialist</t>
        </is>
      </c>
      <c r="G537" s="15" t="inlineStr">
        <is>
          <t>Active</t>
        </is>
      </c>
      <c r="H537" s="27" t="n"/>
      <c r="I537" s="20">
        <f>IF(OR($A537="",$G537&lt;&gt;"Active"),0,IF($H537&lt;&gt;"",$H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</f>
        <v/>
      </c>
      <c r="J537" s="23">
        <f>IF($C537="",0,IFERROR(INDEX(Deals!$H$2:$H$355,MATCH($C537,Deals!$A$2:$A$355,0)),0))</f>
        <v/>
      </c>
      <c r="K537" s="20">
        <f>IF(Settings!$B$4="Yes",$I537*$J537,$I537)</f>
        <v/>
      </c>
      <c r="L537" s="31">
        <f>IF($C537="","",IFERROR(IF(INDEX(Deals!$I$2:$I$355,MATCH($C537,Deals!$A$2:$A$355,0))=0,"",INDEX(Deals!$I$2:$I$355,MATCH($C537,Deals!$A$2:$A$355,0))),""))</f>
        <v/>
      </c>
      <c r="M537" s="31">
        <f>IF($C537="","",IFERROR(IF(INDEX(Deals!$J$2:$J$355,MATCH($C537,Deals!$A$2:$A$355,0))=0,"",INDEX(Deals!$J$2:$J$355,MATCH($C537,Deals!$A$2:$A$355,0))),""))</f>
        <v/>
      </c>
      <c r="N537" s="24">
        <f>IF($L537="",DATE(1900,1,1),$L537)</f>
        <v/>
      </c>
      <c r="O537" s="24">
        <f>IF($M537="",DATE(2100,12,31),$M537)</f>
        <v/>
      </c>
      <c r="P537" s="16" t="inlineStr"/>
      <c r="Q537" s="16" t="inlineStr"/>
      <c r="R537" s="29">
        <f>IF($C537="","",IFERROR(IF(INDEX(Deals!$U$2:$U$355,MATCH($C537,Deals!$A$2:$A$355,0))=0,"",INDEX(Deals!$U$2:$U$355,MATCH($C537,Deals!$A$2:$A$355,0))),""))</f>
        <v/>
      </c>
      <c r="S537" s="22">
        <f>IFERROR(IF($U537="",1,INDEX(Deals!$V$2:$V$355,MATCH($C537,Deals!$A$2:$A$355,0))),1)</f>
        <v/>
      </c>
      <c r="T537" s="22">
        <f>IFERROR(IF($U537="",1,INDEX(Deals!$W$2:$W$355,MATCH($C537,Deals!$A$2:$A$355,0))),1)</f>
        <v/>
      </c>
      <c r="U537" s="31">
        <f>IF($C537="","",IFERROR(IF(INDEX(Deals!$Y$2:$Y$355,MATCH($C537,Deals!$A$2:$A$355,0))=0,"",INDEX(Deals!$Y$2:$Y$355,MATCH($C537,Deals!$A$2:$A$355,0))),""))</f>
        <v/>
      </c>
      <c r="V537" s="24">
        <f>IF($U537="",DATE(1900,1,1),$N537)</f>
        <v/>
      </c>
      <c r="W537" s="24">
        <f>IF($U537="",DATE(2100,12,31),$U537)</f>
        <v/>
      </c>
      <c r="X537" s="20">
        <f>IF($U537="",$K537,$K537*$S537)</f>
        <v/>
      </c>
      <c r="Y537" s="24">
        <f>IF($U537="",DATE(2100,12,31),$U537+1)</f>
        <v/>
      </c>
      <c r="Z537" s="24">
        <f>IF($U537="",DATE(1900,1,1),$O537)</f>
        <v/>
      </c>
      <c r="AA537" s="20">
        <f>IF($U537="",0,$K537*$T537)</f>
        <v/>
      </c>
    </row>
    <row r="538">
      <c r="A538" s="15" t="inlineStr">
        <is>
          <t>Dorian</t>
        </is>
      </c>
      <c r="B538" s="29">
        <f>IF($A538="","",IFERROR(INDEX(Roster!$B$2:$B$40,MATCH($A538,Roster!$A$2:$A$40,0)),"?"))</f>
        <v/>
      </c>
      <c r="C538" s="15" t="inlineStr">
        <is>
          <t>Aypa Power General PW&amp;A Advisory_1</t>
        </is>
      </c>
      <c r="D538" s="29">
        <f>IF($C538="","",IFERROR(IF(INDEX(Deals!$C$2:$C$355,MATCH($C538,Deals!$A$2:$A$355,0))=0,"",INDEX(Deals!$C$2:$C$355,MATCH($C538,Deals!$A$2:$A$355,0))),"?"))</f>
        <v/>
      </c>
      <c r="E538" s="29">
        <f>IF($C538="","",IFERROR(INDEX(Deals!$F$2:$F$355,MATCH($C538,Deals!$A$2:$A$355,0)),"?"))</f>
        <v/>
      </c>
      <c r="F538" s="15" t="inlineStr">
        <is>
          <t>Renewable Specialist</t>
        </is>
      </c>
      <c r="G538" s="15" t="inlineStr">
        <is>
          <t>Inactive</t>
        </is>
      </c>
      <c r="H538" s="27" t="n"/>
      <c r="I538" s="20">
        <f>IF(OR($A538="",$G538&lt;&gt;"Active"),0,IF($H538&lt;&gt;"",$H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</f>
        <v/>
      </c>
      <c r="J538" s="23">
        <f>IF($C538="",0,IFERROR(INDEX(Deals!$H$2:$H$355,MATCH($C538,Deals!$A$2:$A$355,0)),0))</f>
        <v/>
      </c>
      <c r="K538" s="20">
        <f>IF(Settings!$B$4="Yes",$I538*$J538,$I538)</f>
        <v/>
      </c>
      <c r="L538" s="31">
        <f>IF($C538="","",IFERROR(IF(INDEX(Deals!$I$2:$I$355,MATCH($C538,Deals!$A$2:$A$355,0))=0,"",INDEX(Deals!$I$2:$I$355,MATCH($C538,Deals!$A$2:$A$355,0))),""))</f>
        <v/>
      </c>
      <c r="M538" s="31">
        <f>IF($C538="","",IFERROR(IF(INDEX(Deals!$J$2:$J$355,MATCH($C538,Deals!$A$2:$A$355,0))=0,"",INDEX(Deals!$J$2:$J$355,MATCH($C538,Deals!$A$2:$A$355,0))),""))</f>
        <v/>
      </c>
      <c r="N538" s="24">
        <f>IF($L538="",DATE(1900,1,1),$L538)</f>
        <v/>
      </c>
      <c r="O538" s="24">
        <f>IF($M538="",DATE(2100,12,31),$M538)</f>
        <v/>
      </c>
      <c r="P538" s="16" t="inlineStr"/>
      <c r="Q538" s="16" t="inlineStr">
        <is>
          <t>Deal lifecycle is On hold</t>
        </is>
      </c>
      <c r="R538" s="29">
        <f>IF($C538="","",IFERROR(IF(INDEX(Deals!$U$2:$U$355,MATCH($C538,Deals!$A$2:$A$355,0))=0,"",INDEX(Deals!$U$2:$U$355,MATCH($C538,Deals!$A$2:$A$355,0))),""))</f>
        <v/>
      </c>
      <c r="S538" s="22">
        <f>IFERROR(IF($U538="",1,INDEX(Deals!$V$2:$V$355,MATCH($C538,Deals!$A$2:$A$355,0))),1)</f>
        <v/>
      </c>
      <c r="T538" s="22">
        <f>IFERROR(IF($U538="",1,INDEX(Deals!$W$2:$W$355,MATCH($C538,Deals!$A$2:$A$355,0))),1)</f>
        <v/>
      </c>
      <c r="U538" s="31">
        <f>IF($C538="","",IFERROR(IF(INDEX(Deals!$Y$2:$Y$355,MATCH($C538,Deals!$A$2:$A$355,0))=0,"",INDEX(Deals!$Y$2:$Y$355,MATCH($C538,Deals!$A$2:$A$355,0))),""))</f>
        <v/>
      </c>
      <c r="V538" s="24">
        <f>IF($U538="",DATE(1900,1,1),$N538)</f>
        <v/>
      </c>
      <c r="W538" s="24">
        <f>IF($U538="",DATE(2100,12,31),$U538)</f>
        <v/>
      </c>
      <c r="X538" s="20">
        <f>IF($U538="",$K538,$K538*$S538)</f>
        <v/>
      </c>
      <c r="Y538" s="24">
        <f>IF($U538="",DATE(2100,12,31),$U538+1)</f>
        <v/>
      </c>
      <c r="Z538" s="24">
        <f>IF($U538="",DATE(1900,1,1),$O538)</f>
        <v/>
      </c>
      <c r="AA538" s="20">
        <f>IF($U538="",0,$K538*$T538)</f>
        <v/>
      </c>
    </row>
    <row r="539">
      <c r="A539" s="15" t="inlineStr">
        <is>
          <t>Dorian</t>
        </is>
      </c>
      <c r="B539" s="29">
        <f>IF($A539="","",IFERROR(INDEX(Roster!$B$2:$B$40,MATCH($A539,Roster!$A$2:$A$40,0)),"?"))</f>
        <v/>
      </c>
      <c r="C539" s="15" t="inlineStr">
        <is>
          <t>Bishopville_1</t>
        </is>
      </c>
      <c r="D539" s="29">
        <f>IF($C539="","",IFERROR(IF(INDEX(Deals!$C$2:$C$355,MATCH($C539,Deals!$A$2:$A$355,0))=0,"",INDEX(Deals!$C$2:$C$355,MATCH($C539,Deals!$A$2:$A$355,0))),"?"))</f>
        <v/>
      </c>
      <c r="E539" s="29">
        <f>IF($C539="","",IFERROR(INDEX(Deals!$F$2:$F$355,MATCH($C539,Deals!$A$2:$A$355,0)),"?"))</f>
        <v/>
      </c>
      <c r="F539" s="15" t="inlineStr">
        <is>
          <t>Renewable Specialist</t>
        </is>
      </c>
      <c r="G539" s="15" t="inlineStr">
        <is>
          <t>Active</t>
        </is>
      </c>
      <c r="H539" s="27" t="n"/>
      <c r="I539" s="20">
        <f>IF(OR($A539="",$G539&lt;&gt;"Active"),0,IF($H539&lt;&gt;"",$H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</f>
        <v/>
      </c>
      <c r="J539" s="23">
        <f>IF($C539="",0,IFERROR(INDEX(Deals!$H$2:$H$355,MATCH($C539,Deals!$A$2:$A$355,0)),0))</f>
        <v/>
      </c>
      <c r="K539" s="20">
        <f>IF(Settings!$B$4="Yes",$I539*$J539,$I539)</f>
        <v/>
      </c>
      <c r="L539" s="31">
        <f>IF($C539="","",IFERROR(IF(INDEX(Deals!$I$2:$I$355,MATCH($C539,Deals!$A$2:$A$355,0))=0,"",INDEX(Deals!$I$2:$I$355,MATCH($C539,Deals!$A$2:$A$355,0))),""))</f>
        <v/>
      </c>
      <c r="M539" s="31">
        <f>IF($C539="","",IFERROR(IF(INDEX(Deals!$J$2:$J$355,MATCH($C539,Deals!$A$2:$A$355,0))=0,"",INDEX(Deals!$J$2:$J$355,MATCH($C539,Deals!$A$2:$A$355,0))),""))</f>
        <v/>
      </c>
      <c r="N539" s="24">
        <f>IF($L539="",DATE(1900,1,1),$L539)</f>
        <v/>
      </c>
      <c r="O539" s="24">
        <f>IF($M539="",DATE(2100,12,31),$M539)</f>
        <v/>
      </c>
      <c r="P539" s="16" t="inlineStr"/>
      <c r="Q539" s="16" t="inlineStr"/>
      <c r="R539" s="29">
        <f>IF($C539="","",IFERROR(IF(INDEX(Deals!$U$2:$U$355,MATCH($C539,Deals!$A$2:$A$355,0))=0,"",INDEX(Deals!$U$2:$U$355,MATCH($C539,Deals!$A$2:$A$355,0))),""))</f>
        <v/>
      </c>
      <c r="S539" s="22">
        <f>IFERROR(IF($U539="",1,INDEX(Deals!$V$2:$V$355,MATCH($C539,Deals!$A$2:$A$355,0))),1)</f>
        <v/>
      </c>
      <c r="T539" s="22">
        <f>IFERROR(IF($U539="",1,INDEX(Deals!$W$2:$W$355,MATCH($C539,Deals!$A$2:$A$355,0))),1)</f>
        <v/>
      </c>
      <c r="U539" s="31">
        <f>IF($C539="","",IFERROR(IF(INDEX(Deals!$Y$2:$Y$355,MATCH($C539,Deals!$A$2:$A$355,0))=0,"",INDEX(Deals!$Y$2:$Y$355,MATCH($C539,Deals!$A$2:$A$355,0))),""))</f>
        <v/>
      </c>
      <c r="V539" s="24">
        <f>IF($U539="",DATE(1900,1,1),$N539)</f>
        <v/>
      </c>
      <c r="W539" s="24">
        <f>IF($U539="",DATE(2100,12,31),$U539)</f>
        <v/>
      </c>
      <c r="X539" s="20">
        <f>IF($U539="",$K539,$K539*$S539)</f>
        <v/>
      </c>
      <c r="Y539" s="24">
        <f>IF($U539="",DATE(2100,12,31),$U539+1)</f>
        <v/>
      </c>
      <c r="Z539" s="24">
        <f>IF($U539="",DATE(1900,1,1),$O539)</f>
        <v/>
      </c>
      <c r="AA539" s="20">
        <f>IF($U539="",0,$K539*$T539)</f>
        <v/>
      </c>
    </row>
    <row r="540">
      <c r="A540" s="15" t="inlineStr">
        <is>
          <t>Dorian</t>
        </is>
      </c>
      <c r="B540" s="29">
        <f>IF($A540="","",IFERROR(INDEX(Roster!$B$2:$B$40,MATCH($A540,Roster!$A$2:$A$40,0)),"?"))</f>
        <v/>
      </c>
      <c r="C540" s="15" t="inlineStr">
        <is>
          <t>Bocce_2</t>
        </is>
      </c>
      <c r="D540" s="29">
        <f>IF($C540="","",IFERROR(IF(INDEX(Deals!$C$2:$C$355,MATCH($C540,Deals!$A$2:$A$355,0))=0,"",INDEX(Deals!$C$2:$C$355,MATCH($C540,Deals!$A$2:$A$355,0))),"?"))</f>
        <v/>
      </c>
      <c r="E540" s="29">
        <f>IF($C540="","",IFERROR(INDEX(Deals!$F$2:$F$355,MATCH($C540,Deals!$A$2:$A$355,0)),"?"))</f>
        <v/>
      </c>
      <c r="F540" s="15" t="inlineStr">
        <is>
          <t>Renewable Specialist</t>
        </is>
      </c>
      <c r="G540" s="15" t="inlineStr">
        <is>
          <t>Active</t>
        </is>
      </c>
      <c r="H540" s="27" t="n"/>
      <c r="I540" s="20">
        <f>IF(OR($A540="",$G540&lt;&gt;"Active"),0,IF($H540&lt;&gt;"",$H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</f>
        <v/>
      </c>
      <c r="J540" s="23">
        <f>IF($C540="",0,IFERROR(INDEX(Deals!$H$2:$H$355,MATCH($C540,Deals!$A$2:$A$355,0)),0))</f>
        <v/>
      </c>
      <c r="K540" s="20">
        <f>IF(Settings!$B$4="Yes",$I540*$J540,$I540)</f>
        <v/>
      </c>
      <c r="L540" s="31">
        <f>IF($C540="","",IFERROR(IF(INDEX(Deals!$I$2:$I$355,MATCH($C540,Deals!$A$2:$A$355,0))=0,"",INDEX(Deals!$I$2:$I$355,MATCH($C540,Deals!$A$2:$A$355,0))),""))</f>
        <v/>
      </c>
      <c r="M540" s="31">
        <f>IF($C540="","",IFERROR(IF(INDEX(Deals!$J$2:$J$355,MATCH($C540,Deals!$A$2:$A$355,0))=0,"",INDEX(Deals!$J$2:$J$355,MATCH($C540,Deals!$A$2:$A$355,0))),""))</f>
        <v/>
      </c>
      <c r="N540" s="24">
        <f>IF($L540="",DATE(1900,1,1),$L540)</f>
        <v/>
      </c>
      <c r="O540" s="24">
        <f>IF($M540="",DATE(2100,12,31),$M540)</f>
        <v/>
      </c>
      <c r="P540" s="16" t="inlineStr"/>
      <c r="Q540" s="16" t="inlineStr"/>
      <c r="R540" s="29">
        <f>IF($C540="","",IFERROR(IF(INDEX(Deals!$U$2:$U$355,MATCH($C540,Deals!$A$2:$A$355,0))=0,"",INDEX(Deals!$U$2:$U$355,MATCH($C540,Deals!$A$2:$A$355,0))),""))</f>
        <v/>
      </c>
      <c r="S540" s="22">
        <f>IFERROR(IF($U540="",1,INDEX(Deals!$V$2:$V$355,MATCH($C540,Deals!$A$2:$A$355,0))),1)</f>
        <v/>
      </c>
      <c r="T540" s="22">
        <f>IFERROR(IF($U540="",1,INDEX(Deals!$W$2:$W$355,MATCH($C540,Deals!$A$2:$A$355,0))),1)</f>
        <v/>
      </c>
      <c r="U540" s="31">
        <f>IF($C540="","",IFERROR(IF(INDEX(Deals!$Y$2:$Y$355,MATCH($C540,Deals!$A$2:$A$355,0))=0,"",INDEX(Deals!$Y$2:$Y$355,MATCH($C540,Deals!$A$2:$A$355,0))),""))</f>
        <v/>
      </c>
      <c r="V540" s="24">
        <f>IF($U540="",DATE(1900,1,1),$N540)</f>
        <v/>
      </c>
      <c r="W540" s="24">
        <f>IF($U540="",DATE(2100,12,31),$U540)</f>
        <v/>
      </c>
      <c r="X540" s="20">
        <f>IF($U540="",$K540,$K540*$S540)</f>
        <v/>
      </c>
      <c r="Y540" s="24">
        <f>IF($U540="",DATE(2100,12,31),$U540+1)</f>
        <v/>
      </c>
      <c r="Z540" s="24">
        <f>IF($U540="",DATE(1900,1,1),$O540)</f>
        <v/>
      </c>
      <c r="AA540" s="20">
        <f>IF($U540="",0,$K540*$T540)</f>
        <v/>
      </c>
    </row>
    <row r="541">
      <c r="A541" s="15" t="inlineStr">
        <is>
          <t>Dorian</t>
        </is>
      </c>
      <c r="B541" s="29">
        <f>IF($A541="","",IFERROR(INDEX(Roster!$B$2:$B$40,MATCH($A541,Roster!$A$2:$A$40,0)),"?"))</f>
        <v/>
      </c>
      <c r="C541" s="15" t="inlineStr">
        <is>
          <t>BPF_1</t>
        </is>
      </c>
      <c r="D541" s="29">
        <f>IF($C541="","",IFERROR(IF(INDEX(Deals!$C$2:$C$355,MATCH($C541,Deals!$A$2:$A$355,0))=0,"",INDEX(Deals!$C$2:$C$355,MATCH($C541,Deals!$A$2:$A$355,0))),"?"))</f>
        <v/>
      </c>
      <c r="E541" s="29">
        <f>IF($C541="","",IFERROR(INDEX(Deals!$F$2:$F$355,MATCH($C541,Deals!$A$2:$A$355,0)),"?"))</f>
        <v/>
      </c>
      <c r="F541" s="15" t="inlineStr">
        <is>
          <t>Renewable Specialist</t>
        </is>
      </c>
      <c r="G541" s="15" t="inlineStr">
        <is>
          <t>Active</t>
        </is>
      </c>
      <c r="H541" s="27" t="n"/>
      <c r="I541" s="20">
        <f>IF(OR($A541="",$G541&lt;&gt;"Active"),0,IF($H541&lt;&gt;"",$H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</f>
        <v/>
      </c>
      <c r="J541" s="23">
        <f>IF($C541="",0,IFERROR(INDEX(Deals!$H$2:$H$355,MATCH($C541,Deals!$A$2:$A$355,0)),0))</f>
        <v/>
      </c>
      <c r="K541" s="20">
        <f>IF(Settings!$B$4="Yes",$I541*$J541,$I541)</f>
        <v/>
      </c>
      <c r="L541" s="31">
        <f>IF($C541="","",IFERROR(IF(INDEX(Deals!$I$2:$I$355,MATCH($C541,Deals!$A$2:$A$355,0))=0,"",INDEX(Deals!$I$2:$I$355,MATCH($C541,Deals!$A$2:$A$355,0))),""))</f>
        <v/>
      </c>
      <c r="M541" s="31">
        <f>IF($C541="","",IFERROR(IF(INDEX(Deals!$J$2:$J$355,MATCH($C541,Deals!$A$2:$A$355,0))=0,"",INDEX(Deals!$J$2:$J$355,MATCH($C541,Deals!$A$2:$A$355,0))),""))</f>
        <v/>
      </c>
      <c r="N541" s="24">
        <f>IF($L541="",DATE(1900,1,1),$L541)</f>
        <v/>
      </c>
      <c r="O541" s="24">
        <f>IF($M541="",DATE(2100,12,31),$M541)</f>
        <v/>
      </c>
      <c r="P541" s="16" t="inlineStr"/>
      <c r="Q541" s="16" t="inlineStr"/>
      <c r="R541" s="29">
        <f>IF($C541="","",IFERROR(IF(INDEX(Deals!$U$2:$U$355,MATCH($C541,Deals!$A$2:$A$355,0))=0,"",INDEX(Deals!$U$2:$U$355,MATCH($C541,Deals!$A$2:$A$355,0))),""))</f>
        <v/>
      </c>
      <c r="S541" s="22">
        <f>IFERROR(IF($U541="",1,INDEX(Deals!$V$2:$V$355,MATCH($C541,Deals!$A$2:$A$355,0))),1)</f>
        <v/>
      </c>
      <c r="T541" s="22">
        <f>IFERROR(IF($U541="",1,INDEX(Deals!$W$2:$W$355,MATCH($C541,Deals!$A$2:$A$355,0))),1)</f>
        <v/>
      </c>
      <c r="U541" s="31">
        <f>IF($C541="","",IFERROR(IF(INDEX(Deals!$Y$2:$Y$355,MATCH($C541,Deals!$A$2:$A$355,0))=0,"",INDEX(Deals!$Y$2:$Y$355,MATCH($C541,Deals!$A$2:$A$355,0))),""))</f>
        <v/>
      </c>
      <c r="V541" s="24">
        <f>IF($U541="",DATE(1900,1,1),$N541)</f>
        <v/>
      </c>
      <c r="W541" s="24">
        <f>IF($U541="",DATE(2100,12,31),$U541)</f>
        <v/>
      </c>
      <c r="X541" s="20">
        <f>IF($U541="",$K541,$K541*$S541)</f>
        <v/>
      </c>
      <c r="Y541" s="24">
        <f>IF($U541="",DATE(2100,12,31),$U541+1)</f>
        <v/>
      </c>
      <c r="Z541" s="24">
        <f>IF($U541="",DATE(1900,1,1),$O541)</f>
        <v/>
      </c>
      <c r="AA541" s="20">
        <f>IF($U541="",0,$K541*$T541)</f>
        <v/>
      </c>
    </row>
    <row r="542">
      <c r="A542" s="15" t="inlineStr">
        <is>
          <t>Dorian</t>
        </is>
      </c>
      <c r="B542" s="29">
        <f>IF($A542="","",IFERROR(INDEX(Roster!$B$2:$B$40,MATCH($A542,Roster!$A$2:$A$40,0)),"?"))</f>
        <v/>
      </c>
      <c r="C542" s="15" t="inlineStr">
        <is>
          <t>BPF_2</t>
        </is>
      </c>
      <c r="D542" s="29">
        <f>IF($C542="","",IFERROR(IF(INDEX(Deals!$C$2:$C$355,MATCH($C542,Deals!$A$2:$A$355,0))=0,"",INDEX(Deals!$C$2:$C$355,MATCH($C542,Deals!$A$2:$A$355,0))),"?"))</f>
        <v/>
      </c>
      <c r="E542" s="29">
        <f>IF($C542="","",IFERROR(INDEX(Deals!$F$2:$F$355,MATCH($C542,Deals!$A$2:$A$355,0)),"?"))</f>
        <v/>
      </c>
      <c r="F542" s="15" t="inlineStr">
        <is>
          <t>Renewable Specialist</t>
        </is>
      </c>
      <c r="G542" s="15" t="inlineStr">
        <is>
          <t>Active</t>
        </is>
      </c>
      <c r="H542" s="27" t="n"/>
      <c r="I542" s="20">
        <f>IF(OR($A542="",$G542&lt;&gt;"Active"),0,IF($H542&lt;&gt;"",$H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</f>
        <v/>
      </c>
      <c r="J542" s="23">
        <f>IF($C542="",0,IFERROR(INDEX(Deals!$H$2:$H$355,MATCH($C542,Deals!$A$2:$A$355,0)),0))</f>
        <v/>
      </c>
      <c r="K542" s="20">
        <f>IF(Settings!$B$4="Yes",$I542*$J542,$I542)</f>
        <v/>
      </c>
      <c r="L542" s="31">
        <f>IF($C542="","",IFERROR(IF(INDEX(Deals!$I$2:$I$355,MATCH($C542,Deals!$A$2:$A$355,0))=0,"",INDEX(Deals!$I$2:$I$355,MATCH($C542,Deals!$A$2:$A$355,0))),""))</f>
        <v/>
      </c>
      <c r="M542" s="31">
        <f>IF($C542="","",IFERROR(IF(INDEX(Deals!$J$2:$J$355,MATCH($C542,Deals!$A$2:$A$355,0))=0,"",INDEX(Deals!$J$2:$J$355,MATCH($C542,Deals!$A$2:$A$355,0))),""))</f>
        <v/>
      </c>
      <c r="N542" s="24">
        <f>IF($L542="",DATE(1900,1,1),$L542)</f>
        <v/>
      </c>
      <c r="O542" s="24">
        <f>IF($M542="",DATE(2100,12,31),$M542)</f>
        <v/>
      </c>
      <c r="P542" s="16" t="inlineStr"/>
      <c r="Q542" s="16" t="inlineStr"/>
      <c r="R542" s="29">
        <f>IF($C542="","",IFERROR(IF(INDEX(Deals!$U$2:$U$355,MATCH($C542,Deals!$A$2:$A$355,0))=0,"",INDEX(Deals!$U$2:$U$355,MATCH($C542,Deals!$A$2:$A$355,0))),""))</f>
        <v/>
      </c>
      <c r="S542" s="22">
        <f>IFERROR(IF($U542="",1,INDEX(Deals!$V$2:$V$355,MATCH($C542,Deals!$A$2:$A$355,0))),1)</f>
        <v/>
      </c>
      <c r="T542" s="22">
        <f>IFERROR(IF($U542="",1,INDEX(Deals!$W$2:$W$355,MATCH($C542,Deals!$A$2:$A$355,0))),1)</f>
        <v/>
      </c>
      <c r="U542" s="31">
        <f>IF($C542="","",IFERROR(IF(INDEX(Deals!$Y$2:$Y$355,MATCH($C542,Deals!$A$2:$A$355,0))=0,"",INDEX(Deals!$Y$2:$Y$355,MATCH($C542,Deals!$A$2:$A$355,0))),""))</f>
        <v/>
      </c>
      <c r="V542" s="24">
        <f>IF($U542="",DATE(1900,1,1),$N542)</f>
        <v/>
      </c>
      <c r="W542" s="24">
        <f>IF($U542="",DATE(2100,12,31),$U542)</f>
        <v/>
      </c>
      <c r="X542" s="20">
        <f>IF($U542="",$K542,$K542*$S542)</f>
        <v/>
      </c>
      <c r="Y542" s="24">
        <f>IF($U542="",DATE(2100,12,31),$U542+1)</f>
        <v/>
      </c>
      <c r="Z542" s="24">
        <f>IF($U542="",DATE(1900,1,1),$O542)</f>
        <v/>
      </c>
      <c r="AA542" s="20">
        <f>IF($U542="",0,$K542*$T542)</f>
        <v/>
      </c>
    </row>
    <row r="543">
      <c r="A543" s="15" t="inlineStr">
        <is>
          <t>Dorian</t>
        </is>
      </c>
      <c r="B543" s="29">
        <f>IF($A543="","",IFERROR(INDEX(Roster!$B$2:$B$40,MATCH($A543,Roster!$A$2:$A$40,0)),"?"))</f>
        <v/>
      </c>
      <c r="C543" s="15" t="inlineStr">
        <is>
          <t>Brass_2</t>
        </is>
      </c>
      <c r="D543" s="29">
        <f>IF($C543="","",IFERROR(IF(INDEX(Deals!$C$2:$C$355,MATCH($C543,Deals!$A$2:$A$355,0))=0,"",INDEX(Deals!$C$2:$C$355,MATCH($C543,Deals!$A$2:$A$355,0))),"?"))</f>
        <v/>
      </c>
      <c r="E543" s="29">
        <f>IF($C543="","",IFERROR(INDEX(Deals!$F$2:$F$355,MATCH($C543,Deals!$A$2:$A$355,0)),"?"))</f>
        <v/>
      </c>
      <c r="F543" s="15" t="inlineStr">
        <is>
          <t>Renewable Specialist</t>
        </is>
      </c>
      <c r="G543" s="15" t="inlineStr">
        <is>
          <t>Active</t>
        </is>
      </c>
      <c r="H543" s="27" t="n"/>
      <c r="I543" s="20">
        <f>IF(OR($A543="",$G543&lt;&gt;"Active"),0,IF($H543&lt;&gt;"",$H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</f>
        <v/>
      </c>
      <c r="J543" s="23">
        <f>IF($C543="",0,IFERROR(INDEX(Deals!$H$2:$H$355,MATCH($C543,Deals!$A$2:$A$355,0)),0))</f>
        <v/>
      </c>
      <c r="K543" s="20">
        <f>IF(Settings!$B$4="Yes",$I543*$J543,$I543)</f>
        <v/>
      </c>
      <c r="L543" s="31">
        <f>IF($C543="","",IFERROR(IF(INDEX(Deals!$I$2:$I$355,MATCH($C543,Deals!$A$2:$A$355,0))=0,"",INDEX(Deals!$I$2:$I$355,MATCH($C543,Deals!$A$2:$A$355,0))),""))</f>
        <v/>
      </c>
      <c r="M543" s="31">
        <f>IF($C543="","",IFERROR(IF(INDEX(Deals!$J$2:$J$355,MATCH($C543,Deals!$A$2:$A$355,0))=0,"",INDEX(Deals!$J$2:$J$355,MATCH($C543,Deals!$A$2:$A$355,0))),""))</f>
        <v/>
      </c>
      <c r="N543" s="24">
        <f>IF($L543="",DATE(1900,1,1),$L543)</f>
        <v/>
      </c>
      <c r="O543" s="24">
        <f>IF($M543="",DATE(2100,12,31),$M543)</f>
        <v/>
      </c>
      <c r="P543" s="16" t="inlineStr"/>
      <c r="Q543" s="16" t="inlineStr"/>
      <c r="R543" s="29">
        <f>IF($C543="","",IFERROR(IF(INDEX(Deals!$U$2:$U$355,MATCH($C543,Deals!$A$2:$A$355,0))=0,"",INDEX(Deals!$U$2:$U$355,MATCH($C543,Deals!$A$2:$A$355,0))),""))</f>
        <v/>
      </c>
      <c r="S543" s="22">
        <f>IFERROR(IF($U543="",1,INDEX(Deals!$V$2:$V$355,MATCH($C543,Deals!$A$2:$A$355,0))),1)</f>
        <v/>
      </c>
      <c r="T543" s="22">
        <f>IFERROR(IF($U543="",1,INDEX(Deals!$W$2:$W$355,MATCH($C543,Deals!$A$2:$A$355,0))),1)</f>
        <v/>
      </c>
      <c r="U543" s="31">
        <f>IF($C543="","",IFERROR(IF(INDEX(Deals!$Y$2:$Y$355,MATCH($C543,Deals!$A$2:$A$355,0))=0,"",INDEX(Deals!$Y$2:$Y$355,MATCH($C543,Deals!$A$2:$A$355,0))),""))</f>
        <v/>
      </c>
      <c r="V543" s="24">
        <f>IF($U543="",DATE(1900,1,1),$N543)</f>
        <v/>
      </c>
      <c r="W543" s="24">
        <f>IF($U543="",DATE(2100,12,31),$U543)</f>
        <v/>
      </c>
      <c r="X543" s="20">
        <f>IF($U543="",$K543,$K543*$S543)</f>
        <v/>
      </c>
      <c r="Y543" s="24">
        <f>IF($U543="",DATE(2100,12,31),$U543+1)</f>
        <v/>
      </c>
      <c r="Z543" s="24">
        <f>IF($U543="",DATE(1900,1,1),$O543)</f>
        <v/>
      </c>
      <c r="AA543" s="20">
        <f>IF($U543="",0,$K543*$T543)</f>
        <v/>
      </c>
    </row>
    <row r="544">
      <c r="A544" s="15" t="inlineStr">
        <is>
          <t>Dorian</t>
        </is>
      </c>
      <c r="B544" s="29">
        <f>IF($A544="","",IFERROR(INDEX(Roster!$B$2:$B$40,MATCH($A544,Roster!$A$2:$A$40,0)),"?"))</f>
        <v/>
      </c>
      <c r="C544" s="15" t="inlineStr">
        <is>
          <t>Canyon_2</t>
        </is>
      </c>
      <c r="D544" s="29">
        <f>IF($C544="","",IFERROR(IF(INDEX(Deals!$C$2:$C$355,MATCH($C544,Deals!$A$2:$A$355,0))=0,"",INDEX(Deals!$C$2:$C$355,MATCH($C544,Deals!$A$2:$A$355,0))),"?"))</f>
        <v/>
      </c>
      <c r="E544" s="29">
        <f>IF($C544="","",IFERROR(INDEX(Deals!$F$2:$F$355,MATCH($C544,Deals!$A$2:$A$355,0)),"?"))</f>
        <v/>
      </c>
      <c r="F544" s="15" t="inlineStr">
        <is>
          <t>Renewable Specialist</t>
        </is>
      </c>
      <c r="G544" s="15" t="inlineStr">
        <is>
          <t>Active</t>
        </is>
      </c>
      <c r="H544" s="27" t="n"/>
      <c r="I544" s="20">
        <f>IF(OR($A544="",$G544&lt;&gt;"Active"),0,IF($H544&lt;&gt;"",$H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</f>
        <v/>
      </c>
      <c r="J544" s="23">
        <f>IF($C544="",0,IFERROR(INDEX(Deals!$H$2:$H$355,MATCH($C544,Deals!$A$2:$A$355,0)),0))</f>
        <v/>
      </c>
      <c r="K544" s="20">
        <f>IF(Settings!$B$4="Yes",$I544*$J544,$I544)</f>
        <v/>
      </c>
      <c r="L544" s="31">
        <f>IF($C544="","",IFERROR(IF(INDEX(Deals!$I$2:$I$355,MATCH($C544,Deals!$A$2:$A$355,0))=0,"",INDEX(Deals!$I$2:$I$355,MATCH($C544,Deals!$A$2:$A$355,0))),""))</f>
        <v/>
      </c>
      <c r="M544" s="31">
        <f>IF($C544="","",IFERROR(IF(INDEX(Deals!$J$2:$J$355,MATCH($C544,Deals!$A$2:$A$355,0))=0,"",INDEX(Deals!$J$2:$J$355,MATCH($C544,Deals!$A$2:$A$355,0))),""))</f>
        <v/>
      </c>
      <c r="N544" s="24">
        <f>IF($L544="",DATE(1900,1,1),$L544)</f>
        <v/>
      </c>
      <c r="O544" s="24">
        <f>IF($M544="",DATE(2100,12,31),$M544)</f>
        <v/>
      </c>
      <c r="P544" s="16" t="inlineStr"/>
      <c r="Q544" s="16" t="inlineStr"/>
      <c r="R544" s="29">
        <f>IF($C544="","",IFERROR(IF(INDEX(Deals!$U$2:$U$355,MATCH($C544,Deals!$A$2:$A$355,0))=0,"",INDEX(Deals!$U$2:$U$355,MATCH($C544,Deals!$A$2:$A$355,0))),""))</f>
        <v/>
      </c>
      <c r="S544" s="22">
        <f>IFERROR(IF($U544="",1,INDEX(Deals!$V$2:$V$355,MATCH($C544,Deals!$A$2:$A$355,0))),1)</f>
        <v/>
      </c>
      <c r="T544" s="22">
        <f>IFERROR(IF($U544="",1,INDEX(Deals!$W$2:$W$355,MATCH($C544,Deals!$A$2:$A$355,0))),1)</f>
        <v/>
      </c>
      <c r="U544" s="31">
        <f>IF($C544="","",IFERROR(IF(INDEX(Deals!$Y$2:$Y$355,MATCH($C544,Deals!$A$2:$A$355,0))=0,"",INDEX(Deals!$Y$2:$Y$355,MATCH($C544,Deals!$A$2:$A$355,0))),""))</f>
        <v/>
      </c>
      <c r="V544" s="24">
        <f>IF($U544="",DATE(1900,1,1),$N544)</f>
        <v/>
      </c>
      <c r="W544" s="24">
        <f>IF($U544="",DATE(2100,12,31),$U544)</f>
        <v/>
      </c>
      <c r="X544" s="20">
        <f>IF($U544="",$K544,$K544*$S544)</f>
        <v/>
      </c>
      <c r="Y544" s="24">
        <f>IF($U544="",DATE(2100,12,31),$U544+1)</f>
        <v/>
      </c>
      <c r="Z544" s="24">
        <f>IF($U544="",DATE(1900,1,1),$O544)</f>
        <v/>
      </c>
      <c r="AA544" s="20">
        <f>IF($U544="",0,$K544*$T544)</f>
        <v/>
      </c>
    </row>
    <row r="545">
      <c r="A545" s="15" t="inlineStr">
        <is>
          <t>Dorian</t>
        </is>
      </c>
      <c r="B545" s="29">
        <f>IF($A545="","",IFERROR(INDEX(Roster!$B$2:$B$40,MATCH($A545,Roster!$A$2:$A$40,0)),"?"))</f>
        <v/>
      </c>
      <c r="C545" s="15" t="inlineStr">
        <is>
          <t>Circuit_1</t>
        </is>
      </c>
      <c r="D545" s="29">
        <f>IF($C545="","",IFERROR(IF(INDEX(Deals!$C$2:$C$355,MATCH($C545,Deals!$A$2:$A$355,0))=0,"",INDEX(Deals!$C$2:$C$355,MATCH($C545,Deals!$A$2:$A$355,0))),"?"))</f>
        <v/>
      </c>
      <c r="E545" s="29">
        <f>IF($C545="","",IFERROR(INDEX(Deals!$F$2:$F$355,MATCH($C545,Deals!$A$2:$A$355,0)),"?"))</f>
        <v/>
      </c>
      <c r="F545" s="15" t="inlineStr">
        <is>
          <t>Renewable Specialist</t>
        </is>
      </c>
      <c r="G545" s="15" t="inlineStr">
        <is>
          <t>Active</t>
        </is>
      </c>
      <c r="H545" s="27" t="n"/>
      <c r="I545" s="20">
        <f>IF(OR($A545="",$G545&lt;&gt;"Active"),0,IF($H545&lt;&gt;"",$H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</f>
        <v/>
      </c>
      <c r="J545" s="23">
        <f>IF($C545="",0,IFERROR(INDEX(Deals!$H$2:$H$355,MATCH($C545,Deals!$A$2:$A$355,0)),0))</f>
        <v/>
      </c>
      <c r="K545" s="20">
        <f>IF(Settings!$B$4="Yes",$I545*$J545,$I545)</f>
        <v/>
      </c>
      <c r="L545" s="31">
        <f>IF($C545="","",IFERROR(IF(INDEX(Deals!$I$2:$I$355,MATCH($C545,Deals!$A$2:$A$355,0))=0,"",INDEX(Deals!$I$2:$I$355,MATCH($C545,Deals!$A$2:$A$355,0))),""))</f>
        <v/>
      </c>
      <c r="M545" s="31">
        <f>IF($C545="","",IFERROR(IF(INDEX(Deals!$J$2:$J$355,MATCH($C545,Deals!$A$2:$A$355,0))=0,"",INDEX(Deals!$J$2:$J$355,MATCH($C545,Deals!$A$2:$A$355,0))),""))</f>
        <v/>
      </c>
      <c r="N545" s="24">
        <f>IF($L545="",DATE(1900,1,1),$L545)</f>
        <v/>
      </c>
      <c r="O545" s="24">
        <f>IF($M545="",DATE(2100,12,31),$M545)</f>
        <v/>
      </c>
      <c r="P545" s="16" t="inlineStr"/>
      <c r="Q545" s="16" t="inlineStr"/>
      <c r="R545" s="29">
        <f>IF($C545="","",IFERROR(IF(INDEX(Deals!$U$2:$U$355,MATCH($C545,Deals!$A$2:$A$355,0))=0,"",INDEX(Deals!$U$2:$U$355,MATCH($C545,Deals!$A$2:$A$355,0))),""))</f>
        <v/>
      </c>
      <c r="S545" s="22">
        <f>IFERROR(IF($U545="",1,INDEX(Deals!$V$2:$V$355,MATCH($C545,Deals!$A$2:$A$355,0))),1)</f>
        <v/>
      </c>
      <c r="T545" s="22">
        <f>IFERROR(IF($U545="",1,INDEX(Deals!$W$2:$W$355,MATCH($C545,Deals!$A$2:$A$355,0))),1)</f>
        <v/>
      </c>
      <c r="U545" s="31">
        <f>IF($C545="","",IFERROR(IF(INDEX(Deals!$Y$2:$Y$355,MATCH($C545,Deals!$A$2:$A$355,0))=0,"",INDEX(Deals!$Y$2:$Y$355,MATCH($C545,Deals!$A$2:$A$355,0))),""))</f>
        <v/>
      </c>
      <c r="V545" s="24">
        <f>IF($U545="",DATE(1900,1,1),$N545)</f>
        <v/>
      </c>
      <c r="W545" s="24">
        <f>IF($U545="",DATE(2100,12,31),$U545)</f>
        <v/>
      </c>
      <c r="X545" s="20">
        <f>IF($U545="",$K545,$K545*$S545)</f>
        <v/>
      </c>
      <c r="Y545" s="24">
        <f>IF($U545="",DATE(2100,12,31),$U545+1)</f>
        <v/>
      </c>
      <c r="Z545" s="24">
        <f>IF($U545="",DATE(1900,1,1),$O545)</f>
        <v/>
      </c>
      <c r="AA545" s="20">
        <f>IF($U545="",0,$K545*$T545)</f>
        <v/>
      </c>
    </row>
    <row r="546">
      <c r="A546" s="15" t="inlineStr">
        <is>
          <t>Dorian</t>
        </is>
      </c>
      <c r="B546" s="29">
        <f>IF($A546="","",IFERROR(INDEX(Roster!$B$2:$B$40,MATCH($A546,Roster!$A$2:$A$40,0)),"?"))</f>
        <v/>
      </c>
      <c r="C546" s="15" t="inlineStr">
        <is>
          <t>Cowboy_1</t>
        </is>
      </c>
      <c r="D546" s="29">
        <f>IF($C546="","",IFERROR(IF(INDEX(Deals!$C$2:$C$355,MATCH($C546,Deals!$A$2:$A$355,0))=0,"",INDEX(Deals!$C$2:$C$355,MATCH($C546,Deals!$A$2:$A$355,0))),"?"))</f>
        <v/>
      </c>
      <c r="E546" s="29">
        <f>IF($C546="","",IFERROR(INDEX(Deals!$F$2:$F$355,MATCH($C546,Deals!$A$2:$A$355,0)),"?"))</f>
        <v/>
      </c>
      <c r="F546" s="15" t="inlineStr">
        <is>
          <t>Renewable Specialist</t>
        </is>
      </c>
      <c r="G546" s="15" t="inlineStr">
        <is>
          <t>Active</t>
        </is>
      </c>
      <c r="H546" s="27" t="n"/>
      <c r="I546" s="20">
        <f>IF(OR($A546="",$G546&lt;&gt;"Active"),0,IF($H546&lt;&gt;"",$H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</f>
        <v/>
      </c>
      <c r="J546" s="23">
        <f>IF($C546="",0,IFERROR(INDEX(Deals!$H$2:$H$355,MATCH($C546,Deals!$A$2:$A$355,0)),0))</f>
        <v/>
      </c>
      <c r="K546" s="20">
        <f>IF(Settings!$B$4="Yes",$I546*$J546,$I546)</f>
        <v/>
      </c>
      <c r="L546" s="31">
        <f>IF($C546="","",IFERROR(IF(INDEX(Deals!$I$2:$I$355,MATCH($C546,Deals!$A$2:$A$355,0))=0,"",INDEX(Deals!$I$2:$I$355,MATCH($C546,Deals!$A$2:$A$355,0))),""))</f>
        <v/>
      </c>
      <c r="M546" s="31">
        <f>IF($C546="","",IFERROR(IF(INDEX(Deals!$J$2:$J$355,MATCH($C546,Deals!$A$2:$A$355,0))=0,"",INDEX(Deals!$J$2:$J$355,MATCH($C546,Deals!$A$2:$A$355,0))),""))</f>
        <v/>
      </c>
      <c r="N546" s="24">
        <f>IF($L546="",DATE(1900,1,1),$L546)</f>
        <v/>
      </c>
      <c r="O546" s="24">
        <f>IF($M546="",DATE(2100,12,31),$M546)</f>
        <v/>
      </c>
      <c r="P546" s="16" t="inlineStr"/>
      <c r="Q546" s="16" t="inlineStr"/>
      <c r="R546" s="29">
        <f>IF($C546="","",IFERROR(IF(INDEX(Deals!$U$2:$U$355,MATCH($C546,Deals!$A$2:$A$355,0))=0,"",INDEX(Deals!$U$2:$U$355,MATCH($C546,Deals!$A$2:$A$355,0))),""))</f>
        <v/>
      </c>
      <c r="S546" s="22">
        <f>IFERROR(IF($U546="",1,INDEX(Deals!$V$2:$V$355,MATCH($C546,Deals!$A$2:$A$355,0))),1)</f>
        <v/>
      </c>
      <c r="T546" s="22">
        <f>IFERROR(IF($U546="",1,INDEX(Deals!$W$2:$W$355,MATCH($C546,Deals!$A$2:$A$355,0))),1)</f>
        <v/>
      </c>
      <c r="U546" s="31">
        <f>IF($C546="","",IFERROR(IF(INDEX(Deals!$Y$2:$Y$355,MATCH($C546,Deals!$A$2:$A$355,0))=0,"",INDEX(Deals!$Y$2:$Y$355,MATCH($C546,Deals!$A$2:$A$355,0))),""))</f>
        <v/>
      </c>
      <c r="V546" s="24">
        <f>IF($U546="",DATE(1900,1,1),$N546)</f>
        <v/>
      </c>
      <c r="W546" s="24">
        <f>IF($U546="",DATE(2100,12,31),$U546)</f>
        <v/>
      </c>
      <c r="X546" s="20">
        <f>IF($U546="",$K546,$K546*$S546)</f>
        <v/>
      </c>
      <c r="Y546" s="24">
        <f>IF($U546="",DATE(2100,12,31),$U546+1)</f>
        <v/>
      </c>
      <c r="Z546" s="24">
        <f>IF($U546="",DATE(1900,1,1),$O546)</f>
        <v/>
      </c>
      <c r="AA546" s="20">
        <f>IF($U546="",0,$K546*$T546)</f>
        <v/>
      </c>
    </row>
    <row r="547">
      <c r="A547" s="15" t="inlineStr">
        <is>
          <t>Dorian</t>
        </is>
      </c>
      <c r="B547" s="29">
        <f>IF($A547="","",IFERROR(INDEX(Roster!$B$2:$B$40,MATCH($A547,Roster!$A$2:$A$40,0)),"?"))</f>
        <v/>
      </c>
      <c r="C547" s="15" t="inlineStr">
        <is>
          <t>Dawn_1</t>
        </is>
      </c>
      <c r="D547" s="29">
        <f>IF($C547="","",IFERROR(IF(INDEX(Deals!$C$2:$C$355,MATCH($C547,Deals!$A$2:$A$355,0))=0,"",INDEX(Deals!$C$2:$C$355,MATCH($C547,Deals!$A$2:$A$355,0))),"?"))</f>
        <v/>
      </c>
      <c r="E547" s="29">
        <f>IF($C547="","",IFERROR(INDEX(Deals!$F$2:$F$355,MATCH($C547,Deals!$A$2:$A$355,0)),"?"))</f>
        <v/>
      </c>
      <c r="F547" s="15" t="inlineStr">
        <is>
          <t>Renewable Specialist</t>
        </is>
      </c>
      <c r="G547" s="15" t="inlineStr">
        <is>
          <t>Active</t>
        </is>
      </c>
      <c r="H547" s="27" t="n"/>
      <c r="I547" s="20">
        <f>IF(OR($A547="",$G547&lt;&gt;"Active"),0,IF($H547&lt;&gt;"",$H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</f>
        <v/>
      </c>
      <c r="J547" s="23">
        <f>IF($C547="",0,IFERROR(INDEX(Deals!$H$2:$H$355,MATCH($C547,Deals!$A$2:$A$355,0)),0))</f>
        <v/>
      </c>
      <c r="K547" s="20">
        <f>IF(Settings!$B$4="Yes",$I547*$J547,$I547)</f>
        <v/>
      </c>
      <c r="L547" s="31">
        <f>IF($C547="","",IFERROR(IF(INDEX(Deals!$I$2:$I$355,MATCH($C547,Deals!$A$2:$A$355,0))=0,"",INDEX(Deals!$I$2:$I$355,MATCH($C547,Deals!$A$2:$A$355,0))),""))</f>
        <v/>
      </c>
      <c r="M547" s="31">
        <f>IF($C547="","",IFERROR(IF(INDEX(Deals!$J$2:$J$355,MATCH($C547,Deals!$A$2:$A$355,0))=0,"",INDEX(Deals!$J$2:$J$355,MATCH($C547,Deals!$A$2:$A$355,0))),""))</f>
        <v/>
      </c>
      <c r="N547" s="24">
        <f>IF($L547="",DATE(1900,1,1),$L547)</f>
        <v/>
      </c>
      <c r="O547" s="24">
        <f>IF($M547="",DATE(2100,12,31),$M547)</f>
        <v/>
      </c>
      <c r="P547" s="16" t="inlineStr"/>
      <c r="Q547" s="16" t="inlineStr"/>
      <c r="R547" s="29">
        <f>IF($C547="","",IFERROR(IF(INDEX(Deals!$U$2:$U$355,MATCH($C547,Deals!$A$2:$A$355,0))=0,"",INDEX(Deals!$U$2:$U$355,MATCH($C547,Deals!$A$2:$A$355,0))),""))</f>
        <v/>
      </c>
      <c r="S547" s="22">
        <f>IFERROR(IF($U547="",1,INDEX(Deals!$V$2:$V$355,MATCH($C547,Deals!$A$2:$A$355,0))),1)</f>
        <v/>
      </c>
      <c r="T547" s="22">
        <f>IFERROR(IF($U547="",1,INDEX(Deals!$W$2:$W$355,MATCH($C547,Deals!$A$2:$A$355,0))),1)</f>
        <v/>
      </c>
      <c r="U547" s="31">
        <f>IF($C547="","",IFERROR(IF(INDEX(Deals!$Y$2:$Y$355,MATCH($C547,Deals!$A$2:$A$355,0))=0,"",INDEX(Deals!$Y$2:$Y$355,MATCH($C547,Deals!$A$2:$A$355,0))),""))</f>
        <v/>
      </c>
      <c r="V547" s="24">
        <f>IF($U547="",DATE(1900,1,1),$N547)</f>
        <v/>
      </c>
      <c r="W547" s="24">
        <f>IF($U547="",DATE(2100,12,31),$U547)</f>
        <v/>
      </c>
      <c r="X547" s="20">
        <f>IF($U547="",$K547,$K547*$S547)</f>
        <v/>
      </c>
      <c r="Y547" s="24">
        <f>IF($U547="",DATE(2100,12,31),$U547+1)</f>
        <v/>
      </c>
      <c r="Z547" s="24">
        <f>IF($U547="",DATE(1900,1,1),$O547)</f>
        <v/>
      </c>
      <c r="AA547" s="20">
        <f>IF($U547="",0,$K547*$T547)</f>
        <v/>
      </c>
    </row>
    <row r="548">
      <c r="A548" s="15" t="inlineStr">
        <is>
          <t>Dorian</t>
        </is>
      </c>
      <c r="B548" s="29">
        <f>IF($A548="","",IFERROR(INDEX(Roster!$B$2:$B$40,MATCH($A548,Roster!$A$2:$A$40,0)),"?"))</f>
        <v/>
      </c>
      <c r="C548" s="15" t="inlineStr">
        <is>
          <t>Denergy_1</t>
        </is>
      </c>
      <c r="D548" s="29">
        <f>IF($C548="","",IFERROR(IF(INDEX(Deals!$C$2:$C$355,MATCH($C548,Deals!$A$2:$A$355,0))=0,"",INDEX(Deals!$C$2:$C$355,MATCH($C548,Deals!$A$2:$A$355,0))),"?"))</f>
        <v/>
      </c>
      <c r="E548" s="29">
        <f>IF($C548="","",IFERROR(INDEX(Deals!$F$2:$F$355,MATCH($C548,Deals!$A$2:$A$355,0)),"?"))</f>
        <v/>
      </c>
      <c r="F548" s="15" t="inlineStr">
        <is>
          <t>Renewable Specialist</t>
        </is>
      </c>
      <c r="G548" s="15" t="inlineStr">
        <is>
          <t>Active</t>
        </is>
      </c>
      <c r="H548" s="27" t="n"/>
      <c r="I548" s="20">
        <f>IF(OR($A548="",$G548&lt;&gt;"Active"),0,IF($H548&lt;&gt;"",$H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</f>
        <v/>
      </c>
      <c r="J548" s="23">
        <f>IF($C548="",0,IFERROR(INDEX(Deals!$H$2:$H$355,MATCH($C548,Deals!$A$2:$A$355,0)),0))</f>
        <v/>
      </c>
      <c r="K548" s="20">
        <f>IF(Settings!$B$4="Yes",$I548*$J548,$I548)</f>
        <v/>
      </c>
      <c r="L548" s="31">
        <f>IF($C548="","",IFERROR(IF(INDEX(Deals!$I$2:$I$355,MATCH($C548,Deals!$A$2:$A$355,0))=0,"",INDEX(Deals!$I$2:$I$355,MATCH($C548,Deals!$A$2:$A$355,0))),""))</f>
        <v/>
      </c>
      <c r="M548" s="31">
        <f>IF($C548="","",IFERROR(IF(INDEX(Deals!$J$2:$J$355,MATCH($C548,Deals!$A$2:$A$355,0))=0,"",INDEX(Deals!$J$2:$J$355,MATCH($C548,Deals!$A$2:$A$355,0))),""))</f>
        <v/>
      </c>
      <c r="N548" s="24">
        <f>IF($L548="",DATE(1900,1,1),$L548)</f>
        <v/>
      </c>
      <c r="O548" s="24">
        <f>IF($M548="",DATE(2100,12,31),$M548)</f>
        <v/>
      </c>
      <c r="P548" s="16" t="inlineStr"/>
      <c r="Q548" s="16" t="inlineStr"/>
      <c r="R548" s="29">
        <f>IF($C548="","",IFERROR(IF(INDEX(Deals!$U$2:$U$355,MATCH($C548,Deals!$A$2:$A$355,0))=0,"",INDEX(Deals!$U$2:$U$355,MATCH($C548,Deals!$A$2:$A$355,0))),""))</f>
        <v/>
      </c>
      <c r="S548" s="22">
        <f>IFERROR(IF($U548="",1,INDEX(Deals!$V$2:$V$355,MATCH($C548,Deals!$A$2:$A$355,0))),1)</f>
        <v/>
      </c>
      <c r="T548" s="22">
        <f>IFERROR(IF($U548="",1,INDEX(Deals!$W$2:$W$355,MATCH($C548,Deals!$A$2:$A$355,0))),1)</f>
        <v/>
      </c>
      <c r="U548" s="31">
        <f>IF($C548="","",IFERROR(IF(INDEX(Deals!$Y$2:$Y$355,MATCH($C548,Deals!$A$2:$A$355,0))=0,"",INDEX(Deals!$Y$2:$Y$355,MATCH($C548,Deals!$A$2:$A$355,0))),""))</f>
        <v/>
      </c>
      <c r="V548" s="24">
        <f>IF($U548="",DATE(1900,1,1),$N548)</f>
        <v/>
      </c>
      <c r="W548" s="24">
        <f>IF($U548="",DATE(2100,12,31),$U548)</f>
        <v/>
      </c>
      <c r="X548" s="20">
        <f>IF($U548="",$K548,$K548*$S548)</f>
        <v/>
      </c>
      <c r="Y548" s="24">
        <f>IF($U548="",DATE(2100,12,31),$U548+1)</f>
        <v/>
      </c>
      <c r="Z548" s="24">
        <f>IF($U548="",DATE(1900,1,1),$O548)</f>
        <v/>
      </c>
      <c r="AA548" s="20">
        <f>IF($U548="",0,$K548*$T548)</f>
        <v/>
      </c>
    </row>
    <row r="549">
      <c r="A549" s="15" t="inlineStr">
        <is>
          <t>Dorian</t>
        </is>
      </c>
      <c r="B549" s="29">
        <f>IF($A549="","",IFERROR(INDEX(Roster!$B$2:$B$40,MATCH($A549,Roster!$A$2:$A$40,0)),"?"))</f>
        <v/>
      </c>
      <c r="C549" s="15" t="inlineStr">
        <is>
          <t>DIF - Diverso_1</t>
        </is>
      </c>
      <c r="D549" s="29">
        <f>IF($C549="","",IFERROR(IF(INDEX(Deals!$C$2:$C$355,MATCH($C549,Deals!$A$2:$A$355,0))=0,"",INDEX(Deals!$C$2:$C$355,MATCH($C549,Deals!$A$2:$A$355,0))),"?"))</f>
        <v/>
      </c>
      <c r="E549" s="29">
        <f>IF($C549="","",IFERROR(INDEX(Deals!$F$2:$F$355,MATCH($C549,Deals!$A$2:$A$355,0)),"?"))</f>
        <v/>
      </c>
      <c r="F549" s="15" t="inlineStr">
        <is>
          <t>Renewable Specialist</t>
        </is>
      </c>
      <c r="G549" s="15" t="inlineStr">
        <is>
          <t>Active</t>
        </is>
      </c>
      <c r="H549" s="27" t="n"/>
      <c r="I549" s="20">
        <f>IF(OR($A549="",$G549&lt;&gt;"Active"),0,IF($H549&lt;&gt;"",$H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</f>
        <v/>
      </c>
      <c r="J549" s="23">
        <f>IF($C549="",0,IFERROR(INDEX(Deals!$H$2:$H$355,MATCH($C549,Deals!$A$2:$A$355,0)),0))</f>
        <v/>
      </c>
      <c r="K549" s="20">
        <f>IF(Settings!$B$4="Yes",$I549*$J549,$I549)</f>
        <v/>
      </c>
      <c r="L549" s="31">
        <f>IF($C549="","",IFERROR(IF(INDEX(Deals!$I$2:$I$355,MATCH($C549,Deals!$A$2:$A$355,0))=0,"",INDEX(Deals!$I$2:$I$355,MATCH($C549,Deals!$A$2:$A$355,0))),""))</f>
        <v/>
      </c>
      <c r="M549" s="31">
        <f>IF($C549="","",IFERROR(IF(INDEX(Deals!$J$2:$J$355,MATCH($C549,Deals!$A$2:$A$355,0))=0,"",INDEX(Deals!$J$2:$J$355,MATCH($C549,Deals!$A$2:$A$355,0))),""))</f>
        <v/>
      </c>
      <c r="N549" s="24">
        <f>IF($L549="",DATE(1900,1,1),$L549)</f>
        <v/>
      </c>
      <c r="O549" s="24">
        <f>IF($M549="",DATE(2100,12,31),$M549)</f>
        <v/>
      </c>
      <c r="P549" s="16" t="inlineStr"/>
      <c r="Q549" s="16" t="inlineStr"/>
      <c r="R549" s="29">
        <f>IF($C549="","",IFERROR(IF(INDEX(Deals!$U$2:$U$355,MATCH($C549,Deals!$A$2:$A$355,0))=0,"",INDEX(Deals!$U$2:$U$355,MATCH($C549,Deals!$A$2:$A$355,0))),""))</f>
        <v/>
      </c>
      <c r="S549" s="22">
        <f>IFERROR(IF($U549="",1,INDEX(Deals!$V$2:$V$355,MATCH($C549,Deals!$A$2:$A$355,0))),1)</f>
        <v/>
      </c>
      <c r="T549" s="22">
        <f>IFERROR(IF($U549="",1,INDEX(Deals!$W$2:$W$355,MATCH($C549,Deals!$A$2:$A$355,0))),1)</f>
        <v/>
      </c>
      <c r="U549" s="31">
        <f>IF($C549="","",IFERROR(IF(INDEX(Deals!$Y$2:$Y$355,MATCH($C549,Deals!$A$2:$A$355,0))=0,"",INDEX(Deals!$Y$2:$Y$355,MATCH($C549,Deals!$A$2:$A$355,0))),""))</f>
        <v/>
      </c>
      <c r="V549" s="24">
        <f>IF($U549="",DATE(1900,1,1),$N549)</f>
        <v/>
      </c>
      <c r="W549" s="24">
        <f>IF($U549="",DATE(2100,12,31),$U549)</f>
        <v/>
      </c>
      <c r="X549" s="20">
        <f>IF($U549="",$K549,$K549*$S549)</f>
        <v/>
      </c>
      <c r="Y549" s="24">
        <f>IF($U549="",DATE(2100,12,31),$U549+1)</f>
        <v/>
      </c>
      <c r="Z549" s="24">
        <f>IF($U549="",DATE(1900,1,1),$O549)</f>
        <v/>
      </c>
      <c r="AA549" s="20">
        <f>IF($U549="",0,$K549*$T549)</f>
        <v/>
      </c>
    </row>
    <row r="550">
      <c r="A550" s="15" t="inlineStr">
        <is>
          <t>Dorian</t>
        </is>
      </c>
      <c r="B550" s="29">
        <f>IF($A550="","",IFERROR(INDEX(Roster!$B$2:$B$40,MATCH($A550,Roster!$A$2:$A$40,0)),"?"))</f>
        <v/>
      </c>
      <c r="C550" s="15" t="inlineStr">
        <is>
          <t>DIF Brahms_1</t>
        </is>
      </c>
      <c r="D550" s="29">
        <f>IF($C550="","",IFERROR(IF(INDEX(Deals!$C$2:$C$355,MATCH($C550,Deals!$A$2:$A$355,0))=0,"",INDEX(Deals!$C$2:$C$355,MATCH($C550,Deals!$A$2:$A$355,0))),"?"))</f>
        <v/>
      </c>
      <c r="E550" s="29">
        <f>IF($C550="","",IFERROR(INDEX(Deals!$F$2:$F$355,MATCH($C550,Deals!$A$2:$A$355,0)),"?"))</f>
        <v/>
      </c>
      <c r="F550" s="15" t="inlineStr">
        <is>
          <t>Renewable Specialist</t>
        </is>
      </c>
      <c r="G550" s="15" t="inlineStr">
        <is>
          <t>Active</t>
        </is>
      </c>
      <c r="H550" s="27" t="n"/>
      <c r="I550" s="20">
        <f>IF(OR($A550="",$G550&lt;&gt;"Active"),0,IF($H550&lt;&gt;"",$H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</f>
        <v/>
      </c>
      <c r="J550" s="23">
        <f>IF($C550="",0,IFERROR(INDEX(Deals!$H$2:$H$355,MATCH($C550,Deals!$A$2:$A$355,0)),0))</f>
        <v/>
      </c>
      <c r="K550" s="20">
        <f>IF(Settings!$B$4="Yes",$I550*$J550,$I550)</f>
        <v/>
      </c>
      <c r="L550" s="31">
        <f>IF($C550="","",IFERROR(IF(INDEX(Deals!$I$2:$I$355,MATCH($C550,Deals!$A$2:$A$355,0))=0,"",INDEX(Deals!$I$2:$I$355,MATCH($C550,Deals!$A$2:$A$355,0))),""))</f>
        <v/>
      </c>
      <c r="M550" s="31">
        <f>IF($C550="","",IFERROR(IF(INDEX(Deals!$J$2:$J$355,MATCH($C550,Deals!$A$2:$A$355,0))=0,"",INDEX(Deals!$J$2:$J$355,MATCH($C550,Deals!$A$2:$A$355,0))),""))</f>
        <v/>
      </c>
      <c r="N550" s="24">
        <f>IF($L550="",DATE(1900,1,1),$L550)</f>
        <v/>
      </c>
      <c r="O550" s="24">
        <f>IF($M550="",DATE(2100,12,31),$M550)</f>
        <v/>
      </c>
      <c r="P550" s="16" t="inlineStr"/>
      <c r="Q550" s="16" t="inlineStr"/>
      <c r="R550" s="29">
        <f>IF($C550="","",IFERROR(IF(INDEX(Deals!$U$2:$U$355,MATCH($C550,Deals!$A$2:$A$355,0))=0,"",INDEX(Deals!$U$2:$U$355,MATCH($C550,Deals!$A$2:$A$355,0))),""))</f>
        <v/>
      </c>
      <c r="S550" s="22">
        <f>IFERROR(IF($U550="",1,INDEX(Deals!$V$2:$V$355,MATCH($C550,Deals!$A$2:$A$355,0))),1)</f>
        <v/>
      </c>
      <c r="T550" s="22">
        <f>IFERROR(IF($U550="",1,INDEX(Deals!$W$2:$W$355,MATCH($C550,Deals!$A$2:$A$355,0))),1)</f>
        <v/>
      </c>
      <c r="U550" s="31">
        <f>IF($C550="","",IFERROR(IF(INDEX(Deals!$Y$2:$Y$355,MATCH($C550,Deals!$A$2:$A$355,0))=0,"",INDEX(Deals!$Y$2:$Y$355,MATCH($C550,Deals!$A$2:$A$355,0))),""))</f>
        <v/>
      </c>
      <c r="V550" s="24">
        <f>IF($U550="",DATE(1900,1,1),$N550)</f>
        <v/>
      </c>
      <c r="W550" s="24">
        <f>IF($U550="",DATE(2100,12,31),$U550)</f>
        <v/>
      </c>
      <c r="X550" s="20">
        <f>IF($U550="",$K550,$K550*$S550)</f>
        <v/>
      </c>
      <c r="Y550" s="24">
        <f>IF($U550="",DATE(2100,12,31),$U550+1)</f>
        <v/>
      </c>
      <c r="Z550" s="24">
        <f>IF($U550="",DATE(1900,1,1),$O550)</f>
        <v/>
      </c>
      <c r="AA550" s="20">
        <f>IF($U550="",0,$K550*$T550)</f>
        <v/>
      </c>
    </row>
    <row r="551">
      <c r="A551" s="15" t="inlineStr">
        <is>
          <t>Dorian</t>
        </is>
      </c>
      <c r="B551" s="29">
        <f>IF($A551="","",IFERROR(INDEX(Roster!$B$2:$B$40,MATCH($A551,Roster!$A$2:$A$40,0)),"?"))</f>
        <v/>
      </c>
      <c r="C551" s="15" t="inlineStr">
        <is>
          <t>Elk_2</t>
        </is>
      </c>
      <c r="D551" s="29">
        <f>IF($C551="","",IFERROR(IF(INDEX(Deals!$C$2:$C$355,MATCH($C551,Deals!$A$2:$A$355,0))=0,"",INDEX(Deals!$C$2:$C$355,MATCH($C551,Deals!$A$2:$A$355,0))),"?"))</f>
        <v/>
      </c>
      <c r="E551" s="29">
        <f>IF($C551="","",IFERROR(INDEX(Deals!$F$2:$F$355,MATCH($C551,Deals!$A$2:$A$355,0)),"?"))</f>
        <v/>
      </c>
      <c r="F551" s="15" t="inlineStr">
        <is>
          <t>Renewable Specialist</t>
        </is>
      </c>
      <c r="G551" s="15" t="inlineStr">
        <is>
          <t>Active</t>
        </is>
      </c>
      <c r="H551" s="27" t="n"/>
      <c r="I551" s="20">
        <f>IF(OR($A551="",$G551&lt;&gt;"Active"),0,IF($H551&lt;&gt;"",$H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</f>
        <v/>
      </c>
      <c r="J551" s="23">
        <f>IF($C551="",0,IFERROR(INDEX(Deals!$H$2:$H$355,MATCH($C551,Deals!$A$2:$A$355,0)),0))</f>
        <v/>
      </c>
      <c r="K551" s="20">
        <f>IF(Settings!$B$4="Yes",$I551*$J551,$I551)</f>
        <v/>
      </c>
      <c r="L551" s="31">
        <f>IF($C551="","",IFERROR(IF(INDEX(Deals!$I$2:$I$355,MATCH($C551,Deals!$A$2:$A$355,0))=0,"",INDEX(Deals!$I$2:$I$355,MATCH($C551,Deals!$A$2:$A$355,0))),""))</f>
        <v/>
      </c>
      <c r="M551" s="31">
        <f>IF($C551="","",IFERROR(IF(INDEX(Deals!$J$2:$J$355,MATCH($C551,Deals!$A$2:$A$355,0))=0,"",INDEX(Deals!$J$2:$J$355,MATCH($C551,Deals!$A$2:$A$355,0))),""))</f>
        <v/>
      </c>
      <c r="N551" s="24">
        <f>IF($L551="",DATE(1900,1,1),$L551)</f>
        <v/>
      </c>
      <c r="O551" s="24">
        <f>IF($M551="",DATE(2100,12,31),$M551)</f>
        <v/>
      </c>
      <c r="P551" s="16" t="inlineStr"/>
      <c r="Q551" s="16" t="inlineStr"/>
      <c r="R551" s="29">
        <f>IF($C551="","",IFERROR(IF(INDEX(Deals!$U$2:$U$355,MATCH($C551,Deals!$A$2:$A$355,0))=0,"",INDEX(Deals!$U$2:$U$355,MATCH($C551,Deals!$A$2:$A$355,0))),""))</f>
        <v/>
      </c>
      <c r="S551" s="22">
        <f>IFERROR(IF($U551="",1,INDEX(Deals!$V$2:$V$355,MATCH($C551,Deals!$A$2:$A$355,0))),1)</f>
        <v/>
      </c>
      <c r="T551" s="22">
        <f>IFERROR(IF($U551="",1,INDEX(Deals!$W$2:$W$355,MATCH($C551,Deals!$A$2:$A$355,0))),1)</f>
        <v/>
      </c>
      <c r="U551" s="31">
        <f>IF($C551="","",IFERROR(IF(INDEX(Deals!$Y$2:$Y$355,MATCH($C551,Deals!$A$2:$A$355,0))=0,"",INDEX(Deals!$Y$2:$Y$355,MATCH($C551,Deals!$A$2:$A$355,0))),""))</f>
        <v/>
      </c>
      <c r="V551" s="24">
        <f>IF($U551="",DATE(1900,1,1),$N551)</f>
        <v/>
      </c>
      <c r="W551" s="24">
        <f>IF($U551="",DATE(2100,12,31),$U551)</f>
        <v/>
      </c>
      <c r="X551" s="20">
        <f>IF($U551="",$K551,$K551*$S551)</f>
        <v/>
      </c>
      <c r="Y551" s="24">
        <f>IF($U551="",DATE(2100,12,31),$U551+1)</f>
        <v/>
      </c>
      <c r="Z551" s="24">
        <f>IF($U551="",DATE(1900,1,1),$O551)</f>
        <v/>
      </c>
      <c r="AA551" s="20">
        <f>IF($U551="",0,$K551*$T551)</f>
        <v/>
      </c>
    </row>
    <row r="552">
      <c r="A552" s="15" t="inlineStr">
        <is>
          <t>Dorian</t>
        </is>
      </c>
      <c r="B552" s="29">
        <f>IF($A552="","",IFERROR(INDEX(Roster!$B$2:$B$40,MATCH($A552,Roster!$A$2:$A$40,0)),"?"))</f>
        <v/>
      </c>
      <c r="C552" s="15" t="inlineStr">
        <is>
          <t>Etonia_1</t>
        </is>
      </c>
      <c r="D552" s="29">
        <f>IF($C552="","",IFERROR(IF(INDEX(Deals!$C$2:$C$355,MATCH($C552,Deals!$A$2:$A$355,0))=0,"",INDEX(Deals!$C$2:$C$355,MATCH($C552,Deals!$A$2:$A$355,0))),"?"))</f>
        <v/>
      </c>
      <c r="E552" s="29">
        <f>IF($C552="","",IFERROR(INDEX(Deals!$F$2:$F$355,MATCH($C552,Deals!$A$2:$A$355,0)),"?"))</f>
        <v/>
      </c>
      <c r="F552" s="15" t="inlineStr">
        <is>
          <t>Renewable Specialist</t>
        </is>
      </c>
      <c r="G552" s="15" t="inlineStr">
        <is>
          <t>Active</t>
        </is>
      </c>
      <c r="H552" s="27" t="n"/>
      <c r="I552" s="20">
        <f>IF(OR($A552="",$G552&lt;&gt;"Active"),0,IF($H552&lt;&gt;"",$H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</f>
        <v/>
      </c>
      <c r="J552" s="23">
        <f>IF($C552="",0,IFERROR(INDEX(Deals!$H$2:$H$355,MATCH($C552,Deals!$A$2:$A$355,0)),0))</f>
        <v/>
      </c>
      <c r="K552" s="20">
        <f>IF(Settings!$B$4="Yes",$I552*$J552,$I552)</f>
        <v/>
      </c>
      <c r="L552" s="31">
        <f>IF($C552="","",IFERROR(IF(INDEX(Deals!$I$2:$I$355,MATCH($C552,Deals!$A$2:$A$355,0))=0,"",INDEX(Deals!$I$2:$I$355,MATCH($C552,Deals!$A$2:$A$355,0))),""))</f>
        <v/>
      </c>
      <c r="M552" s="31">
        <f>IF($C552="","",IFERROR(IF(INDEX(Deals!$J$2:$J$355,MATCH($C552,Deals!$A$2:$A$355,0))=0,"",INDEX(Deals!$J$2:$J$355,MATCH($C552,Deals!$A$2:$A$355,0))),""))</f>
        <v/>
      </c>
      <c r="N552" s="24">
        <f>IF($L552="",DATE(1900,1,1),$L552)</f>
        <v/>
      </c>
      <c r="O552" s="24">
        <f>IF($M552="",DATE(2100,12,31),$M552)</f>
        <v/>
      </c>
      <c r="P552" s="16" t="inlineStr"/>
      <c r="Q552" s="16" t="inlineStr"/>
      <c r="R552" s="29">
        <f>IF($C552="","",IFERROR(IF(INDEX(Deals!$U$2:$U$355,MATCH($C552,Deals!$A$2:$A$355,0))=0,"",INDEX(Deals!$U$2:$U$355,MATCH($C552,Deals!$A$2:$A$355,0))),""))</f>
        <v/>
      </c>
      <c r="S552" s="22">
        <f>IFERROR(IF($U552="",1,INDEX(Deals!$V$2:$V$355,MATCH($C552,Deals!$A$2:$A$355,0))),1)</f>
        <v/>
      </c>
      <c r="T552" s="22">
        <f>IFERROR(IF($U552="",1,INDEX(Deals!$W$2:$W$355,MATCH($C552,Deals!$A$2:$A$355,0))),1)</f>
        <v/>
      </c>
      <c r="U552" s="31">
        <f>IF($C552="","",IFERROR(IF(INDEX(Deals!$Y$2:$Y$355,MATCH($C552,Deals!$A$2:$A$355,0))=0,"",INDEX(Deals!$Y$2:$Y$355,MATCH($C552,Deals!$A$2:$A$355,0))),""))</f>
        <v/>
      </c>
      <c r="V552" s="24">
        <f>IF($U552="",DATE(1900,1,1),$N552)</f>
        <v/>
      </c>
      <c r="W552" s="24">
        <f>IF($U552="",DATE(2100,12,31),$U552)</f>
        <v/>
      </c>
      <c r="X552" s="20">
        <f>IF($U552="",$K552,$K552*$S552)</f>
        <v/>
      </c>
      <c r="Y552" s="24">
        <f>IF($U552="",DATE(2100,12,31),$U552+1)</f>
        <v/>
      </c>
      <c r="Z552" s="24">
        <f>IF($U552="",DATE(1900,1,1),$O552)</f>
        <v/>
      </c>
      <c r="AA552" s="20">
        <f>IF($U552="",0,$K552*$T552)</f>
        <v/>
      </c>
    </row>
    <row r="553">
      <c r="A553" s="15" t="inlineStr">
        <is>
          <t>Dorian</t>
        </is>
      </c>
      <c r="B553" s="29">
        <f>IF($A553="","",IFERROR(INDEX(Roster!$B$2:$B$40,MATCH($A553,Roster!$A$2:$A$40,0)),"?"))</f>
        <v/>
      </c>
      <c r="C553" s="15" t="inlineStr">
        <is>
          <t>Etude_2</t>
        </is>
      </c>
      <c r="D553" s="29">
        <f>IF($C553="","",IFERROR(IF(INDEX(Deals!$C$2:$C$355,MATCH($C553,Deals!$A$2:$A$355,0))=0,"",INDEX(Deals!$C$2:$C$355,MATCH($C553,Deals!$A$2:$A$355,0))),"?"))</f>
        <v/>
      </c>
      <c r="E553" s="29">
        <f>IF($C553="","",IFERROR(INDEX(Deals!$F$2:$F$355,MATCH($C553,Deals!$A$2:$A$355,0)),"?"))</f>
        <v/>
      </c>
      <c r="F553" s="15" t="inlineStr">
        <is>
          <t>Renewable Specialist</t>
        </is>
      </c>
      <c r="G553" s="15" t="inlineStr">
        <is>
          <t>Active</t>
        </is>
      </c>
      <c r="H553" s="27" t="n"/>
      <c r="I553" s="20">
        <f>IF(OR($A553="",$G553&lt;&gt;"Active"),0,IF($H553&lt;&gt;"",$H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</f>
        <v/>
      </c>
      <c r="J553" s="23">
        <f>IF($C553="",0,IFERROR(INDEX(Deals!$H$2:$H$355,MATCH($C553,Deals!$A$2:$A$355,0)),0))</f>
        <v/>
      </c>
      <c r="K553" s="20">
        <f>IF(Settings!$B$4="Yes",$I553*$J553,$I553)</f>
        <v/>
      </c>
      <c r="L553" s="31">
        <f>IF($C553="","",IFERROR(IF(INDEX(Deals!$I$2:$I$355,MATCH($C553,Deals!$A$2:$A$355,0))=0,"",INDEX(Deals!$I$2:$I$355,MATCH($C553,Deals!$A$2:$A$355,0))),""))</f>
        <v/>
      </c>
      <c r="M553" s="31">
        <f>IF($C553="","",IFERROR(IF(INDEX(Deals!$J$2:$J$355,MATCH($C553,Deals!$A$2:$A$355,0))=0,"",INDEX(Deals!$J$2:$J$355,MATCH($C553,Deals!$A$2:$A$355,0))),""))</f>
        <v/>
      </c>
      <c r="N553" s="24">
        <f>IF($L553="",DATE(1900,1,1),$L553)</f>
        <v/>
      </c>
      <c r="O553" s="24">
        <f>IF($M553="",DATE(2100,12,31),$M553)</f>
        <v/>
      </c>
      <c r="P553" s="16" t="inlineStr"/>
      <c r="Q553" s="16" t="inlineStr"/>
      <c r="R553" s="29">
        <f>IF($C553="","",IFERROR(IF(INDEX(Deals!$U$2:$U$355,MATCH($C553,Deals!$A$2:$A$355,0))=0,"",INDEX(Deals!$U$2:$U$355,MATCH($C553,Deals!$A$2:$A$355,0))),""))</f>
        <v/>
      </c>
      <c r="S553" s="22">
        <f>IFERROR(IF($U553="",1,INDEX(Deals!$V$2:$V$355,MATCH($C553,Deals!$A$2:$A$355,0))),1)</f>
        <v/>
      </c>
      <c r="T553" s="22">
        <f>IFERROR(IF($U553="",1,INDEX(Deals!$W$2:$W$355,MATCH($C553,Deals!$A$2:$A$355,0))),1)</f>
        <v/>
      </c>
      <c r="U553" s="31">
        <f>IF($C553="","",IFERROR(IF(INDEX(Deals!$Y$2:$Y$355,MATCH($C553,Deals!$A$2:$A$355,0))=0,"",INDEX(Deals!$Y$2:$Y$355,MATCH($C553,Deals!$A$2:$A$355,0))),""))</f>
        <v/>
      </c>
      <c r="V553" s="24">
        <f>IF($U553="",DATE(1900,1,1),$N553)</f>
        <v/>
      </c>
      <c r="W553" s="24">
        <f>IF($U553="",DATE(2100,12,31),$U553)</f>
        <v/>
      </c>
      <c r="X553" s="20">
        <f>IF($U553="",$K553,$K553*$S553)</f>
        <v/>
      </c>
      <c r="Y553" s="24">
        <f>IF($U553="",DATE(2100,12,31),$U553+1)</f>
        <v/>
      </c>
      <c r="Z553" s="24">
        <f>IF($U553="",DATE(1900,1,1),$O553)</f>
        <v/>
      </c>
      <c r="AA553" s="20">
        <f>IF($U553="",0,$K553*$T553)</f>
        <v/>
      </c>
    </row>
    <row r="554">
      <c r="A554" s="15" t="inlineStr">
        <is>
          <t>Dorian</t>
        </is>
      </c>
      <c r="B554" s="29">
        <f>IF($A554="","",IFERROR(INDEX(Roster!$B$2:$B$40,MATCH($A554,Roster!$A$2:$A$40,0)),"?"))</f>
        <v/>
      </c>
      <c r="C554" s="15" t="inlineStr">
        <is>
          <t>Fortress_3</t>
        </is>
      </c>
      <c r="D554" s="29">
        <f>IF($C554="","",IFERROR(IF(INDEX(Deals!$C$2:$C$355,MATCH($C554,Deals!$A$2:$A$355,0))=0,"",INDEX(Deals!$C$2:$C$355,MATCH($C554,Deals!$A$2:$A$355,0))),"?"))</f>
        <v/>
      </c>
      <c r="E554" s="29">
        <f>IF($C554="","",IFERROR(INDEX(Deals!$F$2:$F$355,MATCH($C554,Deals!$A$2:$A$355,0)),"?"))</f>
        <v/>
      </c>
      <c r="F554" s="15" t="inlineStr">
        <is>
          <t>Renewable Specialist</t>
        </is>
      </c>
      <c r="G554" s="15" t="inlineStr">
        <is>
          <t>Active</t>
        </is>
      </c>
      <c r="H554" s="27" t="n"/>
      <c r="I554" s="20">
        <f>IF(OR($A554="",$G554&lt;&gt;"Active"),0,IF($H554&lt;&gt;"",$H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</f>
        <v/>
      </c>
      <c r="J554" s="23">
        <f>IF($C554="",0,IFERROR(INDEX(Deals!$H$2:$H$355,MATCH($C554,Deals!$A$2:$A$355,0)),0))</f>
        <v/>
      </c>
      <c r="K554" s="20">
        <f>IF(Settings!$B$4="Yes",$I554*$J554,$I554)</f>
        <v/>
      </c>
      <c r="L554" s="31">
        <f>IF($C554="","",IFERROR(IF(INDEX(Deals!$I$2:$I$355,MATCH($C554,Deals!$A$2:$A$355,0))=0,"",INDEX(Deals!$I$2:$I$355,MATCH($C554,Deals!$A$2:$A$355,0))),""))</f>
        <v/>
      </c>
      <c r="M554" s="31">
        <f>IF($C554="","",IFERROR(IF(INDEX(Deals!$J$2:$J$355,MATCH($C554,Deals!$A$2:$A$355,0))=0,"",INDEX(Deals!$J$2:$J$355,MATCH($C554,Deals!$A$2:$A$355,0))),""))</f>
        <v/>
      </c>
      <c r="N554" s="24">
        <f>IF($L554="",DATE(1900,1,1),$L554)</f>
        <v/>
      </c>
      <c r="O554" s="24">
        <f>IF($M554="",DATE(2100,12,31),$M554)</f>
        <v/>
      </c>
      <c r="P554" s="16" t="inlineStr"/>
      <c r="Q554" s="16" t="inlineStr"/>
      <c r="R554" s="29">
        <f>IF($C554="","",IFERROR(IF(INDEX(Deals!$U$2:$U$355,MATCH($C554,Deals!$A$2:$A$355,0))=0,"",INDEX(Deals!$U$2:$U$355,MATCH($C554,Deals!$A$2:$A$355,0))),""))</f>
        <v/>
      </c>
      <c r="S554" s="22">
        <f>IFERROR(IF($U554="",1,INDEX(Deals!$V$2:$V$355,MATCH($C554,Deals!$A$2:$A$355,0))),1)</f>
        <v/>
      </c>
      <c r="T554" s="22">
        <f>IFERROR(IF($U554="",1,INDEX(Deals!$W$2:$W$355,MATCH($C554,Deals!$A$2:$A$355,0))),1)</f>
        <v/>
      </c>
      <c r="U554" s="31">
        <f>IF($C554="","",IFERROR(IF(INDEX(Deals!$Y$2:$Y$355,MATCH($C554,Deals!$A$2:$A$355,0))=0,"",INDEX(Deals!$Y$2:$Y$355,MATCH($C554,Deals!$A$2:$A$355,0))),""))</f>
        <v/>
      </c>
      <c r="V554" s="24">
        <f>IF($U554="",DATE(1900,1,1),$N554)</f>
        <v/>
      </c>
      <c r="W554" s="24">
        <f>IF($U554="",DATE(2100,12,31),$U554)</f>
        <v/>
      </c>
      <c r="X554" s="20">
        <f>IF($U554="",$K554,$K554*$S554)</f>
        <v/>
      </c>
      <c r="Y554" s="24">
        <f>IF($U554="",DATE(2100,12,31),$U554+1)</f>
        <v/>
      </c>
      <c r="Z554" s="24">
        <f>IF($U554="",DATE(1900,1,1),$O554)</f>
        <v/>
      </c>
      <c r="AA554" s="20">
        <f>IF($U554="",0,$K554*$T554)</f>
        <v/>
      </c>
    </row>
    <row r="555">
      <c r="A555" s="15" t="inlineStr">
        <is>
          <t>Dorian</t>
        </is>
      </c>
      <c r="B555" s="29">
        <f>IF($A555="","",IFERROR(INDEX(Roster!$B$2:$B$40,MATCH($A555,Roster!$A$2:$A$40,0)),"?"))</f>
        <v/>
      </c>
      <c r="C555" s="15" t="inlineStr">
        <is>
          <t>Gravel_1</t>
        </is>
      </c>
      <c r="D555" s="29">
        <f>IF($C555="","",IFERROR(IF(INDEX(Deals!$C$2:$C$355,MATCH($C555,Deals!$A$2:$A$355,0))=0,"",INDEX(Deals!$C$2:$C$355,MATCH($C555,Deals!$A$2:$A$355,0))),"?"))</f>
        <v/>
      </c>
      <c r="E555" s="29">
        <f>IF($C555="","",IFERROR(INDEX(Deals!$F$2:$F$355,MATCH($C555,Deals!$A$2:$A$355,0)),"?"))</f>
        <v/>
      </c>
      <c r="F555" s="15" t="inlineStr">
        <is>
          <t>Renewable Specialist</t>
        </is>
      </c>
      <c r="G555" s="15" t="inlineStr">
        <is>
          <t>Active</t>
        </is>
      </c>
      <c r="H555" s="27" t="n"/>
      <c r="I555" s="20">
        <f>IF(OR($A555="",$G555&lt;&gt;"Active"),0,IF($H555&lt;&gt;"",$H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</f>
        <v/>
      </c>
      <c r="J555" s="23">
        <f>IF($C555="",0,IFERROR(INDEX(Deals!$H$2:$H$355,MATCH($C555,Deals!$A$2:$A$355,0)),0))</f>
        <v/>
      </c>
      <c r="K555" s="20">
        <f>IF(Settings!$B$4="Yes",$I555*$J555,$I555)</f>
        <v/>
      </c>
      <c r="L555" s="31">
        <f>IF($C555="","",IFERROR(IF(INDEX(Deals!$I$2:$I$355,MATCH($C555,Deals!$A$2:$A$355,0))=0,"",INDEX(Deals!$I$2:$I$355,MATCH($C555,Deals!$A$2:$A$355,0))),""))</f>
        <v/>
      </c>
      <c r="M555" s="31">
        <f>IF($C555="","",IFERROR(IF(INDEX(Deals!$J$2:$J$355,MATCH($C555,Deals!$A$2:$A$355,0))=0,"",INDEX(Deals!$J$2:$J$355,MATCH($C555,Deals!$A$2:$A$355,0))),""))</f>
        <v/>
      </c>
      <c r="N555" s="24">
        <f>IF($L555="",DATE(1900,1,1),$L555)</f>
        <v/>
      </c>
      <c r="O555" s="24">
        <f>IF($M555="",DATE(2100,12,31),$M555)</f>
        <v/>
      </c>
      <c r="P555" s="16" t="inlineStr"/>
      <c r="Q555" s="16" t="inlineStr"/>
      <c r="R555" s="29">
        <f>IF($C555="","",IFERROR(IF(INDEX(Deals!$U$2:$U$355,MATCH($C555,Deals!$A$2:$A$355,0))=0,"",INDEX(Deals!$U$2:$U$355,MATCH($C555,Deals!$A$2:$A$355,0))),""))</f>
        <v/>
      </c>
      <c r="S555" s="22">
        <f>IFERROR(IF($U555="",1,INDEX(Deals!$V$2:$V$355,MATCH($C555,Deals!$A$2:$A$355,0))),1)</f>
        <v/>
      </c>
      <c r="T555" s="22">
        <f>IFERROR(IF($U555="",1,INDEX(Deals!$W$2:$W$355,MATCH($C555,Deals!$A$2:$A$355,0))),1)</f>
        <v/>
      </c>
      <c r="U555" s="31">
        <f>IF($C555="","",IFERROR(IF(INDEX(Deals!$Y$2:$Y$355,MATCH($C555,Deals!$A$2:$A$355,0))=0,"",INDEX(Deals!$Y$2:$Y$355,MATCH($C555,Deals!$A$2:$A$355,0))),""))</f>
        <v/>
      </c>
      <c r="V555" s="24">
        <f>IF($U555="",DATE(1900,1,1),$N555)</f>
        <v/>
      </c>
      <c r="W555" s="24">
        <f>IF($U555="",DATE(2100,12,31),$U555)</f>
        <v/>
      </c>
      <c r="X555" s="20">
        <f>IF($U555="",$K555,$K555*$S555)</f>
        <v/>
      </c>
      <c r="Y555" s="24">
        <f>IF($U555="",DATE(2100,12,31),$U555+1)</f>
        <v/>
      </c>
      <c r="Z555" s="24">
        <f>IF($U555="",DATE(1900,1,1),$O555)</f>
        <v/>
      </c>
      <c r="AA555" s="20">
        <f>IF($U555="",0,$K555*$T555)</f>
        <v/>
      </c>
    </row>
    <row r="556">
      <c r="A556" s="15" t="inlineStr">
        <is>
          <t>Dorian</t>
        </is>
      </c>
      <c r="B556" s="29">
        <f>IF($A556="","",IFERROR(INDEX(Roster!$B$2:$B$40,MATCH($A556,Roster!$A$2:$A$40,0)),"?"))</f>
        <v/>
      </c>
      <c r="C556" s="15" t="inlineStr">
        <is>
          <t>Hidden _1</t>
        </is>
      </c>
      <c r="D556" s="29">
        <f>IF($C556="","",IFERROR(IF(INDEX(Deals!$C$2:$C$355,MATCH($C556,Deals!$A$2:$A$355,0))=0,"",INDEX(Deals!$C$2:$C$355,MATCH($C556,Deals!$A$2:$A$355,0))),"?"))</f>
        <v/>
      </c>
      <c r="E556" s="29">
        <f>IF($C556="","",IFERROR(INDEX(Deals!$F$2:$F$355,MATCH($C556,Deals!$A$2:$A$355,0)),"?"))</f>
        <v/>
      </c>
      <c r="F556" s="15" t="inlineStr">
        <is>
          <t>Renewable Specialist</t>
        </is>
      </c>
      <c r="G556" s="15" t="inlineStr">
        <is>
          <t>Active</t>
        </is>
      </c>
      <c r="H556" s="27" t="n"/>
      <c r="I556" s="20">
        <f>IF(OR($A556="",$G556&lt;&gt;"Active"),0,IF($H556&lt;&gt;"",$H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</f>
        <v/>
      </c>
      <c r="J556" s="23">
        <f>IF($C556="",0,IFERROR(INDEX(Deals!$H$2:$H$355,MATCH($C556,Deals!$A$2:$A$355,0)),0))</f>
        <v/>
      </c>
      <c r="K556" s="20">
        <f>IF(Settings!$B$4="Yes",$I556*$J556,$I556)</f>
        <v/>
      </c>
      <c r="L556" s="31">
        <f>IF($C556="","",IFERROR(IF(INDEX(Deals!$I$2:$I$355,MATCH($C556,Deals!$A$2:$A$355,0))=0,"",INDEX(Deals!$I$2:$I$355,MATCH($C556,Deals!$A$2:$A$355,0))),""))</f>
        <v/>
      </c>
      <c r="M556" s="31">
        <f>IF($C556="","",IFERROR(IF(INDEX(Deals!$J$2:$J$355,MATCH($C556,Deals!$A$2:$A$355,0))=0,"",INDEX(Deals!$J$2:$J$355,MATCH($C556,Deals!$A$2:$A$355,0))),""))</f>
        <v/>
      </c>
      <c r="N556" s="24">
        <f>IF($L556="",DATE(1900,1,1),$L556)</f>
        <v/>
      </c>
      <c r="O556" s="24">
        <f>IF($M556="",DATE(2100,12,31),$M556)</f>
        <v/>
      </c>
      <c r="P556" s="16" t="inlineStr"/>
      <c r="Q556" s="16" t="inlineStr"/>
      <c r="R556" s="29">
        <f>IF($C556="","",IFERROR(IF(INDEX(Deals!$U$2:$U$355,MATCH($C556,Deals!$A$2:$A$355,0))=0,"",INDEX(Deals!$U$2:$U$355,MATCH($C556,Deals!$A$2:$A$355,0))),""))</f>
        <v/>
      </c>
      <c r="S556" s="22">
        <f>IFERROR(IF($U556="",1,INDEX(Deals!$V$2:$V$355,MATCH($C556,Deals!$A$2:$A$355,0))),1)</f>
        <v/>
      </c>
      <c r="T556" s="22">
        <f>IFERROR(IF($U556="",1,INDEX(Deals!$W$2:$W$355,MATCH($C556,Deals!$A$2:$A$355,0))),1)</f>
        <v/>
      </c>
      <c r="U556" s="31">
        <f>IF($C556="","",IFERROR(IF(INDEX(Deals!$Y$2:$Y$355,MATCH($C556,Deals!$A$2:$A$355,0))=0,"",INDEX(Deals!$Y$2:$Y$355,MATCH($C556,Deals!$A$2:$A$355,0))),""))</f>
        <v/>
      </c>
      <c r="V556" s="24">
        <f>IF($U556="",DATE(1900,1,1),$N556)</f>
        <v/>
      </c>
      <c r="W556" s="24">
        <f>IF($U556="",DATE(2100,12,31),$U556)</f>
        <v/>
      </c>
      <c r="X556" s="20">
        <f>IF($U556="",$K556,$K556*$S556)</f>
        <v/>
      </c>
      <c r="Y556" s="24">
        <f>IF($U556="",DATE(2100,12,31),$U556+1)</f>
        <v/>
      </c>
      <c r="Z556" s="24">
        <f>IF($U556="",DATE(1900,1,1),$O556)</f>
        <v/>
      </c>
      <c r="AA556" s="20">
        <f>IF($U556="",0,$K556*$T556)</f>
        <v/>
      </c>
    </row>
    <row r="557">
      <c r="A557" s="15" t="inlineStr">
        <is>
          <t>Dorian</t>
        </is>
      </c>
      <c r="B557" s="29">
        <f>IF($A557="","",IFERROR(INDEX(Roster!$B$2:$B$40,MATCH($A557,Roster!$A$2:$A$40,0)),"?"))</f>
        <v/>
      </c>
      <c r="C557" s="15" t="inlineStr">
        <is>
          <t>HVDC Transmission_1</t>
        </is>
      </c>
      <c r="D557" s="29">
        <f>IF($C557="","",IFERROR(IF(INDEX(Deals!$C$2:$C$355,MATCH($C557,Deals!$A$2:$A$355,0))=0,"",INDEX(Deals!$C$2:$C$355,MATCH($C557,Deals!$A$2:$A$355,0))),"?"))</f>
        <v/>
      </c>
      <c r="E557" s="29">
        <f>IF($C557="","",IFERROR(INDEX(Deals!$F$2:$F$355,MATCH($C557,Deals!$A$2:$A$355,0)),"?"))</f>
        <v/>
      </c>
      <c r="F557" s="15" t="inlineStr">
        <is>
          <t>Renewable Specialist</t>
        </is>
      </c>
      <c r="G557" s="15" t="inlineStr">
        <is>
          <t>Active</t>
        </is>
      </c>
      <c r="H557" s="27" t="n"/>
      <c r="I557" s="20">
        <f>IF(OR($A557="",$G557&lt;&gt;"Active"),0,IF($H557&lt;&gt;"",$H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</f>
        <v/>
      </c>
      <c r="J557" s="23">
        <f>IF($C557="",0,IFERROR(INDEX(Deals!$H$2:$H$355,MATCH($C557,Deals!$A$2:$A$355,0)),0))</f>
        <v/>
      </c>
      <c r="K557" s="20">
        <f>IF(Settings!$B$4="Yes",$I557*$J557,$I557)</f>
        <v/>
      </c>
      <c r="L557" s="31">
        <f>IF($C557="","",IFERROR(IF(INDEX(Deals!$I$2:$I$355,MATCH($C557,Deals!$A$2:$A$355,0))=0,"",INDEX(Deals!$I$2:$I$355,MATCH($C557,Deals!$A$2:$A$355,0))),""))</f>
        <v/>
      </c>
      <c r="M557" s="31">
        <f>IF($C557="","",IFERROR(IF(INDEX(Deals!$J$2:$J$355,MATCH($C557,Deals!$A$2:$A$355,0))=0,"",INDEX(Deals!$J$2:$J$355,MATCH($C557,Deals!$A$2:$A$355,0))),""))</f>
        <v/>
      </c>
      <c r="N557" s="24">
        <f>IF($L557="",DATE(1900,1,1),$L557)</f>
        <v/>
      </c>
      <c r="O557" s="24">
        <f>IF($M557="",DATE(2100,12,31),$M557)</f>
        <v/>
      </c>
      <c r="P557" s="16" t="inlineStr"/>
      <c r="Q557" s="16" t="inlineStr"/>
      <c r="R557" s="29">
        <f>IF($C557="","",IFERROR(IF(INDEX(Deals!$U$2:$U$355,MATCH($C557,Deals!$A$2:$A$355,0))=0,"",INDEX(Deals!$U$2:$U$355,MATCH($C557,Deals!$A$2:$A$355,0))),""))</f>
        <v/>
      </c>
      <c r="S557" s="22">
        <f>IFERROR(IF($U557="",1,INDEX(Deals!$V$2:$V$355,MATCH($C557,Deals!$A$2:$A$355,0))),1)</f>
        <v/>
      </c>
      <c r="T557" s="22">
        <f>IFERROR(IF($U557="",1,INDEX(Deals!$W$2:$W$355,MATCH($C557,Deals!$A$2:$A$355,0))),1)</f>
        <v/>
      </c>
      <c r="U557" s="31">
        <f>IF($C557="","",IFERROR(IF(INDEX(Deals!$Y$2:$Y$355,MATCH($C557,Deals!$A$2:$A$355,0))=0,"",INDEX(Deals!$Y$2:$Y$355,MATCH($C557,Deals!$A$2:$A$355,0))),""))</f>
        <v/>
      </c>
      <c r="V557" s="24">
        <f>IF($U557="",DATE(1900,1,1),$N557)</f>
        <v/>
      </c>
      <c r="W557" s="24">
        <f>IF($U557="",DATE(2100,12,31),$U557)</f>
        <v/>
      </c>
      <c r="X557" s="20">
        <f>IF($U557="",$K557,$K557*$S557)</f>
        <v/>
      </c>
      <c r="Y557" s="24">
        <f>IF($U557="",DATE(2100,12,31),$U557+1)</f>
        <v/>
      </c>
      <c r="Z557" s="24">
        <f>IF($U557="",DATE(1900,1,1),$O557)</f>
        <v/>
      </c>
      <c r="AA557" s="20">
        <f>IF($U557="",0,$K557*$T557)</f>
        <v/>
      </c>
    </row>
    <row r="558">
      <c r="A558" s="15" t="inlineStr">
        <is>
          <t>Dorian</t>
        </is>
      </c>
      <c r="B558" s="29">
        <f>IF($A558="","",IFERROR(INDEX(Roster!$B$2:$B$40,MATCH($A558,Roster!$A$2:$A$40,0)),"?"))</f>
        <v/>
      </c>
      <c r="C558" s="15" t="inlineStr">
        <is>
          <t>Hyacinth_1</t>
        </is>
      </c>
      <c r="D558" s="29">
        <f>IF($C558="","",IFERROR(IF(INDEX(Deals!$C$2:$C$355,MATCH($C558,Deals!$A$2:$A$355,0))=0,"",INDEX(Deals!$C$2:$C$355,MATCH($C558,Deals!$A$2:$A$355,0))),"?"))</f>
        <v/>
      </c>
      <c r="E558" s="29">
        <f>IF($C558="","",IFERROR(INDEX(Deals!$F$2:$F$355,MATCH($C558,Deals!$A$2:$A$355,0)),"?"))</f>
        <v/>
      </c>
      <c r="F558" s="15" t="inlineStr">
        <is>
          <t>Renewable Specialist</t>
        </is>
      </c>
      <c r="G558" s="15" t="inlineStr">
        <is>
          <t>Active</t>
        </is>
      </c>
      <c r="H558" s="27" t="n"/>
      <c r="I558" s="20">
        <f>IF(OR($A558="",$G558&lt;&gt;"Active"),0,IF($H558&lt;&gt;"",$H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</f>
        <v/>
      </c>
      <c r="J558" s="23">
        <f>IF($C558="",0,IFERROR(INDEX(Deals!$H$2:$H$355,MATCH($C558,Deals!$A$2:$A$355,0)),0))</f>
        <v/>
      </c>
      <c r="K558" s="20">
        <f>IF(Settings!$B$4="Yes",$I558*$J558,$I558)</f>
        <v/>
      </c>
      <c r="L558" s="31">
        <f>IF($C558="","",IFERROR(IF(INDEX(Deals!$I$2:$I$355,MATCH($C558,Deals!$A$2:$A$355,0))=0,"",INDEX(Deals!$I$2:$I$355,MATCH($C558,Deals!$A$2:$A$355,0))),""))</f>
        <v/>
      </c>
      <c r="M558" s="31">
        <f>IF($C558="","",IFERROR(IF(INDEX(Deals!$J$2:$J$355,MATCH($C558,Deals!$A$2:$A$355,0))=0,"",INDEX(Deals!$J$2:$J$355,MATCH($C558,Deals!$A$2:$A$355,0))),""))</f>
        <v/>
      </c>
      <c r="N558" s="24">
        <f>IF($L558="",DATE(1900,1,1),$L558)</f>
        <v/>
      </c>
      <c r="O558" s="24">
        <f>IF($M558="",DATE(2100,12,31),$M558)</f>
        <v/>
      </c>
      <c r="P558" s="16" t="inlineStr"/>
      <c r="Q558" s="16" t="inlineStr"/>
      <c r="R558" s="29">
        <f>IF($C558="","",IFERROR(IF(INDEX(Deals!$U$2:$U$355,MATCH($C558,Deals!$A$2:$A$355,0))=0,"",INDEX(Deals!$U$2:$U$355,MATCH($C558,Deals!$A$2:$A$355,0))),""))</f>
        <v/>
      </c>
      <c r="S558" s="22">
        <f>IFERROR(IF($U558="",1,INDEX(Deals!$V$2:$V$355,MATCH($C558,Deals!$A$2:$A$355,0))),1)</f>
        <v/>
      </c>
      <c r="T558" s="22">
        <f>IFERROR(IF($U558="",1,INDEX(Deals!$W$2:$W$355,MATCH($C558,Deals!$A$2:$A$355,0))),1)</f>
        <v/>
      </c>
      <c r="U558" s="31">
        <f>IF($C558="","",IFERROR(IF(INDEX(Deals!$Y$2:$Y$355,MATCH($C558,Deals!$A$2:$A$355,0))=0,"",INDEX(Deals!$Y$2:$Y$355,MATCH($C558,Deals!$A$2:$A$355,0))),""))</f>
        <v/>
      </c>
      <c r="V558" s="24">
        <f>IF($U558="",DATE(1900,1,1),$N558)</f>
        <v/>
      </c>
      <c r="W558" s="24">
        <f>IF($U558="",DATE(2100,12,31),$U558)</f>
        <v/>
      </c>
      <c r="X558" s="20">
        <f>IF($U558="",$K558,$K558*$S558)</f>
        <v/>
      </c>
      <c r="Y558" s="24">
        <f>IF($U558="",DATE(2100,12,31),$U558+1)</f>
        <v/>
      </c>
      <c r="Z558" s="24">
        <f>IF($U558="",DATE(1900,1,1),$O558)</f>
        <v/>
      </c>
      <c r="AA558" s="20">
        <f>IF($U558="",0,$K558*$T558)</f>
        <v/>
      </c>
    </row>
    <row r="559">
      <c r="A559" s="15" t="inlineStr">
        <is>
          <t>Dorian</t>
        </is>
      </c>
      <c r="B559" s="29">
        <f>IF($A559="","",IFERROR(INDEX(Roster!$B$2:$B$40,MATCH($A559,Roster!$A$2:$A$40,0)),"?"))</f>
        <v/>
      </c>
      <c r="C559" s="15" t="inlineStr">
        <is>
          <t>Justin_2</t>
        </is>
      </c>
      <c r="D559" s="29">
        <f>IF($C559="","",IFERROR(IF(INDEX(Deals!$C$2:$C$355,MATCH($C559,Deals!$A$2:$A$355,0))=0,"",INDEX(Deals!$C$2:$C$355,MATCH($C559,Deals!$A$2:$A$355,0))),"?"))</f>
        <v/>
      </c>
      <c r="E559" s="29">
        <f>IF($C559="","",IFERROR(INDEX(Deals!$F$2:$F$355,MATCH($C559,Deals!$A$2:$A$355,0)),"?"))</f>
        <v/>
      </c>
      <c r="F559" s="15" t="inlineStr">
        <is>
          <t>Renewable Specialist</t>
        </is>
      </c>
      <c r="G559" s="15" t="inlineStr">
        <is>
          <t>Active</t>
        </is>
      </c>
      <c r="H559" s="27" t="n"/>
      <c r="I559" s="20">
        <f>IF(OR($A559="",$G559&lt;&gt;"Active"),0,IF($H559&lt;&gt;"",$H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</f>
        <v/>
      </c>
      <c r="J559" s="23">
        <f>IF($C559="",0,IFERROR(INDEX(Deals!$H$2:$H$355,MATCH($C559,Deals!$A$2:$A$355,0)),0))</f>
        <v/>
      </c>
      <c r="K559" s="20">
        <f>IF(Settings!$B$4="Yes",$I559*$J559,$I559)</f>
        <v/>
      </c>
      <c r="L559" s="31">
        <f>IF($C559="","",IFERROR(IF(INDEX(Deals!$I$2:$I$355,MATCH($C559,Deals!$A$2:$A$355,0))=0,"",INDEX(Deals!$I$2:$I$355,MATCH($C559,Deals!$A$2:$A$355,0))),""))</f>
        <v/>
      </c>
      <c r="M559" s="31">
        <f>IF($C559="","",IFERROR(IF(INDEX(Deals!$J$2:$J$355,MATCH($C559,Deals!$A$2:$A$355,0))=0,"",INDEX(Deals!$J$2:$J$355,MATCH($C559,Deals!$A$2:$A$355,0))),""))</f>
        <v/>
      </c>
      <c r="N559" s="24">
        <f>IF($L559="",DATE(1900,1,1),$L559)</f>
        <v/>
      </c>
      <c r="O559" s="24">
        <f>IF($M559="",DATE(2100,12,31),$M559)</f>
        <v/>
      </c>
      <c r="P559" s="16" t="inlineStr"/>
      <c r="Q559" s="16" t="inlineStr"/>
      <c r="R559" s="29">
        <f>IF($C559="","",IFERROR(IF(INDEX(Deals!$U$2:$U$355,MATCH($C559,Deals!$A$2:$A$355,0))=0,"",INDEX(Deals!$U$2:$U$355,MATCH($C559,Deals!$A$2:$A$355,0))),""))</f>
        <v/>
      </c>
      <c r="S559" s="22">
        <f>IFERROR(IF($U559="",1,INDEX(Deals!$V$2:$V$355,MATCH($C559,Deals!$A$2:$A$355,0))),1)</f>
        <v/>
      </c>
      <c r="T559" s="22">
        <f>IFERROR(IF($U559="",1,INDEX(Deals!$W$2:$W$355,MATCH($C559,Deals!$A$2:$A$355,0))),1)</f>
        <v/>
      </c>
      <c r="U559" s="31">
        <f>IF($C559="","",IFERROR(IF(INDEX(Deals!$Y$2:$Y$355,MATCH($C559,Deals!$A$2:$A$355,0))=0,"",INDEX(Deals!$Y$2:$Y$355,MATCH($C559,Deals!$A$2:$A$355,0))),""))</f>
        <v/>
      </c>
      <c r="V559" s="24">
        <f>IF($U559="",DATE(1900,1,1),$N559)</f>
        <v/>
      </c>
      <c r="W559" s="24">
        <f>IF($U559="",DATE(2100,12,31),$U559)</f>
        <v/>
      </c>
      <c r="X559" s="20">
        <f>IF($U559="",$K559,$K559*$S559)</f>
        <v/>
      </c>
      <c r="Y559" s="24">
        <f>IF($U559="",DATE(2100,12,31),$U559+1)</f>
        <v/>
      </c>
      <c r="Z559" s="24">
        <f>IF($U559="",DATE(1900,1,1),$O559)</f>
        <v/>
      </c>
      <c r="AA559" s="20">
        <f>IF($U559="",0,$K559*$T559)</f>
        <v/>
      </c>
    </row>
    <row r="560">
      <c r="A560" s="15" t="inlineStr">
        <is>
          <t>Dorian</t>
        </is>
      </c>
      <c r="B560" s="29">
        <f>IF($A560="","",IFERROR(INDEX(Roster!$B$2:$B$40,MATCH($A560,Roster!$A$2:$A$40,0)),"?"))</f>
        <v/>
      </c>
      <c r="C560" s="15" t="inlineStr">
        <is>
          <t>Kanawha_1</t>
        </is>
      </c>
      <c r="D560" s="29">
        <f>IF($C560="","",IFERROR(IF(INDEX(Deals!$C$2:$C$355,MATCH($C560,Deals!$A$2:$A$355,0))=0,"",INDEX(Deals!$C$2:$C$355,MATCH($C560,Deals!$A$2:$A$355,0))),"?"))</f>
        <v/>
      </c>
      <c r="E560" s="29">
        <f>IF($C560="","",IFERROR(INDEX(Deals!$F$2:$F$355,MATCH($C560,Deals!$A$2:$A$355,0)),"?"))</f>
        <v/>
      </c>
      <c r="F560" s="15" t="inlineStr">
        <is>
          <t>Renewable Specialist</t>
        </is>
      </c>
      <c r="G560" s="15" t="inlineStr">
        <is>
          <t>Active</t>
        </is>
      </c>
      <c r="H560" s="27" t="n"/>
      <c r="I560" s="20">
        <f>IF(OR($A560="",$G560&lt;&gt;"Active"),0,IF($H560&lt;&gt;"",$H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</f>
        <v/>
      </c>
      <c r="J560" s="23">
        <f>IF($C560="",0,IFERROR(INDEX(Deals!$H$2:$H$355,MATCH($C560,Deals!$A$2:$A$355,0)),0))</f>
        <v/>
      </c>
      <c r="K560" s="20">
        <f>IF(Settings!$B$4="Yes",$I560*$J560,$I560)</f>
        <v/>
      </c>
      <c r="L560" s="31">
        <f>IF($C560="","",IFERROR(IF(INDEX(Deals!$I$2:$I$355,MATCH($C560,Deals!$A$2:$A$355,0))=0,"",INDEX(Deals!$I$2:$I$355,MATCH($C560,Deals!$A$2:$A$355,0))),""))</f>
        <v/>
      </c>
      <c r="M560" s="31">
        <f>IF($C560="","",IFERROR(IF(INDEX(Deals!$J$2:$J$355,MATCH($C560,Deals!$A$2:$A$355,0))=0,"",INDEX(Deals!$J$2:$J$355,MATCH($C560,Deals!$A$2:$A$355,0))),""))</f>
        <v/>
      </c>
      <c r="N560" s="24">
        <f>IF($L560="",DATE(1900,1,1),$L560)</f>
        <v/>
      </c>
      <c r="O560" s="24">
        <f>IF($M560="",DATE(2100,12,31),$M560)</f>
        <v/>
      </c>
      <c r="P560" s="16" t="inlineStr"/>
      <c r="Q560" s="16" t="inlineStr"/>
      <c r="R560" s="29">
        <f>IF($C560="","",IFERROR(IF(INDEX(Deals!$U$2:$U$355,MATCH($C560,Deals!$A$2:$A$355,0))=0,"",INDEX(Deals!$U$2:$U$355,MATCH($C560,Deals!$A$2:$A$355,0))),""))</f>
        <v/>
      </c>
      <c r="S560" s="22">
        <f>IFERROR(IF($U560="",1,INDEX(Deals!$V$2:$V$355,MATCH($C560,Deals!$A$2:$A$355,0))),1)</f>
        <v/>
      </c>
      <c r="T560" s="22">
        <f>IFERROR(IF($U560="",1,INDEX(Deals!$W$2:$W$355,MATCH($C560,Deals!$A$2:$A$355,0))),1)</f>
        <v/>
      </c>
      <c r="U560" s="31">
        <f>IF($C560="","",IFERROR(IF(INDEX(Deals!$Y$2:$Y$355,MATCH($C560,Deals!$A$2:$A$355,0))=0,"",INDEX(Deals!$Y$2:$Y$355,MATCH($C560,Deals!$A$2:$A$355,0))),""))</f>
        <v/>
      </c>
      <c r="V560" s="24">
        <f>IF($U560="",DATE(1900,1,1),$N560)</f>
        <v/>
      </c>
      <c r="W560" s="24">
        <f>IF($U560="",DATE(2100,12,31),$U560)</f>
        <v/>
      </c>
      <c r="X560" s="20">
        <f>IF($U560="",$K560,$K560*$S560)</f>
        <v/>
      </c>
      <c r="Y560" s="24">
        <f>IF($U560="",DATE(2100,12,31),$U560+1)</f>
        <v/>
      </c>
      <c r="Z560" s="24">
        <f>IF($U560="",DATE(1900,1,1),$O560)</f>
        <v/>
      </c>
      <c r="AA560" s="20">
        <f>IF($U560="",0,$K560*$T560)</f>
        <v/>
      </c>
    </row>
    <row r="561">
      <c r="A561" s="15" t="inlineStr">
        <is>
          <t>Dorian</t>
        </is>
      </c>
      <c r="B561" s="29">
        <f>IF($A561="","",IFERROR(INDEX(Roster!$B$2:$B$40,MATCH($A561,Roster!$A$2:$A$40,0)),"?"))</f>
        <v/>
      </c>
      <c r="C561" s="15" t="inlineStr">
        <is>
          <t>Long_2</t>
        </is>
      </c>
      <c r="D561" s="29">
        <f>IF($C561="","",IFERROR(IF(INDEX(Deals!$C$2:$C$355,MATCH($C561,Deals!$A$2:$A$355,0))=0,"",INDEX(Deals!$C$2:$C$355,MATCH($C561,Deals!$A$2:$A$355,0))),"?"))</f>
        <v/>
      </c>
      <c r="E561" s="29">
        <f>IF($C561="","",IFERROR(INDEX(Deals!$F$2:$F$355,MATCH($C561,Deals!$A$2:$A$355,0)),"?"))</f>
        <v/>
      </c>
      <c r="F561" s="15" t="inlineStr">
        <is>
          <t>Renewable Specialist</t>
        </is>
      </c>
      <c r="G561" s="15" t="inlineStr">
        <is>
          <t>Active</t>
        </is>
      </c>
      <c r="H561" s="27" t="n"/>
      <c r="I561" s="20">
        <f>IF(OR($A561="",$G561&lt;&gt;"Active"),0,IF($H561&lt;&gt;"",$H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</f>
        <v/>
      </c>
      <c r="J561" s="23">
        <f>IF($C561="",0,IFERROR(INDEX(Deals!$H$2:$H$355,MATCH($C561,Deals!$A$2:$A$355,0)),0))</f>
        <v/>
      </c>
      <c r="K561" s="20">
        <f>IF(Settings!$B$4="Yes",$I561*$J561,$I561)</f>
        <v/>
      </c>
      <c r="L561" s="31">
        <f>IF($C561="","",IFERROR(IF(INDEX(Deals!$I$2:$I$355,MATCH($C561,Deals!$A$2:$A$355,0))=0,"",INDEX(Deals!$I$2:$I$355,MATCH($C561,Deals!$A$2:$A$355,0))),""))</f>
        <v/>
      </c>
      <c r="M561" s="31">
        <f>IF($C561="","",IFERROR(IF(INDEX(Deals!$J$2:$J$355,MATCH($C561,Deals!$A$2:$A$355,0))=0,"",INDEX(Deals!$J$2:$J$355,MATCH($C561,Deals!$A$2:$A$355,0))),""))</f>
        <v/>
      </c>
      <c r="N561" s="24">
        <f>IF($L561="",DATE(1900,1,1),$L561)</f>
        <v/>
      </c>
      <c r="O561" s="24">
        <f>IF($M561="",DATE(2100,12,31),$M561)</f>
        <v/>
      </c>
      <c r="P561" s="16" t="inlineStr"/>
      <c r="Q561" s="16" t="inlineStr"/>
      <c r="R561" s="29">
        <f>IF($C561="","",IFERROR(IF(INDEX(Deals!$U$2:$U$355,MATCH($C561,Deals!$A$2:$A$355,0))=0,"",INDEX(Deals!$U$2:$U$355,MATCH($C561,Deals!$A$2:$A$355,0))),""))</f>
        <v/>
      </c>
      <c r="S561" s="22">
        <f>IFERROR(IF($U561="",1,INDEX(Deals!$V$2:$V$355,MATCH($C561,Deals!$A$2:$A$355,0))),1)</f>
        <v/>
      </c>
      <c r="T561" s="22">
        <f>IFERROR(IF($U561="",1,INDEX(Deals!$W$2:$W$355,MATCH($C561,Deals!$A$2:$A$355,0))),1)</f>
        <v/>
      </c>
      <c r="U561" s="31">
        <f>IF($C561="","",IFERROR(IF(INDEX(Deals!$Y$2:$Y$355,MATCH($C561,Deals!$A$2:$A$355,0))=0,"",INDEX(Deals!$Y$2:$Y$355,MATCH($C561,Deals!$A$2:$A$355,0))),""))</f>
        <v/>
      </c>
      <c r="V561" s="24">
        <f>IF($U561="",DATE(1900,1,1),$N561)</f>
        <v/>
      </c>
      <c r="W561" s="24">
        <f>IF($U561="",DATE(2100,12,31),$U561)</f>
        <v/>
      </c>
      <c r="X561" s="20">
        <f>IF($U561="",$K561,$K561*$S561)</f>
        <v/>
      </c>
      <c r="Y561" s="24">
        <f>IF($U561="",DATE(2100,12,31),$U561+1)</f>
        <v/>
      </c>
      <c r="Z561" s="24">
        <f>IF($U561="",DATE(1900,1,1),$O561)</f>
        <v/>
      </c>
      <c r="AA561" s="20">
        <f>IF($U561="",0,$K561*$T561)</f>
        <v/>
      </c>
    </row>
    <row r="562">
      <c r="A562" s="15" t="inlineStr">
        <is>
          <t>Dorian</t>
        </is>
      </c>
      <c r="B562" s="29">
        <f>IF($A562="","",IFERROR(INDEX(Roster!$B$2:$B$40,MATCH($A562,Roster!$A$2:$A$40,0)),"?"))</f>
        <v/>
      </c>
      <c r="C562" s="15" t="inlineStr">
        <is>
          <t>Look Inc - Ethos_1</t>
        </is>
      </c>
      <c r="D562" s="29">
        <f>IF($C562="","",IFERROR(IF(INDEX(Deals!$C$2:$C$355,MATCH($C562,Deals!$A$2:$A$355,0))=0,"",INDEX(Deals!$C$2:$C$355,MATCH($C562,Deals!$A$2:$A$355,0))),"?"))</f>
        <v/>
      </c>
      <c r="E562" s="29">
        <f>IF($C562="","",IFERROR(INDEX(Deals!$F$2:$F$355,MATCH($C562,Deals!$A$2:$A$355,0)),"?"))</f>
        <v/>
      </c>
      <c r="F562" s="15" t="inlineStr">
        <is>
          <t>Renewable Specialist</t>
        </is>
      </c>
      <c r="G562" s="15" t="inlineStr">
        <is>
          <t>Active</t>
        </is>
      </c>
      <c r="H562" s="27" t="n"/>
      <c r="I562" s="20">
        <f>IF(OR($A562="",$G562&lt;&gt;"Active"),0,IF($H562&lt;&gt;"",$H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</f>
        <v/>
      </c>
      <c r="J562" s="23">
        <f>IF($C562="",0,IFERROR(INDEX(Deals!$H$2:$H$355,MATCH($C562,Deals!$A$2:$A$355,0)),0))</f>
        <v/>
      </c>
      <c r="K562" s="20">
        <f>IF(Settings!$B$4="Yes",$I562*$J562,$I562)</f>
        <v/>
      </c>
      <c r="L562" s="31">
        <f>IF($C562="","",IFERROR(IF(INDEX(Deals!$I$2:$I$355,MATCH($C562,Deals!$A$2:$A$355,0))=0,"",INDEX(Deals!$I$2:$I$355,MATCH($C562,Deals!$A$2:$A$355,0))),""))</f>
        <v/>
      </c>
      <c r="M562" s="31">
        <f>IF($C562="","",IFERROR(IF(INDEX(Deals!$J$2:$J$355,MATCH($C562,Deals!$A$2:$A$355,0))=0,"",INDEX(Deals!$J$2:$J$355,MATCH($C562,Deals!$A$2:$A$355,0))),""))</f>
        <v/>
      </c>
      <c r="N562" s="24">
        <f>IF($L562="",DATE(1900,1,1),$L562)</f>
        <v/>
      </c>
      <c r="O562" s="24">
        <f>IF($M562="",DATE(2100,12,31),$M562)</f>
        <v/>
      </c>
      <c r="P562" s="16" t="inlineStr"/>
      <c r="Q562" s="16" t="inlineStr"/>
      <c r="R562" s="29">
        <f>IF($C562="","",IFERROR(IF(INDEX(Deals!$U$2:$U$355,MATCH($C562,Deals!$A$2:$A$355,0))=0,"",INDEX(Deals!$U$2:$U$355,MATCH($C562,Deals!$A$2:$A$355,0))),""))</f>
        <v/>
      </c>
      <c r="S562" s="22">
        <f>IFERROR(IF($U562="",1,INDEX(Deals!$V$2:$V$355,MATCH($C562,Deals!$A$2:$A$355,0))),1)</f>
        <v/>
      </c>
      <c r="T562" s="22">
        <f>IFERROR(IF($U562="",1,INDEX(Deals!$W$2:$W$355,MATCH($C562,Deals!$A$2:$A$355,0))),1)</f>
        <v/>
      </c>
      <c r="U562" s="31">
        <f>IF($C562="","",IFERROR(IF(INDEX(Deals!$Y$2:$Y$355,MATCH($C562,Deals!$A$2:$A$355,0))=0,"",INDEX(Deals!$Y$2:$Y$355,MATCH($C562,Deals!$A$2:$A$355,0))),""))</f>
        <v/>
      </c>
      <c r="V562" s="24">
        <f>IF($U562="",DATE(1900,1,1),$N562)</f>
        <v/>
      </c>
      <c r="W562" s="24">
        <f>IF($U562="",DATE(2100,12,31),$U562)</f>
        <v/>
      </c>
      <c r="X562" s="20">
        <f>IF($U562="",$K562,$K562*$S562)</f>
        <v/>
      </c>
      <c r="Y562" s="24">
        <f>IF($U562="",DATE(2100,12,31),$U562+1)</f>
        <v/>
      </c>
      <c r="Z562" s="24">
        <f>IF($U562="",DATE(1900,1,1),$O562)</f>
        <v/>
      </c>
      <c r="AA562" s="20">
        <f>IF($U562="",0,$K562*$T562)</f>
        <v/>
      </c>
    </row>
    <row r="563">
      <c r="A563" s="15" t="inlineStr">
        <is>
          <t>Dorian</t>
        </is>
      </c>
      <c r="B563" s="29">
        <f>IF($A563="","",IFERROR(INDEX(Roster!$B$2:$B$40,MATCH($A563,Roster!$A$2:$A$40,0)),"?"))</f>
        <v/>
      </c>
      <c r="C563" s="15" t="inlineStr">
        <is>
          <t>MeadowBrook_1</t>
        </is>
      </c>
      <c r="D563" s="29">
        <f>IF($C563="","",IFERROR(IF(INDEX(Deals!$C$2:$C$355,MATCH($C563,Deals!$A$2:$A$355,0))=0,"",INDEX(Deals!$C$2:$C$355,MATCH($C563,Deals!$A$2:$A$355,0))),"?"))</f>
        <v/>
      </c>
      <c r="E563" s="29">
        <f>IF($C563="","",IFERROR(INDEX(Deals!$F$2:$F$355,MATCH($C563,Deals!$A$2:$A$355,0)),"?"))</f>
        <v/>
      </c>
      <c r="F563" s="15" t="inlineStr">
        <is>
          <t>Renewable Specialist</t>
        </is>
      </c>
      <c r="G563" s="15" t="inlineStr">
        <is>
          <t>Active</t>
        </is>
      </c>
      <c r="H563" s="27" t="n"/>
      <c r="I563" s="20">
        <f>IF(OR($A563="",$G563&lt;&gt;"Active"),0,IF($H563&lt;&gt;"",$H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</f>
        <v/>
      </c>
      <c r="J563" s="23">
        <f>IF($C563="",0,IFERROR(INDEX(Deals!$H$2:$H$355,MATCH($C563,Deals!$A$2:$A$355,0)),0))</f>
        <v/>
      </c>
      <c r="K563" s="20">
        <f>IF(Settings!$B$4="Yes",$I563*$J563,$I563)</f>
        <v/>
      </c>
      <c r="L563" s="31">
        <f>IF($C563="","",IFERROR(IF(INDEX(Deals!$I$2:$I$355,MATCH($C563,Deals!$A$2:$A$355,0))=0,"",INDEX(Deals!$I$2:$I$355,MATCH($C563,Deals!$A$2:$A$355,0))),""))</f>
        <v/>
      </c>
      <c r="M563" s="31">
        <f>IF($C563="","",IFERROR(IF(INDEX(Deals!$J$2:$J$355,MATCH($C563,Deals!$A$2:$A$355,0))=0,"",INDEX(Deals!$J$2:$J$355,MATCH($C563,Deals!$A$2:$A$355,0))),""))</f>
        <v/>
      </c>
      <c r="N563" s="24">
        <f>IF($L563="",DATE(1900,1,1),$L563)</f>
        <v/>
      </c>
      <c r="O563" s="24">
        <f>IF($M563="",DATE(2100,12,31),$M563)</f>
        <v/>
      </c>
      <c r="P563" s="16" t="inlineStr"/>
      <c r="Q563" s="16" t="inlineStr"/>
      <c r="R563" s="29">
        <f>IF($C563="","",IFERROR(IF(INDEX(Deals!$U$2:$U$355,MATCH($C563,Deals!$A$2:$A$355,0))=0,"",INDEX(Deals!$U$2:$U$355,MATCH($C563,Deals!$A$2:$A$355,0))),""))</f>
        <v/>
      </c>
      <c r="S563" s="22">
        <f>IFERROR(IF($U563="",1,INDEX(Deals!$V$2:$V$355,MATCH($C563,Deals!$A$2:$A$355,0))),1)</f>
        <v/>
      </c>
      <c r="T563" s="22">
        <f>IFERROR(IF($U563="",1,INDEX(Deals!$W$2:$W$355,MATCH($C563,Deals!$A$2:$A$355,0))),1)</f>
        <v/>
      </c>
      <c r="U563" s="31">
        <f>IF($C563="","",IFERROR(IF(INDEX(Deals!$Y$2:$Y$355,MATCH($C563,Deals!$A$2:$A$355,0))=0,"",INDEX(Deals!$Y$2:$Y$355,MATCH($C563,Deals!$A$2:$A$355,0))),""))</f>
        <v/>
      </c>
      <c r="V563" s="24">
        <f>IF($U563="",DATE(1900,1,1),$N563)</f>
        <v/>
      </c>
      <c r="W563" s="24">
        <f>IF($U563="",DATE(2100,12,31),$U563)</f>
        <v/>
      </c>
      <c r="X563" s="20">
        <f>IF($U563="",$K563,$K563*$S563)</f>
        <v/>
      </c>
      <c r="Y563" s="24">
        <f>IF($U563="",DATE(2100,12,31),$U563+1)</f>
        <v/>
      </c>
      <c r="Z563" s="24">
        <f>IF($U563="",DATE(1900,1,1),$O563)</f>
        <v/>
      </c>
      <c r="AA563" s="20">
        <f>IF($U563="",0,$K563*$T563)</f>
        <v/>
      </c>
    </row>
    <row r="564">
      <c r="A564" s="15" t="inlineStr">
        <is>
          <t>Dorian</t>
        </is>
      </c>
      <c r="B564" s="29">
        <f>IF($A564="","",IFERROR(INDEX(Roster!$B$2:$B$40,MATCH($A564,Roster!$A$2:$A$40,0)),"?"))</f>
        <v/>
      </c>
      <c r="C564" s="15" t="inlineStr">
        <is>
          <t>Modport_1</t>
        </is>
      </c>
      <c r="D564" s="29">
        <f>IF($C564="","",IFERROR(IF(INDEX(Deals!$C$2:$C$355,MATCH($C564,Deals!$A$2:$A$355,0))=0,"",INDEX(Deals!$C$2:$C$355,MATCH($C564,Deals!$A$2:$A$355,0))),"?"))</f>
        <v/>
      </c>
      <c r="E564" s="29">
        <f>IF($C564="","",IFERROR(INDEX(Deals!$F$2:$F$355,MATCH($C564,Deals!$A$2:$A$355,0)),"?"))</f>
        <v/>
      </c>
      <c r="F564" s="15" t="inlineStr">
        <is>
          <t>Renewable Specialist</t>
        </is>
      </c>
      <c r="G564" s="15" t="inlineStr">
        <is>
          <t>Active</t>
        </is>
      </c>
      <c r="H564" s="27" t="n"/>
      <c r="I564" s="20">
        <f>IF(OR($A564="",$G564&lt;&gt;"Active"),0,IF($H564&lt;&gt;"",$H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</f>
        <v/>
      </c>
      <c r="J564" s="23">
        <f>IF($C564="",0,IFERROR(INDEX(Deals!$H$2:$H$355,MATCH($C564,Deals!$A$2:$A$355,0)),0))</f>
        <v/>
      </c>
      <c r="K564" s="20">
        <f>IF(Settings!$B$4="Yes",$I564*$J564,$I564)</f>
        <v/>
      </c>
      <c r="L564" s="31">
        <f>IF($C564="","",IFERROR(IF(INDEX(Deals!$I$2:$I$355,MATCH($C564,Deals!$A$2:$A$355,0))=0,"",INDEX(Deals!$I$2:$I$355,MATCH($C564,Deals!$A$2:$A$355,0))),""))</f>
        <v/>
      </c>
      <c r="M564" s="31">
        <f>IF($C564="","",IFERROR(IF(INDEX(Deals!$J$2:$J$355,MATCH($C564,Deals!$A$2:$A$355,0))=0,"",INDEX(Deals!$J$2:$J$355,MATCH($C564,Deals!$A$2:$A$355,0))),""))</f>
        <v/>
      </c>
      <c r="N564" s="24">
        <f>IF($L564="",DATE(1900,1,1),$L564)</f>
        <v/>
      </c>
      <c r="O564" s="24">
        <f>IF($M564="",DATE(2100,12,31),$M564)</f>
        <v/>
      </c>
      <c r="P564" s="16" t="inlineStr"/>
      <c r="Q564" s="16" t="inlineStr"/>
      <c r="R564" s="29">
        <f>IF($C564="","",IFERROR(IF(INDEX(Deals!$U$2:$U$355,MATCH($C564,Deals!$A$2:$A$355,0))=0,"",INDEX(Deals!$U$2:$U$355,MATCH($C564,Deals!$A$2:$A$355,0))),""))</f>
        <v/>
      </c>
      <c r="S564" s="22">
        <f>IFERROR(IF($U564="",1,INDEX(Deals!$V$2:$V$355,MATCH($C564,Deals!$A$2:$A$355,0))),1)</f>
        <v/>
      </c>
      <c r="T564" s="22">
        <f>IFERROR(IF($U564="",1,INDEX(Deals!$W$2:$W$355,MATCH($C564,Deals!$A$2:$A$355,0))),1)</f>
        <v/>
      </c>
      <c r="U564" s="31">
        <f>IF($C564="","",IFERROR(IF(INDEX(Deals!$Y$2:$Y$355,MATCH($C564,Deals!$A$2:$A$355,0))=0,"",INDEX(Deals!$Y$2:$Y$355,MATCH($C564,Deals!$A$2:$A$355,0))),""))</f>
        <v/>
      </c>
      <c r="V564" s="24">
        <f>IF($U564="",DATE(1900,1,1),$N564)</f>
        <v/>
      </c>
      <c r="W564" s="24">
        <f>IF($U564="",DATE(2100,12,31),$U564)</f>
        <v/>
      </c>
      <c r="X564" s="20">
        <f>IF($U564="",$K564,$K564*$S564)</f>
        <v/>
      </c>
      <c r="Y564" s="24">
        <f>IF($U564="",DATE(2100,12,31),$U564+1)</f>
        <v/>
      </c>
      <c r="Z564" s="24">
        <f>IF($U564="",DATE(1900,1,1),$O564)</f>
        <v/>
      </c>
      <c r="AA564" s="20">
        <f>IF($U564="",0,$K564*$T564)</f>
        <v/>
      </c>
    </row>
    <row r="565">
      <c r="A565" s="15" t="inlineStr">
        <is>
          <t>Dorian</t>
        </is>
      </c>
      <c r="B565" s="29">
        <f>IF($A565="","",IFERROR(INDEX(Roster!$B$2:$B$40,MATCH($A565,Roster!$A$2:$A$40,0)),"?"))</f>
        <v/>
      </c>
      <c r="C565" s="15" t="inlineStr">
        <is>
          <t>Neutrino_1</t>
        </is>
      </c>
      <c r="D565" s="29">
        <f>IF($C565="","",IFERROR(IF(INDEX(Deals!$C$2:$C$355,MATCH($C565,Deals!$A$2:$A$355,0))=0,"",INDEX(Deals!$C$2:$C$355,MATCH($C565,Deals!$A$2:$A$355,0))),"?"))</f>
        <v/>
      </c>
      <c r="E565" s="29">
        <f>IF($C565="","",IFERROR(INDEX(Deals!$F$2:$F$355,MATCH($C565,Deals!$A$2:$A$355,0)),"?"))</f>
        <v/>
      </c>
      <c r="F565" s="15" t="inlineStr">
        <is>
          <t>Renewable Specialist</t>
        </is>
      </c>
      <c r="G565" s="15" t="inlineStr">
        <is>
          <t>Active</t>
        </is>
      </c>
      <c r="H565" s="27" t="n"/>
      <c r="I565" s="20">
        <f>IF(OR($A565="",$G565&lt;&gt;"Active"),0,IF($H565&lt;&gt;"",$H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</f>
        <v/>
      </c>
      <c r="J565" s="23">
        <f>IF($C565="",0,IFERROR(INDEX(Deals!$H$2:$H$355,MATCH($C565,Deals!$A$2:$A$355,0)),0))</f>
        <v/>
      </c>
      <c r="K565" s="20">
        <f>IF(Settings!$B$4="Yes",$I565*$J565,$I565)</f>
        <v/>
      </c>
      <c r="L565" s="31">
        <f>IF($C565="","",IFERROR(IF(INDEX(Deals!$I$2:$I$355,MATCH($C565,Deals!$A$2:$A$355,0))=0,"",INDEX(Deals!$I$2:$I$355,MATCH($C565,Deals!$A$2:$A$355,0))),""))</f>
        <v/>
      </c>
      <c r="M565" s="31">
        <f>IF($C565="","",IFERROR(IF(INDEX(Deals!$J$2:$J$355,MATCH($C565,Deals!$A$2:$A$355,0))=0,"",INDEX(Deals!$J$2:$J$355,MATCH($C565,Deals!$A$2:$A$355,0))),""))</f>
        <v/>
      </c>
      <c r="N565" s="24">
        <f>IF($L565="",DATE(1900,1,1),$L565)</f>
        <v/>
      </c>
      <c r="O565" s="24">
        <f>IF($M565="",DATE(2100,12,31),$M565)</f>
        <v/>
      </c>
      <c r="P565" s="16" t="inlineStr"/>
      <c r="Q565" s="16" t="inlineStr"/>
      <c r="R565" s="29">
        <f>IF($C565="","",IFERROR(IF(INDEX(Deals!$U$2:$U$355,MATCH($C565,Deals!$A$2:$A$355,0))=0,"",INDEX(Deals!$U$2:$U$355,MATCH($C565,Deals!$A$2:$A$355,0))),""))</f>
        <v/>
      </c>
      <c r="S565" s="22">
        <f>IFERROR(IF($U565="",1,INDEX(Deals!$V$2:$V$355,MATCH($C565,Deals!$A$2:$A$355,0))),1)</f>
        <v/>
      </c>
      <c r="T565" s="22">
        <f>IFERROR(IF($U565="",1,INDEX(Deals!$W$2:$W$355,MATCH($C565,Deals!$A$2:$A$355,0))),1)</f>
        <v/>
      </c>
      <c r="U565" s="31">
        <f>IF($C565="","",IFERROR(IF(INDEX(Deals!$Y$2:$Y$355,MATCH($C565,Deals!$A$2:$A$355,0))=0,"",INDEX(Deals!$Y$2:$Y$355,MATCH($C565,Deals!$A$2:$A$355,0))),""))</f>
        <v/>
      </c>
      <c r="V565" s="24">
        <f>IF($U565="",DATE(1900,1,1),$N565)</f>
        <v/>
      </c>
      <c r="W565" s="24">
        <f>IF($U565="",DATE(2100,12,31),$U565)</f>
        <v/>
      </c>
      <c r="X565" s="20">
        <f>IF($U565="",$K565,$K565*$S565)</f>
        <v/>
      </c>
      <c r="Y565" s="24">
        <f>IF($U565="",DATE(2100,12,31),$U565+1)</f>
        <v/>
      </c>
      <c r="Z565" s="24">
        <f>IF($U565="",DATE(1900,1,1),$O565)</f>
        <v/>
      </c>
      <c r="AA565" s="20">
        <f>IF($U565="",0,$K565*$T565)</f>
        <v/>
      </c>
    </row>
    <row r="566">
      <c r="A566" s="15" t="inlineStr">
        <is>
          <t>Dorian</t>
        </is>
      </c>
      <c r="B566" s="29">
        <f>IF($A566="","",IFERROR(INDEX(Roster!$B$2:$B$40,MATCH($A566,Roster!$A$2:$A$40,0)),"?"))</f>
        <v/>
      </c>
      <c r="C566" s="15" t="inlineStr">
        <is>
          <t>New Haven_1</t>
        </is>
      </c>
      <c r="D566" s="29">
        <f>IF($C566="","",IFERROR(IF(INDEX(Deals!$C$2:$C$355,MATCH($C566,Deals!$A$2:$A$355,0))=0,"",INDEX(Deals!$C$2:$C$355,MATCH($C566,Deals!$A$2:$A$355,0))),"?"))</f>
        <v/>
      </c>
      <c r="E566" s="29">
        <f>IF($C566="","",IFERROR(INDEX(Deals!$F$2:$F$355,MATCH($C566,Deals!$A$2:$A$355,0)),"?"))</f>
        <v/>
      </c>
      <c r="F566" s="15" t="inlineStr">
        <is>
          <t>Renewable Specialist</t>
        </is>
      </c>
      <c r="G566" s="15" t="inlineStr">
        <is>
          <t>Active</t>
        </is>
      </c>
      <c r="H566" s="27" t="n"/>
      <c r="I566" s="20">
        <f>IF(OR($A566="",$G566&lt;&gt;"Active"),0,IF($H566&lt;&gt;"",$H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</f>
        <v/>
      </c>
      <c r="J566" s="23">
        <f>IF($C566="",0,IFERROR(INDEX(Deals!$H$2:$H$355,MATCH($C566,Deals!$A$2:$A$355,0)),0))</f>
        <v/>
      </c>
      <c r="K566" s="20">
        <f>IF(Settings!$B$4="Yes",$I566*$J566,$I566)</f>
        <v/>
      </c>
      <c r="L566" s="31">
        <f>IF($C566="","",IFERROR(IF(INDEX(Deals!$I$2:$I$355,MATCH($C566,Deals!$A$2:$A$355,0))=0,"",INDEX(Deals!$I$2:$I$355,MATCH($C566,Deals!$A$2:$A$355,0))),""))</f>
        <v/>
      </c>
      <c r="M566" s="31">
        <f>IF($C566="","",IFERROR(IF(INDEX(Deals!$J$2:$J$355,MATCH($C566,Deals!$A$2:$A$355,0))=0,"",INDEX(Deals!$J$2:$J$355,MATCH($C566,Deals!$A$2:$A$355,0))),""))</f>
        <v/>
      </c>
      <c r="N566" s="24">
        <f>IF($L566="",DATE(1900,1,1),$L566)</f>
        <v/>
      </c>
      <c r="O566" s="24">
        <f>IF($M566="",DATE(2100,12,31),$M566)</f>
        <v/>
      </c>
      <c r="P566" s="16" t="inlineStr"/>
      <c r="Q566" s="16" t="inlineStr"/>
      <c r="R566" s="29">
        <f>IF($C566="","",IFERROR(IF(INDEX(Deals!$U$2:$U$355,MATCH($C566,Deals!$A$2:$A$355,0))=0,"",INDEX(Deals!$U$2:$U$355,MATCH($C566,Deals!$A$2:$A$355,0))),""))</f>
        <v/>
      </c>
      <c r="S566" s="22">
        <f>IFERROR(IF($U566="",1,INDEX(Deals!$V$2:$V$355,MATCH($C566,Deals!$A$2:$A$355,0))),1)</f>
        <v/>
      </c>
      <c r="T566" s="22">
        <f>IFERROR(IF($U566="",1,INDEX(Deals!$W$2:$W$355,MATCH($C566,Deals!$A$2:$A$355,0))),1)</f>
        <v/>
      </c>
      <c r="U566" s="31">
        <f>IF($C566="","",IFERROR(IF(INDEX(Deals!$Y$2:$Y$355,MATCH($C566,Deals!$A$2:$A$355,0))=0,"",INDEX(Deals!$Y$2:$Y$355,MATCH($C566,Deals!$A$2:$A$355,0))),""))</f>
        <v/>
      </c>
      <c r="V566" s="24">
        <f>IF($U566="",DATE(1900,1,1),$N566)</f>
        <v/>
      </c>
      <c r="W566" s="24">
        <f>IF($U566="",DATE(2100,12,31),$U566)</f>
        <v/>
      </c>
      <c r="X566" s="20">
        <f>IF($U566="",$K566,$K566*$S566)</f>
        <v/>
      </c>
      <c r="Y566" s="24">
        <f>IF($U566="",DATE(2100,12,31),$U566+1)</f>
        <v/>
      </c>
      <c r="Z566" s="24">
        <f>IF($U566="",DATE(1900,1,1),$O566)</f>
        <v/>
      </c>
      <c r="AA566" s="20">
        <f>IF($U566="",0,$K566*$T566)</f>
        <v/>
      </c>
    </row>
    <row r="567">
      <c r="A567" s="15" t="inlineStr">
        <is>
          <t>Dorian</t>
        </is>
      </c>
      <c r="B567" s="29">
        <f>IF($A567="","",IFERROR(INDEX(Roster!$B$2:$B$40,MATCH($A567,Roster!$A$2:$A$40,0)),"?"))</f>
        <v/>
      </c>
      <c r="C567" s="15" t="inlineStr">
        <is>
          <t>Ninedot_3</t>
        </is>
      </c>
      <c r="D567" s="29">
        <f>IF($C567="","",IFERROR(IF(INDEX(Deals!$C$2:$C$355,MATCH($C567,Deals!$A$2:$A$355,0))=0,"",INDEX(Deals!$C$2:$C$355,MATCH($C567,Deals!$A$2:$A$355,0))),"?"))</f>
        <v/>
      </c>
      <c r="E567" s="29">
        <f>IF($C567="","",IFERROR(INDEX(Deals!$F$2:$F$355,MATCH($C567,Deals!$A$2:$A$355,0)),"?"))</f>
        <v/>
      </c>
      <c r="F567" s="15" t="inlineStr">
        <is>
          <t>Renewable Specialist</t>
        </is>
      </c>
      <c r="G567" s="15" t="inlineStr">
        <is>
          <t>Active</t>
        </is>
      </c>
      <c r="H567" s="27" t="n"/>
      <c r="I567" s="20">
        <f>IF(OR($A567="",$G567&lt;&gt;"Active"),0,IF($H567&lt;&gt;"",$H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</f>
        <v/>
      </c>
      <c r="J567" s="23">
        <f>IF($C567="",0,IFERROR(INDEX(Deals!$H$2:$H$355,MATCH($C567,Deals!$A$2:$A$355,0)),0))</f>
        <v/>
      </c>
      <c r="K567" s="20">
        <f>IF(Settings!$B$4="Yes",$I567*$J567,$I567)</f>
        <v/>
      </c>
      <c r="L567" s="31">
        <f>IF($C567="","",IFERROR(IF(INDEX(Deals!$I$2:$I$355,MATCH($C567,Deals!$A$2:$A$355,0))=0,"",INDEX(Deals!$I$2:$I$355,MATCH($C567,Deals!$A$2:$A$355,0))),""))</f>
        <v/>
      </c>
      <c r="M567" s="31">
        <f>IF($C567="","",IFERROR(IF(INDEX(Deals!$J$2:$J$355,MATCH($C567,Deals!$A$2:$A$355,0))=0,"",INDEX(Deals!$J$2:$J$355,MATCH($C567,Deals!$A$2:$A$355,0))),""))</f>
        <v/>
      </c>
      <c r="N567" s="24">
        <f>IF($L567="",DATE(1900,1,1),$L567)</f>
        <v/>
      </c>
      <c r="O567" s="24">
        <f>IF($M567="",DATE(2100,12,31),$M567)</f>
        <v/>
      </c>
      <c r="P567" s="16" t="inlineStr"/>
      <c r="Q567" s="16" t="inlineStr"/>
      <c r="R567" s="29">
        <f>IF($C567="","",IFERROR(IF(INDEX(Deals!$U$2:$U$355,MATCH($C567,Deals!$A$2:$A$355,0))=0,"",INDEX(Deals!$U$2:$U$355,MATCH($C567,Deals!$A$2:$A$355,0))),""))</f>
        <v/>
      </c>
      <c r="S567" s="22">
        <f>IFERROR(IF($U567="",1,INDEX(Deals!$V$2:$V$355,MATCH($C567,Deals!$A$2:$A$355,0))),1)</f>
        <v/>
      </c>
      <c r="T567" s="22">
        <f>IFERROR(IF($U567="",1,INDEX(Deals!$W$2:$W$355,MATCH($C567,Deals!$A$2:$A$355,0))),1)</f>
        <v/>
      </c>
      <c r="U567" s="31">
        <f>IF($C567="","",IFERROR(IF(INDEX(Deals!$Y$2:$Y$355,MATCH($C567,Deals!$A$2:$A$355,0))=0,"",INDEX(Deals!$Y$2:$Y$355,MATCH($C567,Deals!$A$2:$A$355,0))),""))</f>
        <v/>
      </c>
      <c r="V567" s="24">
        <f>IF($U567="",DATE(1900,1,1),$N567)</f>
        <v/>
      </c>
      <c r="W567" s="24">
        <f>IF($U567="",DATE(2100,12,31),$U567)</f>
        <v/>
      </c>
      <c r="X567" s="20">
        <f>IF($U567="",$K567,$K567*$S567)</f>
        <v/>
      </c>
      <c r="Y567" s="24">
        <f>IF($U567="",DATE(2100,12,31),$U567+1)</f>
        <v/>
      </c>
      <c r="Z567" s="24">
        <f>IF($U567="",DATE(1900,1,1),$O567)</f>
        <v/>
      </c>
      <c r="AA567" s="20">
        <f>IF($U567="",0,$K567*$T567)</f>
        <v/>
      </c>
    </row>
    <row r="568">
      <c r="A568" s="15" t="inlineStr">
        <is>
          <t>Dorian</t>
        </is>
      </c>
      <c r="B568" s="29">
        <f>IF($A568="","",IFERROR(INDEX(Roster!$B$2:$B$40,MATCH($A568,Roster!$A$2:$A$40,0)),"?"))</f>
        <v/>
      </c>
      <c r="C568" s="15" t="inlineStr">
        <is>
          <t>Palmetto_3</t>
        </is>
      </c>
      <c r="D568" s="29">
        <f>IF($C568="","",IFERROR(IF(INDEX(Deals!$C$2:$C$355,MATCH($C568,Deals!$A$2:$A$355,0))=0,"",INDEX(Deals!$C$2:$C$355,MATCH($C568,Deals!$A$2:$A$355,0))),"?"))</f>
        <v/>
      </c>
      <c r="E568" s="29">
        <f>IF($C568="","",IFERROR(INDEX(Deals!$F$2:$F$355,MATCH($C568,Deals!$A$2:$A$355,0)),"?"))</f>
        <v/>
      </c>
      <c r="F568" s="15" t="inlineStr">
        <is>
          <t>Renewable Specialist</t>
        </is>
      </c>
      <c r="G568" s="15" t="inlineStr">
        <is>
          <t>Active</t>
        </is>
      </c>
      <c r="H568" s="27" t="n"/>
      <c r="I568" s="20">
        <f>IF(OR($A568="",$G568&lt;&gt;"Active"),0,IF($H568&lt;&gt;"",$H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</f>
        <v/>
      </c>
      <c r="J568" s="23">
        <f>IF($C568="",0,IFERROR(INDEX(Deals!$H$2:$H$355,MATCH($C568,Deals!$A$2:$A$355,0)),0))</f>
        <v/>
      </c>
      <c r="K568" s="20">
        <f>IF(Settings!$B$4="Yes",$I568*$J568,$I568)</f>
        <v/>
      </c>
      <c r="L568" s="31">
        <f>IF($C568="","",IFERROR(IF(INDEX(Deals!$I$2:$I$355,MATCH($C568,Deals!$A$2:$A$355,0))=0,"",INDEX(Deals!$I$2:$I$355,MATCH($C568,Deals!$A$2:$A$355,0))),""))</f>
        <v/>
      </c>
      <c r="M568" s="31">
        <f>IF($C568="","",IFERROR(IF(INDEX(Deals!$J$2:$J$355,MATCH($C568,Deals!$A$2:$A$355,0))=0,"",INDEX(Deals!$J$2:$J$355,MATCH($C568,Deals!$A$2:$A$355,0))),""))</f>
        <v/>
      </c>
      <c r="N568" s="24">
        <f>IF($L568="",DATE(1900,1,1),$L568)</f>
        <v/>
      </c>
      <c r="O568" s="24">
        <f>IF($M568="",DATE(2100,12,31),$M568)</f>
        <v/>
      </c>
      <c r="P568" s="16" t="inlineStr"/>
      <c r="Q568" s="16" t="inlineStr"/>
      <c r="R568" s="29">
        <f>IF($C568="","",IFERROR(IF(INDEX(Deals!$U$2:$U$355,MATCH($C568,Deals!$A$2:$A$355,0))=0,"",INDEX(Deals!$U$2:$U$355,MATCH($C568,Deals!$A$2:$A$355,0))),""))</f>
        <v/>
      </c>
      <c r="S568" s="22">
        <f>IFERROR(IF($U568="",1,INDEX(Deals!$V$2:$V$355,MATCH($C568,Deals!$A$2:$A$355,0))),1)</f>
        <v/>
      </c>
      <c r="T568" s="22">
        <f>IFERROR(IF($U568="",1,INDEX(Deals!$W$2:$W$355,MATCH($C568,Deals!$A$2:$A$355,0))),1)</f>
        <v/>
      </c>
      <c r="U568" s="31">
        <f>IF($C568="","",IFERROR(IF(INDEX(Deals!$Y$2:$Y$355,MATCH($C568,Deals!$A$2:$A$355,0))=0,"",INDEX(Deals!$Y$2:$Y$355,MATCH($C568,Deals!$A$2:$A$355,0))),""))</f>
        <v/>
      </c>
      <c r="V568" s="24">
        <f>IF($U568="",DATE(1900,1,1),$N568)</f>
        <v/>
      </c>
      <c r="W568" s="24">
        <f>IF($U568="",DATE(2100,12,31),$U568)</f>
        <v/>
      </c>
      <c r="X568" s="20">
        <f>IF($U568="",$K568,$K568*$S568)</f>
        <v/>
      </c>
      <c r="Y568" s="24">
        <f>IF($U568="",DATE(2100,12,31),$U568+1)</f>
        <v/>
      </c>
      <c r="Z568" s="24">
        <f>IF($U568="",DATE(1900,1,1),$O568)</f>
        <v/>
      </c>
      <c r="AA568" s="20">
        <f>IF($U568="",0,$K568*$T568)</f>
        <v/>
      </c>
    </row>
    <row r="569">
      <c r="A569" s="15" t="inlineStr">
        <is>
          <t>Dorian</t>
        </is>
      </c>
      <c r="B569" s="29">
        <f>IF($A569="","",IFERROR(INDEX(Roster!$B$2:$B$40,MATCH($A569,Roster!$A$2:$A$40,0)),"?"))</f>
        <v/>
      </c>
      <c r="C569" s="15" t="inlineStr">
        <is>
          <t>Pine_1</t>
        </is>
      </c>
      <c r="D569" s="29">
        <f>IF($C569="","",IFERROR(IF(INDEX(Deals!$C$2:$C$355,MATCH($C569,Deals!$A$2:$A$355,0))=0,"",INDEX(Deals!$C$2:$C$355,MATCH($C569,Deals!$A$2:$A$355,0))),"?"))</f>
        <v/>
      </c>
      <c r="E569" s="29">
        <f>IF($C569="","",IFERROR(INDEX(Deals!$F$2:$F$355,MATCH($C569,Deals!$A$2:$A$355,0)),"?"))</f>
        <v/>
      </c>
      <c r="F569" s="15" t="inlineStr">
        <is>
          <t>Renewable Specialist</t>
        </is>
      </c>
      <c r="G569" s="15" t="inlineStr">
        <is>
          <t>Active</t>
        </is>
      </c>
      <c r="H569" s="27" t="n"/>
      <c r="I569" s="20">
        <f>IF(OR($A569="",$G569&lt;&gt;"Active"),0,IF($H569&lt;&gt;"",$H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</f>
        <v/>
      </c>
      <c r="J569" s="23">
        <f>IF($C569="",0,IFERROR(INDEX(Deals!$H$2:$H$355,MATCH($C569,Deals!$A$2:$A$355,0)),0))</f>
        <v/>
      </c>
      <c r="K569" s="20">
        <f>IF(Settings!$B$4="Yes",$I569*$J569,$I569)</f>
        <v/>
      </c>
      <c r="L569" s="31">
        <f>IF($C569="","",IFERROR(IF(INDEX(Deals!$I$2:$I$355,MATCH($C569,Deals!$A$2:$A$355,0))=0,"",INDEX(Deals!$I$2:$I$355,MATCH($C569,Deals!$A$2:$A$355,0))),""))</f>
        <v/>
      </c>
      <c r="M569" s="31">
        <f>IF($C569="","",IFERROR(IF(INDEX(Deals!$J$2:$J$355,MATCH($C569,Deals!$A$2:$A$355,0))=0,"",INDEX(Deals!$J$2:$J$355,MATCH($C569,Deals!$A$2:$A$355,0))),""))</f>
        <v/>
      </c>
      <c r="N569" s="24">
        <f>IF($L569="",DATE(1900,1,1),$L569)</f>
        <v/>
      </c>
      <c r="O569" s="24">
        <f>IF($M569="",DATE(2100,12,31),$M569)</f>
        <v/>
      </c>
      <c r="P569" s="16" t="inlineStr"/>
      <c r="Q569" s="16" t="inlineStr"/>
      <c r="R569" s="29">
        <f>IF($C569="","",IFERROR(IF(INDEX(Deals!$U$2:$U$355,MATCH($C569,Deals!$A$2:$A$355,0))=0,"",INDEX(Deals!$U$2:$U$355,MATCH($C569,Deals!$A$2:$A$355,0))),""))</f>
        <v/>
      </c>
      <c r="S569" s="22">
        <f>IFERROR(IF($U569="",1,INDEX(Deals!$V$2:$V$355,MATCH($C569,Deals!$A$2:$A$355,0))),1)</f>
        <v/>
      </c>
      <c r="T569" s="22">
        <f>IFERROR(IF($U569="",1,INDEX(Deals!$W$2:$W$355,MATCH($C569,Deals!$A$2:$A$355,0))),1)</f>
        <v/>
      </c>
      <c r="U569" s="31">
        <f>IF($C569="","",IFERROR(IF(INDEX(Deals!$Y$2:$Y$355,MATCH($C569,Deals!$A$2:$A$355,0))=0,"",INDEX(Deals!$Y$2:$Y$355,MATCH($C569,Deals!$A$2:$A$355,0))),""))</f>
        <v/>
      </c>
      <c r="V569" s="24">
        <f>IF($U569="",DATE(1900,1,1),$N569)</f>
        <v/>
      </c>
      <c r="W569" s="24">
        <f>IF($U569="",DATE(2100,12,31),$U569)</f>
        <v/>
      </c>
      <c r="X569" s="20">
        <f>IF($U569="",$K569,$K569*$S569)</f>
        <v/>
      </c>
      <c r="Y569" s="24">
        <f>IF($U569="",DATE(2100,12,31),$U569+1)</f>
        <v/>
      </c>
      <c r="Z569" s="24">
        <f>IF($U569="",DATE(1900,1,1),$O569)</f>
        <v/>
      </c>
      <c r="AA569" s="20">
        <f>IF($U569="",0,$K569*$T569)</f>
        <v/>
      </c>
    </row>
    <row r="570">
      <c r="A570" s="15" t="inlineStr">
        <is>
          <t>Dorian</t>
        </is>
      </c>
      <c r="B570" s="29">
        <f>IF($A570="","",IFERROR(INDEX(Roster!$B$2:$B$40,MATCH($A570,Roster!$A$2:$A$40,0)),"?"))</f>
        <v/>
      </c>
      <c r="C570" s="15" t="inlineStr">
        <is>
          <t>Pivot_3</t>
        </is>
      </c>
      <c r="D570" s="29">
        <f>IF($C570="","",IFERROR(IF(INDEX(Deals!$C$2:$C$355,MATCH($C570,Deals!$A$2:$A$355,0))=0,"",INDEX(Deals!$C$2:$C$355,MATCH($C570,Deals!$A$2:$A$355,0))),"?"))</f>
        <v/>
      </c>
      <c r="E570" s="29">
        <f>IF($C570="","",IFERROR(INDEX(Deals!$F$2:$F$355,MATCH($C570,Deals!$A$2:$A$355,0)),"?"))</f>
        <v/>
      </c>
      <c r="F570" s="15" t="inlineStr">
        <is>
          <t>Renewable Specialist</t>
        </is>
      </c>
      <c r="G570" s="15" t="inlineStr">
        <is>
          <t>Active</t>
        </is>
      </c>
      <c r="H570" s="27" t="n"/>
      <c r="I570" s="20">
        <f>IF(OR($A570="",$G570&lt;&gt;"Active"),0,IF($H570&lt;&gt;"",$H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</f>
        <v/>
      </c>
      <c r="J570" s="23">
        <f>IF($C570="",0,IFERROR(INDEX(Deals!$H$2:$H$355,MATCH($C570,Deals!$A$2:$A$355,0)),0))</f>
        <v/>
      </c>
      <c r="K570" s="20">
        <f>IF(Settings!$B$4="Yes",$I570*$J570,$I570)</f>
        <v/>
      </c>
      <c r="L570" s="31">
        <f>IF($C570="","",IFERROR(IF(INDEX(Deals!$I$2:$I$355,MATCH($C570,Deals!$A$2:$A$355,0))=0,"",INDEX(Deals!$I$2:$I$355,MATCH($C570,Deals!$A$2:$A$355,0))),""))</f>
        <v/>
      </c>
      <c r="M570" s="31">
        <f>IF($C570="","",IFERROR(IF(INDEX(Deals!$J$2:$J$355,MATCH($C570,Deals!$A$2:$A$355,0))=0,"",INDEX(Deals!$J$2:$J$355,MATCH($C570,Deals!$A$2:$A$355,0))),""))</f>
        <v/>
      </c>
      <c r="N570" s="24">
        <f>IF($L570="",DATE(1900,1,1),$L570)</f>
        <v/>
      </c>
      <c r="O570" s="24">
        <f>IF($M570="",DATE(2100,12,31),$M570)</f>
        <v/>
      </c>
      <c r="P570" s="16" t="inlineStr"/>
      <c r="Q570" s="16" t="inlineStr"/>
      <c r="R570" s="29">
        <f>IF($C570="","",IFERROR(IF(INDEX(Deals!$U$2:$U$355,MATCH($C570,Deals!$A$2:$A$355,0))=0,"",INDEX(Deals!$U$2:$U$355,MATCH($C570,Deals!$A$2:$A$355,0))),""))</f>
        <v/>
      </c>
      <c r="S570" s="22">
        <f>IFERROR(IF($U570="",1,INDEX(Deals!$V$2:$V$355,MATCH($C570,Deals!$A$2:$A$355,0))),1)</f>
        <v/>
      </c>
      <c r="T570" s="22">
        <f>IFERROR(IF($U570="",1,INDEX(Deals!$W$2:$W$355,MATCH($C570,Deals!$A$2:$A$355,0))),1)</f>
        <v/>
      </c>
      <c r="U570" s="31">
        <f>IF($C570="","",IFERROR(IF(INDEX(Deals!$Y$2:$Y$355,MATCH($C570,Deals!$A$2:$A$355,0))=0,"",INDEX(Deals!$Y$2:$Y$355,MATCH($C570,Deals!$A$2:$A$355,0))),""))</f>
        <v/>
      </c>
      <c r="V570" s="24">
        <f>IF($U570="",DATE(1900,1,1),$N570)</f>
        <v/>
      </c>
      <c r="W570" s="24">
        <f>IF($U570="",DATE(2100,12,31),$U570)</f>
        <v/>
      </c>
      <c r="X570" s="20">
        <f>IF($U570="",$K570,$K570*$S570)</f>
        <v/>
      </c>
      <c r="Y570" s="24">
        <f>IF($U570="",DATE(2100,12,31),$U570+1)</f>
        <v/>
      </c>
      <c r="Z570" s="24">
        <f>IF($U570="",DATE(1900,1,1),$O570)</f>
        <v/>
      </c>
      <c r="AA570" s="20">
        <f>IF($U570="",0,$K570*$T570)</f>
        <v/>
      </c>
    </row>
    <row r="571">
      <c r="A571" s="15" t="inlineStr">
        <is>
          <t>Dorian</t>
        </is>
      </c>
      <c r="B571" s="29">
        <f>IF($A571="","",IFERROR(INDEX(Roster!$B$2:$B$40,MATCH($A571,Roster!$A$2:$A$40,0)),"?"))</f>
        <v/>
      </c>
      <c r="C571" s="15" t="inlineStr">
        <is>
          <t>Realty_1</t>
        </is>
      </c>
      <c r="D571" s="29">
        <f>IF($C571="","",IFERROR(IF(INDEX(Deals!$C$2:$C$355,MATCH($C571,Deals!$A$2:$A$355,0))=0,"",INDEX(Deals!$C$2:$C$355,MATCH($C571,Deals!$A$2:$A$355,0))),"?"))</f>
        <v/>
      </c>
      <c r="E571" s="29">
        <f>IF($C571="","",IFERROR(INDEX(Deals!$F$2:$F$355,MATCH($C571,Deals!$A$2:$A$355,0)),"?"))</f>
        <v/>
      </c>
      <c r="F571" s="15" t="inlineStr">
        <is>
          <t>Renewable Specialist</t>
        </is>
      </c>
      <c r="G571" s="15" t="inlineStr">
        <is>
          <t>Active</t>
        </is>
      </c>
      <c r="H571" s="27" t="n"/>
      <c r="I571" s="20">
        <f>IF(OR($A571="",$G571&lt;&gt;"Active"),0,IF($H571&lt;&gt;"",$H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</f>
        <v/>
      </c>
      <c r="J571" s="23">
        <f>IF($C571="",0,IFERROR(INDEX(Deals!$H$2:$H$355,MATCH($C571,Deals!$A$2:$A$355,0)),0))</f>
        <v/>
      </c>
      <c r="K571" s="20">
        <f>IF(Settings!$B$4="Yes",$I571*$J571,$I571)</f>
        <v/>
      </c>
      <c r="L571" s="31">
        <f>IF($C571="","",IFERROR(IF(INDEX(Deals!$I$2:$I$355,MATCH($C571,Deals!$A$2:$A$355,0))=0,"",INDEX(Deals!$I$2:$I$355,MATCH($C571,Deals!$A$2:$A$355,0))),""))</f>
        <v/>
      </c>
      <c r="M571" s="31">
        <f>IF($C571="","",IFERROR(IF(INDEX(Deals!$J$2:$J$355,MATCH($C571,Deals!$A$2:$A$355,0))=0,"",INDEX(Deals!$J$2:$J$355,MATCH($C571,Deals!$A$2:$A$355,0))),""))</f>
        <v/>
      </c>
      <c r="N571" s="24">
        <f>IF($L571="",DATE(1900,1,1),$L571)</f>
        <v/>
      </c>
      <c r="O571" s="24">
        <f>IF($M571="",DATE(2100,12,31),$M571)</f>
        <v/>
      </c>
      <c r="P571" s="16" t="inlineStr"/>
      <c r="Q571" s="16" t="inlineStr"/>
      <c r="R571" s="29">
        <f>IF($C571="","",IFERROR(IF(INDEX(Deals!$U$2:$U$355,MATCH($C571,Deals!$A$2:$A$355,0))=0,"",INDEX(Deals!$U$2:$U$355,MATCH($C571,Deals!$A$2:$A$355,0))),""))</f>
        <v/>
      </c>
      <c r="S571" s="22">
        <f>IFERROR(IF($U571="",1,INDEX(Deals!$V$2:$V$355,MATCH($C571,Deals!$A$2:$A$355,0))),1)</f>
        <v/>
      </c>
      <c r="T571" s="22">
        <f>IFERROR(IF($U571="",1,INDEX(Deals!$W$2:$W$355,MATCH($C571,Deals!$A$2:$A$355,0))),1)</f>
        <v/>
      </c>
      <c r="U571" s="31">
        <f>IF($C571="","",IFERROR(IF(INDEX(Deals!$Y$2:$Y$355,MATCH($C571,Deals!$A$2:$A$355,0))=0,"",INDEX(Deals!$Y$2:$Y$355,MATCH($C571,Deals!$A$2:$A$355,0))),""))</f>
        <v/>
      </c>
      <c r="V571" s="24">
        <f>IF($U571="",DATE(1900,1,1),$N571)</f>
        <v/>
      </c>
      <c r="W571" s="24">
        <f>IF($U571="",DATE(2100,12,31),$U571)</f>
        <v/>
      </c>
      <c r="X571" s="20">
        <f>IF($U571="",$K571,$K571*$S571)</f>
        <v/>
      </c>
      <c r="Y571" s="24">
        <f>IF($U571="",DATE(2100,12,31),$U571+1)</f>
        <v/>
      </c>
      <c r="Z571" s="24">
        <f>IF($U571="",DATE(1900,1,1),$O571)</f>
        <v/>
      </c>
      <c r="AA571" s="20">
        <f>IF($U571="",0,$K571*$T571)</f>
        <v/>
      </c>
    </row>
    <row r="572">
      <c r="A572" s="15" t="inlineStr">
        <is>
          <t>Dorian</t>
        </is>
      </c>
      <c r="B572" s="29">
        <f>IF($A572="","",IFERROR(INDEX(Roster!$B$2:$B$40,MATCH($A572,Roster!$A$2:$A$40,0)),"?"))</f>
        <v/>
      </c>
      <c r="C572" s="15" t="inlineStr">
        <is>
          <t>Shika_1</t>
        </is>
      </c>
      <c r="D572" s="29">
        <f>IF($C572="","",IFERROR(IF(INDEX(Deals!$C$2:$C$355,MATCH($C572,Deals!$A$2:$A$355,0))=0,"",INDEX(Deals!$C$2:$C$355,MATCH($C572,Deals!$A$2:$A$355,0))),"?"))</f>
        <v/>
      </c>
      <c r="E572" s="29">
        <f>IF($C572="","",IFERROR(INDEX(Deals!$F$2:$F$355,MATCH($C572,Deals!$A$2:$A$355,0)),"?"))</f>
        <v/>
      </c>
      <c r="F572" s="15" t="inlineStr">
        <is>
          <t>Renewable Specialist</t>
        </is>
      </c>
      <c r="G572" s="15" t="inlineStr">
        <is>
          <t>Active</t>
        </is>
      </c>
      <c r="H572" s="27" t="n"/>
      <c r="I572" s="20">
        <f>IF(OR($A572="",$G572&lt;&gt;"Active"),0,IF($H572&lt;&gt;"",$H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</f>
        <v/>
      </c>
      <c r="J572" s="23">
        <f>IF($C572="",0,IFERROR(INDEX(Deals!$H$2:$H$355,MATCH($C572,Deals!$A$2:$A$355,0)),0))</f>
        <v/>
      </c>
      <c r="K572" s="20">
        <f>IF(Settings!$B$4="Yes",$I572*$J572,$I572)</f>
        <v/>
      </c>
      <c r="L572" s="31">
        <f>IF($C572="","",IFERROR(IF(INDEX(Deals!$I$2:$I$355,MATCH($C572,Deals!$A$2:$A$355,0))=0,"",INDEX(Deals!$I$2:$I$355,MATCH($C572,Deals!$A$2:$A$355,0))),""))</f>
        <v/>
      </c>
      <c r="M572" s="31">
        <f>IF($C572="","",IFERROR(IF(INDEX(Deals!$J$2:$J$355,MATCH($C572,Deals!$A$2:$A$355,0))=0,"",INDEX(Deals!$J$2:$J$355,MATCH($C572,Deals!$A$2:$A$355,0))),""))</f>
        <v/>
      </c>
      <c r="N572" s="24">
        <f>IF($L572="",DATE(1900,1,1),$L572)</f>
        <v/>
      </c>
      <c r="O572" s="24">
        <f>IF($M572="",DATE(2100,12,31),$M572)</f>
        <v/>
      </c>
      <c r="P572" s="16" t="inlineStr"/>
      <c r="Q572" s="16" t="inlineStr"/>
      <c r="R572" s="29">
        <f>IF($C572="","",IFERROR(IF(INDEX(Deals!$U$2:$U$355,MATCH($C572,Deals!$A$2:$A$355,0))=0,"",INDEX(Deals!$U$2:$U$355,MATCH($C572,Deals!$A$2:$A$355,0))),""))</f>
        <v/>
      </c>
      <c r="S572" s="22">
        <f>IFERROR(IF($U572="",1,INDEX(Deals!$V$2:$V$355,MATCH($C572,Deals!$A$2:$A$355,0))),1)</f>
        <v/>
      </c>
      <c r="T572" s="22">
        <f>IFERROR(IF($U572="",1,INDEX(Deals!$W$2:$W$355,MATCH($C572,Deals!$A$2:$A$355,0))),1)</f>
        <v/>
      </c>
      <c r="U572" s="31">
        <f>IF($C572="","",IFERROR(IF(INDEX(Deals!$Y$2:$Y$355,MATCH($C572,Deals!$A$2:$A$355,0))=0,"",INDEX(Deals!$Y$2:$Y$355,MATCH($C572,Deals!$A$2:$A$355,0))),""))</f>
        <v/>
      </c>
      <c r="V572" s="24">
        <f>IF($U572="",DATE(1900,1,1),$N572)</f>
        <v/>
      </c>
      <c r="W572" s="24">
        <f>IF($U572="",DATE(2100,12,31),$U572)</f>
        <v/>
      </c>
      <c r="X572" s="20">
        <f>IF($U572="",$K572,$K572*$S572)</f>
        <v/>
      </c>
      <c r="Y572" s="24">
        <f>IF($U572="",DATE(2100,12,31),$U572+1)</f>
        <v/>
      </c>
      <c r="Z572" s="24">
        <f>IF($U572="",DATE(1900,1,1),$O572)</f>
        <v/>
      </c>
      <c r="AA572" s="20">
        <f>IF($U572="",0,$K572*$T572)</f>
        <v/>
      </c>
    </row>
    <row r="573">
      <c r="A573" s="15" t="inlineStr">
        <is>
          <t>Dorian</t>
        </is>
      </c>
      <c r="B573" s="29">
        <f>IF($A573="","",IFERROR(INDEX(Roster!$B$2:$B$40,MATCH($A573,Roster!$A$2:$A$40,0)),"?"))</f>
        <v/>
      </c>
      <c r="C573" s="15" t="inlineStr">
        <is>
          <t>Sun Pond_1</t>
        </is>
      </c>
      <c r="D573" s="29">
        <f>IF($C573="","",IFERROR(IF(INDEX(Deals!$C$2:$C$355,MATCH($C573,Deals!$A$2:$A$355,0))=0,"",INDEX(Deals!$C$2:$C$355,MATCH($C573,Deals!$A$2:$A$355,0))),"?"))</f>
        <v/>
      </c>
      <c r="E573" s="29">
        <f>IF($C573="","",IFERROR(INDEX(Deals!$F$2:$F$355,MATCH($C573,Deals!$A$2:$A$355,0)),"?"))</f>
        <v/>
      </c>
      <c r="F573" s="15" t="inlineStr">
        <is>
          <t>Renewable Specialist</t>
        </is>
      </c>
      <c r="G573" s="15" t="inlineStr">
        <is>
          <t>Active</t>
        </is>
      </c>
      <c r="H573" s="27" t="n"/>
      <c r="I573" s="20">
        <f>IF(OR($A573="",$G573&lt;&gt;"Active"),0,IF($H573&lt;&gt;"",$H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</f>
        <v/>
      </c>
      <c r="J573" s="23">
        <f>IF($C573="",0,IFERROR(INDEX(Deals!$H$2:$H$355,MATCH($C573,Deals!$A$2:$A$355,0)),0))</f>
        <v/>
      </c>
      <c r="K573" s="20">
        <f>IF(Settings!$B$4="Yes",$I573*$J573,$I573)</f>
        <v/>
      </c>
      <c r="L573" s="31">
        <f>IF($C573="","",IFERROR(IF(INDEX(Deals!$I$2:$I$355,MATCH($C573,Deals!$A$2:$A$355,0))=0,"",INDEX(Deals!$I$2:$I$355,MATCH($C573,Deals!$A$2:$A$355,0))),""))</f>
        <v/>
      </c>
      <c r="M573" s="31">
        <f>IF($C573="","",IFERROR(IF(INDEX(Deals!$J$2:$J$355,MATCH($C573,Deals!$A$2:$A$355,0))=0,"",INDEX(Deals!$J$2:$J$355,MATCH($C573,Deals!$A$2:$A$355,0))),""))</f>
        <v/>
      </c>
      <c r="N573" s="24">
        <f>IF($L573="",DATE(1900,1,1),$L573)</f>
        <v/>
      </c>
      <c r="O573" s="24">
        <f>IF($M573="",DATE(2100,12,31),$M573)</f>
        <v/>
      </c>
      <c r="P573" s="16" t="inlineStr"/>
      <c r="Q573" s="16" t="inlineStr"/>
      <c r="R573" s="29">
        <f>IF($C573="","",IFERROR(IF(INDEX(Deals!$U$2:$U$355,MATCH($C573,Deals!$A$2:$A$355,0))=0,"",INDEX(Deals!$U$2:$U$355,MATCH($C573,Deals!$A$2:$A$355,0))),""))</f>
        <v/>
      </c>
      <c r="S573" s="22">
        <f>IFERROR(IF($U573="",1,INDEX(Deals!$V$2:$V$355,MATCH($C573,Deals!$A$2:$A$355,0))),1)</f>
        <v/>
      </c>
      <c r="T573" s="22">
        <f>IFERROR(IF($U573="",1,INDEX(Deals!$W$2:$W$355,MATCH($C573,Deals!$A$2:$A$355,0))),1)</f>
        <v/>
      </c>
      <c r="U573" s="31">
        <f>IF($C573="","",IFERROR(IF(INDEX(Deals!$Y$2:$Y$355,MATCH($C573,Deals!$A$2:$A$355,0))=0,"",INDEX(Deals!$Y$2:$Y$355,MATCH($C573,Deals!$A$2:$A$355,0))),""))</f>
        <v/>
      </c>
      <c r="V573" s="24">
        <f>IF($U573="",DATE(1900,1,1),$N573)</f>
        <v/>
      </c>
      <c r="W573" s="24">
        <f>IF($U573="",DATE(2100,12,31),$U573)</f>
        <v/>
      </c>
      <c r="X573" s="20">
        <f>IF($U573="",$K573,$K573*$S573)</f>
        <v/>
      </c>
      <c r="Y573" s="24">
        <f>IF($U573="",DATE(2100,12,31),$U573+1)</f>
        <v/>
      </c>
      <c r="Z573" s="24">
        <f>IF($U573="",DATE(1900,1,1),$O573)</f>
        <v/>
      </c>
      <c r="AA573" s="20">
        <f>IF($U573="",0,$K573*$T573)</f>
        <v/>
      </c>
    </row>
    <row r="574">
      <c r="A574" s="15" t="inlineStr">
        <is>
          <t>Dorian</t>
        </is>
      </c>
      <c r="B574" s="29">
        <f>IF($A574="","",IFERROR(INDEX(Roster!$B$2:$B$40,MATCH($A574,Roster!$A$2:$A$40,0)),"?"))</f>
        <v/>
      </c>
      <c r="C574" s="15" t="inlineStr">
        <is>
          <t>Sunshine_4</t>
        </is>
      </c>
      <c r="D574" s="29">
        <f>IF($C574="","",IFERROR(IF(INDEX(Deals!$C$2:$C$355,MATCH($C574,Deals!$A$2:$A$355,0))=0,"",INDEX(Deals!$C$2:$C$355,MATCH($C574,Deals!$A$2:$A$355,0))),"?"))</f>
        <v/>
      </c>
      <c r="E574" s="29">
        <f>IF($C574="","",IFERROR(INDEX(Deals!$F$2:$F$355,MATCH($C574,Deals!$A$2:$A$355,0)),"?"))</f>
        <v/>
      </c>
      <c r="F574" s="15" t="inlineStr">
        <is>
          <t>Renewable Specialist</t>
        </is>
      </c>
      <c r="G574" s="15" t="inlineStr">
        <is>
          <t>Active</t>
        </is>
      </c>
      <c r="H574" s="27" t="n"/>
      <c r="I574" s="20">
        <f>IF(OR($A574="",$G574&lt;&gt;"Active"),0,IF($H574&lt;&gt;"",$H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</f>
        <v/>
      </c>
      <c r="J574" s="23">
        <f>IF($C574="",0,IFERROR(INDEX(Deals!$H$2:$H$355,MATCH($C574,Deals!$A$2:$A$355,0)),0))</f>
        <v/>
      </c>
      <c r="K574" s="20">
        <f>IF(Settings!$B$4="Yes",$I574*$J574,$I574)</f>
        <v/>
      </c>
      <c r="L574" s="31">
        <f>IF($C574="","",IFERROR(IF(INDEX(Deals!$I$2:$I$355,MATCH($C574,Deals!$A$2:$A$355,0))=0,"",INDEX(Deals!$I$2:$I$355,MATCH($C574,Deals!$A$2:$A$355,0))),""))</f>
        <v/>
      </c>
      <c r="M574" s="31">
        <f>IF($C574="","",IFERROR(IF(INDEX(Deals!$J$2:$J$355,MATCH($C574,Deals!$A$2:$A$355,0))=0,"",INDEX(Deals!$J$2:$J$355,MATCH($C574,Deals!$A$2:$A$355,0))),""))</f>
        <v/>
      </c>
      <c r="N574" s="24">
        <f>IF($L574="",DATE(1900,1,1),$L574)</f>
        <v/>
      </c>
      <c r="O574" s="24">
        <f>IF($M574="",DATE(2100,12,31),$M574)</f>
        <v/>
      </c>
      <c r="P574" s="16" t="inlineStr"/>
      <c r="Q574" s="16" t="inlineStr"/>
      <c r="R574" s="29">
        <f>IF($C574="","",IFERROR(IF(INDEX(Deals!$U$2:$U$355,MATCH($C574,Deals!$A$2:$A$355,0))=0,"",INDEX(Deals!$U$2:$U$355,MATCH($C574,Deals!$A$2:$A$355,0))),""))</f>
        <v/>
      </c>
      <c r="S574" s="22">
        <f>IFERROR(IF($U574="",1,INDEX(Deals!$V$2:$V$355,MATCH($C574,Deals!$A$2:$A$355,0))),1)</f>
        <v/>
      </c>
      <c r="T574" s="22">
        <f>IFERROR(IF($U574="",1,INDEX(Deals!$W$2:$W$355,MATCH($C574,Deals!$A$2:$A$355,0))),1)</f>
        <v/>
      </c>
      <c r="U574" s="31">
        <f>IF($C574="","",IFERROR(IF(INDEX(Deals!$Y$2:$Y$355,MATCH($C574,Deals!$A$2:$A$355,0))=0,"",INDEX(Deals!$Y$2:$Y$355,MATCH($C574,Deals!$A$2:$A$355,0))),""))</f>
        <v/>
      </c>
      <c r="V574" s="24">
        <f>IF($U574="",DATE(1900,1,1),$N574)</f>
        <v/>
      </c>
      <c r="W574" s="24">
        <f>IF($U574="",DATE(2100,12,31),$U574)</f>
        <v/>
      </c>
      <c r="X574" s="20">
        <f>IF($U574="",$K574,$K574*$S574)</f>
        <v/>
      </c>
      <c r="Y574" s="24">
        <f>IF($U574="",DATE(2100,12,31),$U574+1)</f>
        <v/>
      </c>
      <c r="Z574" s="24">
        <f>IF($U574="",DATE(1900,1,1),$O574)</f>
        <v/>
      </c>
      <c r="AA574" s="20">
        <f>IF($U574="",0,$K574*$T574)</f>
        <v/>
      </c>
    </row>
    <row r="575">
      <c r="A575" s="15" t="inlineStr">
        <is>
          <t>Dorian</t>
        </is>
      </c>
      <c r="B575" s="29">
        <f>IF($A575="","",IFERROR(INDEX(Roster!$B$2:$B$40,MATCH($A575,Roster!$A$2:$A$40,0)),"?"))</f>
        <v/>
      </c>
      <c r="C575" s="15" t="inlineStr">
        <is>
          <t>Sunzia_3</t>
        </is>
      </c>
      <c r="D575" s="29">
        <f>IF($C575="","",IFERROR(IF(INDEX(Deals!$C$2:$C$355,MATCH($C575,Deals!$A$2:$A$355,0))=0,"",INDEX(Deals!$C$2:$C$355,MATCH($C575,Deals!$A$2:$A$355,0))),"?"))</f>
        <v/>
      </c>
      <c r="E575" s="29">
        <f>IF($C575="","",IFERROR(INDEX(Deals!$F$2:$F$355,MATCH($C575,Deals!$A$2:$A$355,0)),"?"))</f>
        <v/>
      </c>
      <c r="F575" s="15" t="inlineStr">
        <is>
          <t>Renewable Specialist</t>
        </is>
      </c>
      <c r="G575" s="15" t="inlineStr">
        <is>
          <t>Active</t>
        </is>
      </c>
      <c r="H575" s="27" t="n"/>
      <c r="I575" s="20">
        <f>IF(OR($A575="",$G575&lt;&gt;"Active"),0,IF($H575&lt;&gt;"",$H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</f>
        <v/>
      </c>
      <c r="J575" s="23">
        <f>IF($C575="",0,IFERROR(INDEX(Deals!$H$2:$H$355,MATCH($C575,Deals!$A$2:$A$355,0)),0))</f>
        <v/>
      </c>
      <c r="K575" s="20">
        <f>IF(Settings!$B$4="Yes",$I575*$J575,$I575)</f>
        <v/>
      </c>
      <c r="L575" s="31">
        <f>IF($C575="","",IFERROR(IF(INDEX(Deals!$I$2:$I$355,MATCH($C575,Deals!$A$2:$A$355,0))=0,"",INDEX(Deals!$I$2:$I$355,MATCH($C575,Deals!$A$2:$A$355,0))),""))</f>
        <v/>
      </c>
      <c r="M575" s="31">
        <f>IF($C575="","",IFERROR(IF(INDEX(Deals!$J$2:$J$355,MATCH($C575,Deals!$A$2:$A$355,0))=0,"",INDEX(Deals!$J$2:$J$355,MATCH($C575,Deals!$A$2:$A$355,0))),""))</f>
        <v/>
      </c>
      <c r="N575" s="24">
        <f>IF($L575="",DATE(1900,1,1),$L575)</f>
        <v/>
      </c>
      <c r="O575" s="24">
        <f>IF($M575="",DATE(2100,12,31),$M575)</f>
        <v/>
      </c>
      <c r="P575" s="16" t="inlineStr"/>
      <c r="Q575" s="16" t="inlineStr"/>
      <c r="R575" s="29">
        <f>IF($C575="","",IFERROR(IF(INDEX(Deals!$U$2:$U$355,MATCH($C575,Deals!$A$2:$A$355,0))=0,"",INDEX(Deals!$U$2:$U$355,MATCH($C575,Deals!$A$2:$A$355,0))),""))</f>
        <v/>
      </c>
      <c r="S575" s="22">
        <f>IFERROR(IF($U575="",1,INDEX(Deals!$V$2:$V$355,MATCH($C575,Deals!$A$2:$A$355,0))),1)</f>
        <v/>
      </c>
      <c r="T575" s="22">
        <f>IFERROR(IF($U575="",1,INDEX(Deals!$W$2:$W$355,MATCH($C575,Deals!$A$2:$A$355,0))),1)</f>
        <v/>
      </c>
      <c r="U575" s="31">
        <f>IF($C575="","",IFERROR(IF(INDEX(Deals!$Y$2:$Y$355,MATCH($C575,Deals!$A$2:$A$355,0))=0,"",INDEX(Deals!$Y$2:$Y$355,MATCH($C575,Deals!$A$2:$A$355,0))),""))</f>
        <v/>
      </c>
      <c r="V575" s="24">
        <f>IF($U575="",DATE(1900,1,1),$N575)</f>
        <v/>
      </c>
      <c r="W575" s="24">
        <f>IF($U575="",DATE(2100,12,31),$U575)</f>
        <v/>
      </c>
      <c r="X575" s="20">
        <f>IF($U575="",$K575,$K575*$S575)</f>
        <v/>
      </c>
      <c r="Y575" s="24">
        <f>IF($U575="",DATE(2100,12,31),$U575+1)</f>
        <v/>
      </c>
      <c r="Z575" s="24">
        <f>IF($U575="",DATE(1900,1,1),$O575)</f>
        <v/>
      </c>
      <c r="AA575" s="20">
        <f>IF($U575="",0,$K575*$T575)</f>
        <v/>
      </c>
    </row>
    <row r="576">
      <c r="A576" s="15" t="inlineStr">
        <is>
          <t>Dorian</t>
        </is>
      </c>
      <c r="B576" s="29">
        <f>IF($A576="","",IFERROR(INDEX(Roster!$B$2:$B$40,MATCH($A576,Roster!$A$2:$A$40,0)),"?"))</f>
        <v/>
      </c>
      <c r="C576" s="15" t="inlineStr">
        <is>
          <t>Tax_7</t>
        </is>
      </c>
      <c r="D576" s="29">
        <f>IF($C576="","",IFERROR(IF(INDEX(Deals!$C$2:$C$355,MATCH($C576,Deals!$A$2:$A$355,0))=0,"",INDEX(Deals!$C$2:$C$355,MATCH($C576,Deals!$A$2:$A$355,0))),"?"))</f>
        <v/>
      </c>
      <c r="E576" s="29">
        <f>IF($C576="","",IFERROR(INDEX(Deals!$F$2:$F$355,MATCH($C576,Deals!$A$2:$A$355,0)),"?"))</f>
        <v/>
      </c>
      <c r="F576" s="15" t="inlineStr">
        <is>
          <t>Renewable Specialist</t>
        </is>
      </c>
      <c r="G576" s="15" t="inlineStr">
        <is>
          <t>Active</t>
        </is>
      </c>
      <c r="H576" s="27" t="n"/>
      <c r="I576" s="20">
        <f>IF(OR($A576="",$G576&lt;&gt;"Active"),0,IF($H576&lt;&gt;"",$H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</f>
        <v/>
      </c>
      <c r="J576" s="23">
        <f>IF($C576="",0,IFERROR(INDEX(Deals!$H$2:$H$355,MATCH($C576,Deals!$A$2:$A$355,0)),0))</f>
        <v/>
      </c>
      <c r="K576" s="20">
        <f>IF(Settings!$B$4="Yes",$I576*$J576,$I576)</f>
        <v/>
      </c>
      <c r="L576" s="31">
        <f>IF($C576="","",IFERROR(IF(INDEX(Deals!$I$2:$I$355,MATCH($C576,Deals!$A$2:$A$355,0))=0,"",INDEX(Deals!$I$2:$I$355,MATCH($C576,Deals!$A$2:$A$355,0))),""))</f>
        <v/>
      </c>
      <c r="M576" s="31">
        <f>IF($C576="","",IFERROR(IF(INDEX(Deals!$J$2:$J$355,MATCH($C576,Deals!$A$2:$A$355,0))=0,"",INDEX(Deals!$J$2:$J$355,MATCH($C576,Deals!$A$2:$A$355,0))),""))</f>
        <v/>
      </c>
      <c r="N576" s="24">
        <f>IF($L576="",DATE(1900,1,1),$L576)</f>
        <v/>
      </c>
      <c r="O576" s="24">
        <f>IF($M576="",DATE(2100,12,31),$M576)</f>
        <v/>
      </c>
      <c r="P576" s="16" t="inlineStr"/>
      <c r="Q576" s="16" t="inlineStr"/>
      <c r="R576" s="29">
        <f>IF($C576="","",IFERROR(IF(INDEX(Deals!$U$2:$U$355,MATCH($C576,Deals!$A$2:$A$355,0))=0,"",INDEX(Deals!$U$2:$U$355,MATCH($C576,Deals!$A$2:$A$355,0))),""))</f>
        <v/>
      </c>
      <c r="S576" s="22">
        <f>IFERROR(IF($U576="",1,INDEX(Deals!$V$2:$V$355,MATCH($C576,Deals!$A$2:$A$355,0))),1)</f>
        <v/>
      </c>
      <c r="T576" s="22">
        <f>IFERROR(IF($U576="",1,INDEX(Deals!$W$2:$W$355,MATCH($C576,Deals!$A$2:$A$355,0))),1)</f>
        <v/>
      </c>
      <c r="U576" s="31">
        <f>IF($C576="","",IFERROR(IF(INDEX(Deals!$Y$2:$Y$355,MATCH($C576,Deals!$A$2:$A$355,0))=0,"",INDEX(Deals!$Y$2:$Y$355,MATCH($C576,Deals!$A$2:$A$355,0))),""))</f>
        <v/>
      </c>
      <c r="V576" s="24">
        <f>IF($U576="",DATE(1900,1,1),$N576)</f>
        <v/>
      </c>
      <c r="W576" s="24">
        <f>IF($U576="",DATE(2100,12,31),$U576)</f>
        <v/>
      </c>
      <c r="X576" s="20">
        <f>IF($U576="",$K576,$K576*$S576)</f>
        <v/>
      </c>
      <c r="Y576" s="24">
        <f>IF($U576="",DATE(2100,12,31),$U576+1)</f>
        <v/>
      </c>
      <c r="Z576" s="24">
        <f>IF($U576="",DATE(1900,1,1),$O576)</f>
        <v/>
      </c>
      <c r="AA576" s="20">
        <f>IF($U576="",0,$K576*$T576)</f>
        <v/>
      </c>
    </row>
    <row r="577">
      <c r="A577" s="15" t="inlineStr">
        <is>
          <t>Dorian</t>
        </is>
      </c>
      <c r="B577" s="29">
        <f>IF($A577="","",IFERROR(INDEX(Roster!$B$2:$B$40,MATCH($A577,Roster!$A$2:$A$40,0)),"?"))</f>
        <v/>
      </c>
      <c r="C577" s="15" t="inlineStr">
        <is>
          <t>Tax_8</t>
        </is>
      </c>
      <c r="D577" s="29">
        <f>IF($C577="","",IFERROR(IF(INDEX(Deals!$C$2:$C$355,MATCH($C577,Deals!$A$2:$A$355,0))=0,"",INDEX(Deals!$C$2:$C$355,MATCH($C577,Deals!$A$2:$A$355,0))),"?"))</f>
        <v/>
      </c>
      <c r="E577" s="29">
        <f>IF($C577="","",IFERROR(INDEX(Deals!$F$2:$F$355,MATCH($C577,Deals!$A$2:$A$355,0)),"?"))</f>
        <v/>
      </c>
      <c r="F577" s="15" t="inlineStr">
        <is>
          <t>Renewable Specialist</t>
        </is>
      </c>
      <c r="G577" s="15" t="inlineStr">
        <is>
          <t>Active</t>
        </is>
      </c>
      <c r="H577" s="27" t="n"/>
      <c r="I577" s="20">
        <f>IF(OR($A577="",$G577&lt;&gt;"Active"),0,IF($H577&lt;&gt;"",$H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</f>
        <v/>
      </c>
      <c r="J577" s="23">
        <f>IF($C577="",0,IFERROR(INDEX(Deals!$H$2:$H$355,MATCH($C577,Deals!$A$2:$A$355,0)),0))</f>
        <v/>
      </c>
      <c r="K577" s="20">
        <f>IF(Settings!$B$4="Yes",$I577*$J577,$I577)</f>
        <v/>
      </c>
      <c r="L577" s="31">
        <f>IF($C577="","",IFERROR(IF(INDEX(Deals!$I$2:$I$355,MATCH($C577,Deals!$A$2:$A$355,0))=0,"",INDEX(Deals!$I$2:$I$355,MATCH($C577,Deals!$A$2:$A$355,0))),""))</f>
        <v/>
      </c>
      <c r="M577" s="31">
        <f>IF($C577="","",IFERROR(IF(INDEX(Deals!$J$2:$J$355,MATCH($C577,Deals!$A$2:$A$355,0))=0,"",INDEX(Deals!$J$2:$J$355,MATCH($C577,Deals!$A$2:$A$355,0))),""))</f>
        <v/>
      </c>
      <c r="N577" s="24">
        <f>IF($L577="",DATE(1900,1,1),$L577)</f>
        <v/>
      </c>
      <c r="O577" s="24">
        <f>IF($M577="",DATE(2100,12,31),$M577)</f>
        <v/>
      </c>
      <c r="P577" s="16" t="inlineStr"/>
      <c r="Q577" s="16" t="inlineStr"/>
      <c r="R577" s="29">
        <f>IF($C577="","",IFERROR(IF(INDEX(Deals!$U$2:$U$355,MATCH($C577,Deals!$A$2:$A$355,0))=0,"",INDEX(Deals!$U$2:$U$355,MATCH($C577,Deals!$A$2:$A$355,0))),""))</f>
        <v/>
      </c>
      <c r="S577" s="22">
        <f>IFERROR(IF($U577="",1,INDEX(Deals!$V$2:$V$355,MATCH($C577,Deals!$A$2:$A$355,0))),1)</f>
        <v/>
      </c>
      <c r="T577" s="22">
        <f>IFERROR(IF($U577="",1,INDEX(Deals!$W$2:$W$355,MATCH($C577,Deals!$A$2:$A$355,0))),1)</f>
        <v/>
      </c>
      <c r="U577" s="31">
        <f>IF($C577="","",IFERROR(IF(INDEX(Deals!$Y$2:$Y$355,MATCH($C577,Deals!$A$2:$A$355,0))=0,"",INDEX(Deals!$Y$2:$Y$355,MATCH($C577,Deals!$A$2:$A$355,0))),""))</f>
        <v/>
      </c>
      <c r="V577" s="24">
        <f>IF($U577="",DATE(1900,1,1),$N577)</f>
        <v/>
      </c>
      <c r="W577" s="24">
        <f>IF($U577="",DATE(2100,12,31),$U577)</f>
        <v/>
      </c>
      <c r="X577" s="20">
        <f>IF($U577="",$K577,$K577*$S577)</f>
        <v/>
      </c>
      <c r="Y577" s="24">
        <f>IF($U577="",DATE(2100,12,31),$U577+1)</f>
        <v/>
      </c>
      <c r="Z577" s="24">
        <f>IF($U577="",DATE(1900,1,1),$O577)</f>
        <v/>
      </c>
      <c r="AA577" s="20">
        <f>IF($U577="",0,$K577*$T577)</f>
        <v/>
      </c>
    </row>
    <row r="578">
      <c r="A578" s="15" t="inlineStr">
        <is>
          <t>Dorian</t>
        </is>
      </c>
      <c r="B578" s="29">
        <f>IF($A578="","",IFERROR(INDEX(Roster!$B$2:$B$40,MATCH($A578,Roster!$A$2:$A$40,0)),"?"))</f>
        <v/>
      </c>
      <c r="C578" s="15" t="inlineStr">
        <is>
          <t>TEP Tax_1</t>
        </is>
      </c>
      <c r="D578" s="29">
        <f>IF($C578="","",IFERROR(IF(INDEX(Deals!$C$2:$C$355,MATCH($C578,Deals!$A$2:$A$355,0))=0,"",INDEX(Deals!$C$2:$C$355,MATCH($C578,Deals!$A$2:$A$355,0))),"?"))</f>
        <v/>
      </c>
      <c r="E578" s="29">
        <f>IF($C578="","",IFERROR(INDEX(Deals!$F$2:$F$355,MATCH($C578,Deals!$A$2:$A$355,0)),"?"))</f>
        <v/>
      </c>
      <c r="F578" s="15" t="inlineStr">
        <is>
          <t>Renewable Specialist</t>
        </is>
      </c>
      <c r="G578" s="15" t="inlineStr">
        <is>
          <t>Active</t>
        </is>
      </c>
      <c r="H578" s="27" t="n"/>
      <c r="I578" s="20">
        <f>IF(OR($A578="",$G578&lt;&gt;"Active"),0,IF($H578&lt;&gt;"",$H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</f>
        <v/>
      </c>
      <c r="J578" s="23">
        <f>IF($C578="",0,IFERROR(INDEX(Deals!$H$2:$H$355,MATCH($C578,Deals!$A$2:$A$355,0)),0))</f>
        <v/>
      </c>
      <c r="K578" s="20">
        <f>IF(Settings!$B$4="Yes",$I578*$J578,$I578)</f>
        <v/>
      </c>
      <c r="L578" s="31">
        <f>IF($C578="","",IFERROR(IF(INDEX(Deals!$I$2:$I$355,MATCH($C578,Deals!$A$2:$A$355,0))=0,"",INDEX(Deals!$I$2:$I$355,MATCH($C578,Deals!$A$2:$A$355,0))),""))</f>
        <v/>
      </c>
      <c r="M578" s="31">
        <f>IF($C578="","",IFERROR(IF(INDEX(Deals!$J$2:$J$355,MATCH($C578,Deals!$A$2:$A$355,0))=0,"",INDEX(Deals!$J$2:$J$355,MATCH($C578,Deals!$A$2:$A$355,0))),""))</f>
        <v/>
      </c>
      <c r="N578" s="24">
        <f>IF($L578="",DATE(1900,1,1),$L578)</f>
        <v/>
      </c>
      <c r="O578" s="24">
        <f>IF($M578="",DATE(2100,12,31),$M578)</f>
        <v/>
      </c>
      <c r="P578" s="16" t="inlineStr"/>
      <c r="Q578" s="16" t="inlineStr"/>
      <c r="R578" s="29">
        <f>IF($C578="","",IFERROR(IF(INDEX(Deals!$U$2:$U$355,MATCH($C578,Deals!$A$2:$A$355,0))=0,"",INDEX(Deals!$U$2:$U$355,MATCH($C578,Deals!$A$2:$A$355,0))),""))</f>
        <v/>
      </c>
      <c r="S578" s="22">
        <f>IFERROR(IF($U578="",1,INDEX(Deals!$V$2:$V$355,MATCH($C578,Deals!$A$2:$A$355,0))),1)</f>
        <v/>
      </c>
      <c r="T578" s="22">
        <f>IFERROR(IF($U578="",1,INDEX(Deals!$W$2:$W$355,MATCH($C578,Deals!$A$2:$A$355,0))),1)</f>
        <v/>
      </c>
      <c r="U578" s="31">
        <f>IF($C578="","",IFERROR(IF(INDEX(Deals!$Y$2:$Y$355,MATCH($C578,Deals!$A$2:$A$355,0))=0,"",INDEX(Deals!$Y$2:$Y$355,MATCH($C578,Deals!$A$2:$A$355,0))),""))</f>
        <v/>
      </c>
      <c r="V578" s="24">
        <f>IF($U578="",DATE(1900,1,1),$N578)</f>
        <v/>
      </c>
      <c r="W578" s="24">
        <f>IF($U578="",DATE(2100,12,31),$U578)</f>
        <v/>
      </c>
      <c r="X578" s="20">
        <f>IF($U578="",$K578,$K578*$S578)</f>
        <v/>
      </c>
      <c r="Y578" s="24">
        <f>IF($U578="",DATE(2100,12,31),$U578+1)</f>
        <v/>
      </c>
      <c r="Z578" s="24">
        <f>IF($U578="",DATE(1900,1,1),$O578)</f>
        <v/>
      </c>
      <c r="AA578" s="20">
        <f>IF($U578="",0,$K578*$T578)</f>
        <v/>
      </c>
    </row>
    <row r="579">
      <c r="A579" s="15" t="inlineStr">
        <is>
          <t>Dorian</t>
        </is>
      </c>
      <c r="B579" s="29">
        <f>IF($A579="","",IFERROR(INDEX(Roster!$B$2:$B$40,MATCH($A579,Roster!$A$2:$A$40,0)),"?"))</f>
        <v/>
      </c>
      <c r="C579" s="15" t="inlineStr">
        <is>
          <t>Upstream_3</t>
        </is>
      </c>
      <c r="D579" s="29">
        <f>IF($C579="","",IFERROR(IF(INDEX(Deals!$C$2:$C$355,MATCH($C579,Deals!$A$2:$A$355,0))=0,"",INDEX(Deals!$C$2:$C$355,MATCH($C579,Deals!$A$2:$A$355,0))),"?"))</f>
        <v/>
      </c>
      <c r="E579" s="29">
        <f>IF($C579="","",IFERROR(INDEX(Deals!$F$2:$F$355,MATCH($C579,Deals!$A$2:$A$355,0)),"?"))</f>
        <v/>
      </c>
      <c r="F579" s="15" t="inlineStr">
        <is>
          <t>Renewable Specialist</t>
        </is>
      </c>
      <c r="G579" s="15" t="inlineStr">
        <is>
          <t>Active</t>
        </is>
      </c>
      <c r="H579" s="27" t="n"/>
      <c r="I579" s="20">
        <f>IF(OR($A579="",$G579&lt;&gt;"Active"),0,IF($H579&lt;&gt;"",$H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</f>
        <v/>
      </c>
      <c r="J579" s="23">
        <f>IF($C579="",0,IFERROR(INDEX(Deals!$H$2:$H$355,MATCH($C579,Deals!$A$2:$A$355,0)),0))</f>
        <v/>
      </c>
      <c r="K579" s="20">
        <f>IF(Settings!$B$4="Yes",$I579*$J579,$I579)</f>
        <v/>
      </c>
      <c r="L579" s="31">
        <f>IF($C579="","",IFERROR(IF(INDEX(Deals!$I$2:$I$355,MATCH($C579,Deals!$A$2:$A$355,0))=0,"",INDEX(Deals!$I$2:$I$355,MATCH($C579,Deals!$A$2:$A$355,0))),""))</f>
        <v/>
      </c>
      <c r="M579" s="31">
        <f>IF($C579="","",IFERROR(IF(INDEX(Deals!$J$2:$J$355,MATCH($C579,Deals!$A$2:$A$355,0))=0,"",INDEX(Deals!$J$2:$J$355,MATCH($C579,Deals!$A$2:$A$355,0))),""))</f>
        <v/>
      </c>
      <c r="N579" s="24">
        <f>IF($L579="",DATE(1900,1,1),$L579)</f>
        <v/>
      </c>
      <c r="O579" s="24">
        <f>IF($M579="",DATE(2100,12,31),$M579)</f>
        <v/>
      </c>
      <c r="P579" s="16" t="inlineStr"/>
      <c r="Q579" s="16" t="inlineStr"/>
      <c r="R579" s="29">
        <f>IF($C579="","",IFERROR(IF(INDEX(Deals!$U$2:$U$355,MATCH($C579,Deals!$A$2:$A$355,0))=0,"",INDEX(Deals!$U$2:$U$355,MATCH($C579,Deals!$A$2:$A$355,0))),""))</f>
        <v/>
      </c>
      <c r="S579" s="22">
        <f>IFERROR(IF($U579="",1,INDEX(Deals!$V$2:$V$355,MATCH($C579,Deals!$A$2:$A$355,0))),1)</f>
        <v/>
      </c>
      <c r="T579" s="22">
        <f>IFERROR(IF($U579="",1,INDEX(Deals!$W$2:$W$355,MATCH($C579,Deals!$A$2:$A$355,0))),1)</f>
        <v/>
      </c>
      <c r="U579" s="31">
        <f>IF($C579="","",IFERROR(IF(INDEX(Deals!$Y$2:$Y$355,MATCH($C579,Deals!$A$2:$A$355,0))=0,"",INDEX(Deals!$Y$2:$Y$355,MATCH($C579,Deals!$A$2:$A$355,0))),""))</f>
        <v/>
      </c>
      <c r="V579" s="24">
        <f>IF($U579="",DATE(1900,1,1),$N579)</f>
        <v/>
      </c>
      <c r="W579" s="24">
        <f>IF($U579="",DATE(2100,12,31),$U579)</f>
        <v/>
      </c>
      <c r="X579" s="20">
        <f>IF($U579="",$K579,$K579*$S579)</f>
        <v/>
      </c>
      <c r="Y579" s="24">
        <f>IF($U579="",DATE(2100,12,31),$U579+1)</f>
        <v/>
      </c>
      <c r="Z579" s="24">
        <f>IF($U579="",DATE(1900,1,1),$O579)</f>
        <v/>
      </c>
      <c r="AA579" s="20">
        <f>IF($U579="",0,$K579*$T579)</f>
        <v/>
      </c>
    </row>
    <row r="580">
      <c r="A580" s="15" t="inlineStr">
        <is>
          <t>Dorian</t>
        </is>
      </c>
      <c r="B580" s="29">
        <f>IF($A580="","",IFERROR(INDEX(Roster!$B$2:$B$40,MATCH($A580,Roster!$A$2:$A$40,0)),"?"))</f>
        <v/>
      </c>
      <c r="C580" s="15" t="inlineStr">
        <is>
          <t>Vega_1</t>
        </is>
      </c>
      <c r="D580" s="29">
        <f>IF($C580="","",IFERROR(IF(INDEX(Deals!$C$2:$C$355,MATCH($C580,Deals!$A$2:$A$355,0))=0,"",INDEX(Deals!$C$2:$C$355,MATCH($C580,Deals!$A$2:$A$355,0))),"?"))</f>
        <v/>
      </c>
      <c r="E580" s="29">
        <f>IF($C580="","",IFERROR(INDEX(Deals!$F$2:$F$355,MATCH($C580,Deals!$A$2:$A$355,0)),"?"))</f>
        <v/>
      </c>
      <c r="F580" s="15" t="inlineStr">
        <is>
          <t>Renewable Specialist</t>
        </is>
      </c>
      <c r="G580" s="15" t="inlineStr">
        <is>
          <t>Active</t>
        </is>
      </c>
      <c r="H580" s="27" t="n"/>
      <c r="I580" s="20">
        <f>IF(OR($A580="",$G580&lt;&gt;"Active"),0,IF($H580&lt;&gt;"",$H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</f>
        <v/>
      </c>
      <c r="J580" s="23">
        <f>IF($C580="",0,IFERROR(INDEX(Deals!$H$2:$H$355,MATCH($C580,Deals!$A$2:$A$355,0)),0))</f>
        <v/>
      </c>
      <c r="K580" s="20">
        <f>IF(Settings!$B$4="Yes",$I580*$J580,$I580)</f>
        <v/>
      </c>
      <c r="L580" s="31">
        <f>IF($C580="","",IFERROR(IF(INDEX(Deals!$I$2:$I$355,MATCH($C580,Deals!$A$2:$A$355,0))=0,"",INDEX(Deals!$I$2:$I$355,MATCH($C580,Deals!$A$2:$A$355,0))),""))</f>
        <v/>
      </c>
      <c r="M580" s="31">
        <f>IF($C580="","",IFERROR(IF(INDEX(Deals!$J$2:$J$355,MATCH($C580,Deals!$A$2:$A$355,0))=0,"",INDEX(Deals!$J$2:$J$355,MATCH($C580,Deals!$A$2:$A$355,0))),""))</f>
        <v/>
      </c>
      <c r="N580" s="24">
        <f>IF($L580="",DATE(1900,1,1),$L580)</f>
        <v/>
      </c>
      <c r="O580" s="24">
        <f>IF($M580="",DATE(2100,12,31),$M580)</f>
        <v/>
      </c>
      <c r="P580" s="16" t="inlineStr"/>
      <c r="Q580" s="16" t="inlineStr"/>
      <c r="R580" s="29">
        <f>IF($C580="","",IFERROR(IF(INDEX(Deals!$U$2:$U$355,MATCH($C580,Deals!$A$2:$A$355,0))=0,"",INDEX(Deals!$U$2:$U$355,MATCH($C580,Deals!$A$2:$A$355,0))),""))</f>
        <v/>
      </c>
      <c r="S580" s="22">
        <f>IFERROR(IF($U580="",1,INDEX(Deals!$V$2:$V$355,MATCH($C580,Deals!$A$2:$A$355,0))),1)</f>
        <v/>
      </c>
      <c r="T580" s="22">
        <f>IFERROR(IF($U580="",1,INDEX(Deals!$W$2:$W$355,MATCH($C580,Deals!$A$2:$A$355,0))),1)</f>
        <v/>
      </c>
      <c r="U580" s="31">
        <f>IF($C580="","",IFERROR(IF(INDEX(Deals!$Y$2:$Y$355,MATCH($C580,Deals!$A$2:$A$355,0))=0,"",INDEX(Deals!$Y$2:$Y$355,MATCH($C580,Deals!$A$2:$A$355,0))),""))</f>
        <v/>
      </c>
      <c r="V580" s="24">
        <f>IF($U580="",DATE(1900,1,1),$N580)</f>
        <v/>
      </c>
      <c r="W580" s="24">
        <f>IF($U580="",DATE(2100,12,31),$U580)</f>
        <v/>
      </c>
      <c r="X580" s="20">
        <f>IF($U580="",$K580,$K580*$S580)</f>
        <v/>
      </c>
      <c r="Y580" s="24">
        <f>IF($U580="",DATE(2100,12,31),$U580+1)</f>
        <v/>
      </c>
      <c r="Z580" s="24">
        <f>IF($U580="",DATE(1900,1,1),$O580)</f>
        <v/>
      </c>
      <c r="AA580" s="20">
        <f>IF($U580="",0,$K580*$T580)</f>
        <v/>
      </c>
    </row>
    <row r="581">
      <c r="A581" s="15" t="inlineStr">
        <is>
          <t>Dorian</t>
        </is>
      </c>
      <c r="B581" s="29">
        <f>IF($A581="","",IFERROR(INDEX(Roster!$B$2:$B$40,MATCH($A581,Roster!$A$2:$A$40,0)),"?"))</f>
        <v/>
      </c>
      <c r="C581" s="15" t="inlineStr">
        <is>
          <t>Whale_3</t>
        </is>
      </c>
      <c r="D581" s="29">
        <f>IF($C581="","",IFERROR(IF(INDEX(Deals!$C$2:$C$355,MATCH($C581,Deals!$A$2:$A$355,0))=0,"",INDEX(Deals!$C$2:$C$355,MATCH($C581,Deals!$A$2:$A$355,0))),"?"))</f>
        <v/>
      </c>
      <c r="E581" s="29">
        <f>IF($C581="","",IFERROR(INDEX(Deals!$F$2:$F$355,MATCH($C581,Deals!$A$2:$A$355,0)),"?"))</f>
        <v/>
      </c>
      <c r="F581" s="15" t="inlineStr">
        <is>
          <t>Renewable Specialist</t>
        </is>
      </c>
      <c r="G581" s="15" t="inlineStr">
        <is>
          <t>Active</t>
        </is>
      </c>
      <c r="H581" s="27" t="n"/>
      <c r="I581" s="20">
        <f>IF(OR($A581="",$G581&lt;&gt;"Active"),0,IF($H581&lt;&gt;"",$H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</f>
        <v/>
      </c>
      <c r="J581" s="23">
        <f>IF($C581="",0,IFERROR(INDEX(Deals!$H$2:$H$355,MATCH($C581,Deals!$A$2:$A$355,0)),0))</f>
        <v/>
      </c>
      <c r="K581" s="20">
        <f>IF(Settings!$B$4="Yes",$I581*$J581,$I581)</f>
        <v/>
      </c>
      <c r="L581" s="31">
        <f>IF($C581="","",IFERROR(IF(INDEX(Deals!$I$2:$I$355,MATCH($C581,Deals!$A$2:$A$355,0))=0,"",INDEX(Deals!$I$2:$I$355,MATCH($C581,Deals!$A$2:$A$355,0))),""))</f>
        <v/>
      </c>
      <c r="M581" s="31">
        <f>IF($C581="","",IFERROR(IF(INDEX(Deals!$J$2:$J$355,MATCH($C581,Deals!$A$2:$A$355,0))=0,"",INDEX(Deals!$J$2:$J$355,MATCH($C581,Deals!$A$2:$A$355,0))),""))</f>
        <v/>
      </c>
      <c r="N581" s="24">
        <f>IF($L581="",DATE(1900,1,1),$L581)</f>
        <v/>
      </c>
      <c r="O581" s="24">
        <f>IF($M581="",DATE(2100,12,31),$M581)</f>
        <v/>
      </c>
      <c r="P581" s="16" t="inlineStr"/>
      <c r="Q581" s="16" t="inlineStr"/>
      <c r="R581" s="29">
        <f>IF($C581="","",IFERROR(IF(INDEX(Deals!$U$2:$U$355,MATCH($C581,Deals!$A$2:$A$355,0))=0,"",INDEX(Deals!$U$2:$U$355,MATCH($C581,Deals!$A$2:$A$355,0))),""))</f>
        <v/>
      </c>
      <c r="S581" s="22">
        <f>IFERROR(IF($U581="",1,INDEX(Deals!$V$2:$V$355,MATCH($C581,Deals!$A$2:$A$355,0))),1)</f>
        <v/>
      </c>
      <c r="T581" s="22">
        <f>IFERROR(IF($U581="",1,INDEX(Deals!$W$2:$W$355,MATCH($C581,Deals!$A$2:$A$355,0))),1)</f>
        <v/>
      </c>
      <c r="U581" s="31">
        <f>IF($C581="","",IFERROR(IF(INDEX(Deals!$Y$2:$Y$355,MATCH($C581,Deals!$A$2:$A$355,0))=0,"",INDEX(Deals!$Y$2:$Y$355,MATCH($C581,Deals!$A$2:$A$355,0))),""))</f>
        <v/>
      </c>
      <c r="V581" s="24">
        <f>IF($U581="",DATE(1900,1,1),$N581)</f>
        <v/>
      </c>
      <c r="W581" s="24">
        <f>IF($U581="",DATE(2100,12,31),$U581)</f>
        <v/>
      </c>
      <c r="X581" s="20">
        <f>IF($U581="",$K581,$K581*$S581)</f>
        <v/>
      </c>
      <c r="Y581" s="24">
        <f>IF($U581="",DATE(2100,12,31),$U581+1)</f>
        <v/>
      </c>
      <c r="Z581" s="24">
        <f>IF($U581="",DATE(1900,1,1),$O581)</f>
        <v/>
      </c>
      <c r="AA581" s="20">
        <f>IF($U581="",0,$K581*$T581)</f>
        <v/>
      </c>
    </row>
    <row r="582">
      <c r="A582" s="15" t="inlineStr">
        <is>
          <t>Dorian</t>
        </is>
      </c>
      <c r="B582" s="29">
        <f>IF($A582="","",IFERROR(INDEX(Roster!$B$2:$B$40,MATCH($A582,Roster!$A$2:$A$40,0)),"?"))</f>
        <v/>
      </c>
      <c r="C582" s="15" t="inlineStr">
        <is>
          <t>Zora_1</t>
        </is>
      </c>
      <c r="D582" s="29">
        <f>IF($C582="","",IFERROR(IF(INDEX(Deals!$C$2:$C$355,MATCH($C582,Deals!$A$2:$A$355,0))=0,"",INDEX(Deals!$C$2:$C$355,MATCH($C582,Deals!$A$2:$A$355,0))),"?"))</f>
        <v/>
      </c>
      <c r="E582" s="29">
        <f>IF($C582="","",IFERROR(INDEX(Deals!$F$2:$F$355,MATCH($C582,Deals!$A$2:$A$355,0)),"?"))</f>
        <v/>
      </c>
      <c r="F582" s="15" t="inlineStr">
        <is>
          <t>Renewable Specialist</t>
        </is>
      </c>
      <c r="G582" s="15" t="inlineStr">
        <is>
          <t>Active</t>
        </is>
      </c>
      <c r="H582" s="27" t="n"/>
      <c r="I582" s="20">
        <f>IF(OR($A582="",$G582&lt;&gt;"Active"),0,IF($H582&lt;&gt;"",$H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</f>
        <v/>
      </c>
      <c r="J582" s="23">
        <f>IF($C582="",0,IFERROR(INDEX(Deals!$H$2:$H$355,MATCH($C582,Deals!$A$2:$A$355,0)),0))</f>
        <v/>
      </c>
      <c r="K582" s="20">
        <f>IF(Settings!$B$4="Yes",$I582*$J582,$I582)</f>
        <v/>
      </c>
      <c r="L582" s="31">
        <f>IF($C582="","",IFERROR(IF(INDEX(Deals!$I$2:$I$355,MATCH($C582,Deals!$A$2:$A$355,0))=0,"",INDEX(Deals!$I$2:$I$355,MATCH($C582,Deals!$A$2:$A$355,0))),""))</f>
        <v/>
      </c>
      <c r="M582" s="31">
        <f>IF($C582="","",IFERROR(IF(INDEX(Deals!$J$2:$J$355,MATCH($C582,Deals!$A$2:$A$355,0))=0,"",INDEX(Deals!$J$2:$J$355,MATCH($C582,Deals!$A$2:$A$355,0))),""))</f>
        <v/>
      </c>
      <c r="N582" s="24">
        <f>IF($L582="",DATE(1900,1,1),$L582)</f>
        <v/>
      </c>
      <c r="O582" s="24">
        <f>IF($M582="",DATE(2100,12,31),$M582)</f>
        <v/>
      </c>
      <c r="P582" s="16" t="inlineStr"/>
      <c r="Q582" s="16" t="inlineStr"/>
      <c r="R582" s="29">
        <f>IF($C582="","",IFERROR(IF(INDEX(Deals!$U$2:$U$355,MATCH($C582,Deals!$A$2:$A$355,0))=0,"",INDEX(Deals!$U$2:$U$355,MATCH($C582,Deals!$A$2:$A$355,0))),""))</f>
        <v/>
      </c>
      <c r="S582" s="22">
        <f>IFERROR(IF($U582="",1,INDEX(Deals!$V$2:$V$355,MATCH($C582,Deals!$A$2:$A$355,0))),1)</f>
        <v/>
      </c>
      <c r="T582" s="22">
        <f>IFERROR(IF($U582="",1,INDEX(Deals!$W$2:$W$355,MATCH($C582,Deals!$A$2:$A$355,0))),1)</f>
        <v/>
      </c>
      <c r="U582" s="31">
        <f>IF($C582="","",IFERROR(IF(INDEX(Deals!$Y$2:$Y$355,MATCH($C582,Deals!$A$2:$A$355,0))=0,"",INDEX(Deals!$Y$2:$Y$355,MATCH($C582,Deals!$A$2:$A$355,0))),""))</f>
        <v/>
      </c>
      <c r="V582" s="24">
        <f>IF($U582="",DATE(1900,1,1),$N582)</f>
        <v/>
      </c>
      <c r="W582" s="24">
        <f>IF($U582="",DATE(2100,12,31),$U582)</f>
        <v/>
      </c>
      <c r="X582" s="20">
        <f>IF($U582="",$K582,$K582*$S582)</f>
        <v/>
      </c>
      <c r="Y582" s="24">
        <f>IF($U582="",DATE(2100,12,31),$U582+1)</f>
        <v/>
      </c>
      <c r="Z582" s="24">
        <f>IF($U582="",DATE(1900,1,1),$O582)</f>
        <v/>
      </c>
      <c r="AA582" s="20">
        <f>IF($U582="",0,$K582*$T582)</f>
        <v/>
      </c>
    </row>
    <row r="583">
      <c r="A583" s="15" t="inlineStr">
        <is>
          <t>Yiyi</t>
        </is>
      </c>
      <c r="B583" s="29">
        <f>IF($A583="","",IFERROR(INDEX(Roster!$B$2:$B$40,MATCH($A583,Roster!$A$2:$A$40,0)),"?"))</f>
        <v/>
      </c>
      <c r="C583" s="15" t="inlineStr">
        <is>
          <t>80/20 Assistance_1</t>
        </is>
      </c>
      <c r="D583" s="29">
        <f>IF($C583="","",IFERROR(IF(INDEX(Deals!$C$2:$C$355,MATCH($C583,Deals!$A$2:$A$355,0))=0,"",INDEX(Deals!$C$2:$C$355,MATCH($C583,Deals!$A$2:$A$355,0))),"?"))</f>
        <v/>
      </c>
      <c r="E583" s="29">
        <f>IF($C583="","",IFERROR(INDEX(Deals!$F$2:$F$355,MATCH($C583,Deals!$A$2:$A$355,0)),"?"))</f>
        <v/>
      </c>
      <c r="F583" s="15" t="inlineStr">
        <is>
          <t>Renewable Specialist</t>
        </is>
      </c>
      <c r="G583" s="15" t="inlineStr">
        <is>
          <t>Active</t>
        </is>
      </c>
      <c r="H583" s="27" t="n"/>
      <c r="I583" s="20">
        <f>IF(OR($A583="",$G583&lt;&gt;"Active"),0,IF($H583&lt;&gt;"",$H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</f>
        <v/>
      </c>
      <c r="J583" s="23">
        <f>IF($C583="",0,IFERROR(INDEX(Deals!$H$2:$H$355,MATCH($C583,Deals!$A$2:$A$355,0)),0))</f>
        <v/>
      </c>
      <c r="K583" s="20">
        <f>IF(Settings!$B$4="Yes",$I583*$J583,$I583)</f>
        <v/>
      </c>
      <c r="L583" s="31">
        <f>IF($C583="","",IFERROR(IF(INDEX(Deals!$I$2:$I$355,MATCH($C583,Deals!$A$2:$A$355,0))=0,"",INDEX(Deals!$I$2:$I$355,MATCH($C583,Deals!$A$2:$A$355,0))),""))</f>
        <v/>
      </c>
      <c r="M583" s="31">
        <f>IF($C583="","",IFERROR(IF(INDEX(Deals!$J$2:$J$355,MATCH($C583,Deals!$A$2:$A$355,0))=0,"",INDEX(Deals!$J$2:$J$355,MATCH($C583,Deals!$A$2:$A$355,0))),""))</f>
        <v/>
      </c>
      <c r="N583" s="24">
        <f>IF($L583="",DATE(1900,1,1),$L583)</f>
        <v/>
      </c>
      <c r="O583" s="24">
        <f>IF($M583="",DATE(2100,12,31),$M583)</f>
        <v/>
      </c>
      <c r="P583" s="16" t="inlineStr"/>
      <c r="Q583" s="16" t="inlineStr"/>
      <c r="R583" s="29">
        <f>IF($C583="","",IFERROR(IF(INDEX(Deals!$U$2:$U$355,MATCH($C583,Deals!$A$2:$A$355,0))=0,"",INDEX(Deals!$U$2:$U$355,MATCH($C583,Deals!$A$2:$A$355,0))),""))</f>
        <v/>
      </c>
      <c r="S583" s="22">
        <f>IFERROR(IF($U583="",1,INDEX(Deals!$V$2:$V$355,MATCH($C583,Deals!$A$2:$A$355,0))),1)</f>
        <v/>
      </c>
      <c r="T583" s="22">
        <f>IFERROR(IF($U583="",1,INDEX(Deals!$W$2:$W$355,MATCH($C583,Deals!$A$2:$A$355,0))),1)</f>
        <v/>
      </c>
      <c r="U583" s="31">
        <f>IF($C583="","",IFERROR(IF(INDEX(Deals!$Y$2:$Y$355,MATCH($C583,Deals!$A$2:$A$355,0))=0,"",INDEX(Deals!$Y$2:$Y$355,MATCH($C583,Deals!$A$2:$A$355,0))),""))</f>
        <v/>
      </c>
      <c r="V583" s="24">
        <f>IF($U583="",DATE(1900,1,1),$N583)</f>
        <v/>
      </c>
      <c r="W583" s="24">
        <f>IF($U583="",DATE(2100,12,31),$U583)</f>
        <v/>
      </c>
      <c r="X583" s="20">
        <f>IF($U583="",$K583,$K583*$S583)</f>
        <v/>
      </c>
      <c r="Y583" s="24">
        <f>IF($U583="",DATE(2100,12,31),$U583+1)</f>
        <v/>
      </c>
      <c r="Z583" s="24">
        <f>IF($U583="",DATE(1900,1,1),$O583)</f>
        <v/>
      </c>
      <c r="AA583" s="20">
        <f>IF($U583="",0,$K583*$T583)</f>
        <v/>
      </c>
    </row>
    <row r="584">
      <c r="A584" s="15" t="inlineStr">
        <is>
          <t>Yiyi</t>
        </is>
      </c>
      <c r="B584" s="29">
        <f>IF($A584="","",IFERROR(INDEX(Roster!$B$2:$B$40,MATCH($A584,Roster!$A$2:$A$40,0)),"?"))</f>
        <v/>
      </c>
      <c r="C584" s="15" t="inlineStr">
        <is>
          <t>Amp_1</t>
        </is>
      </c>
      <c r="D584" s="29">
        <f>IF($C584="","",IFERROR(IF(INDEX(Deals!$C$2:$C$355,MATCH($C584,Deals!$A$2:$A$355,0))=0,"",INDEX(Deals!$C$2:$C$355,MATCH($C584,Deals!$A$2:$A$355,0))),"?"))</f>
        <v/>
      </c>
      <c r="E584" s="29">
        <f>IF($C584="","",IFERROR(INDEX(Deals!$F$2:$F$355,MATCH($C584,Deals!$A$2:$A$355,0)),"?"))</f>
        <v/>
      </c>
      <c r="F584" s="15" t="inlineStr">
        <is>
          <t>Renewable Specialist</t>
        </is>
      </c>
      <c r="G584" s="15" t="inlineStr">
        <is>
          <t>Active</t>
        </is>
      </c>
      <c r="H584" s="27" t="n"/>
      <c r="I584" s="20">
        <f>IF(OR($A584="",$G584&lt;&gt;"Active"),0,IF($H584&lt;&gt;"",$H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</f>
        <v/>
      </c>
      <c r="J584" s="23">
        <f>IF($C584="",0,IFERROR(INDEX(Deals!$H$2:$H$355,MATCH($C584,Deals!$A$2:$A$355,0)),0))</f>
        <v/>
      </c>
      <c r="K584" s="20">
        <f>IF(Settings!$B$4="Yes",$I584*$J584,$I584)</f>
        <v/>
      </c>
      <c r="L584" s="31">
        <f>IF($C584="","",IFERROR(IF(INDEX(Deals!$I$2:$I$355,MATCH($C584,Deals!$A$2:$A$355,0))=0,"",INDEX(Deals!$I$2:$I$355,MATCH($C584,Deals!$A$2:$A$355,0))),""))</f>
        <v/>
      </c>
      <c r="M584" s="31">
        <f>IF($C584="","",IFERROR(IF(INDEX(Deals!$J$2:$J$355,MATCH($C584,Deals!$A$2:$A$355,0))=0,"",INDEX(Deals!$J$2:$J$355,MATCH($C584,Deals!$A$2:$A$355,0))),""))</f>
        <v/>
      </c>
      <c r="N584" s="24">
        <f>IF($L584="",DATE(1900,1,1),$L584)</f>
        <v/>
      </c>
      <c r="O584" s="24">
        <f>IF($M584="",DATE(2100,12,31),$M584)</f>
        <v/>
      </c>
      <c r="P584" s="16" t="inlineStr"/>
      <c r="Q584" s="16" t="inlineStr"/>
      <c r="R584" s="29">
        <f>IF($C584="","",IFERROR(IF(INDEX(Deals!$U$2:$U$355,MATCH($C584,Deals!$A$2:$A$355,0))=0,"",INDEX(Deals!$U$2:$U$355,MATCH($C584,Deals!$A$2:$A$355,0))),""))</f>
        <v/>
      </c>
      <c r="S584" s="22">
        <f>IFERROR(IF($U584="",1,INDEX(Deals!$V$2:$V$355,MATCH($C584,Deals!$A$2:$A$355,0))),1)</f>
        <v/>
      </c>
      <c r="T584" s="22">
        <f>IFERROR(IF($U584="",1,INDEX(Deals!$W$2:$W$355,MATCH($C584,Deals!$A$2:$A$355,0))),1)</f>
        <v/>
      </c>
      <c r="U584" s="31">
        <f>IF($C584="","",IFERROR(IF(INDEX(Deals!$Y$2:$Y$355,MATCH($C584,Deals!$A$2:$A$355,0))=0,"",INDEX(Deals!$Y$2:$Y$355,MATCH($C584,Deals!$A$2:$A$355,0))),""))</f>
        <v/>
      </c>
      <c r="V584" s="24">
        <f>IF($U584="",DATE(1900,1,1),$N584)</f>
        <v/>
      </c>
      <c r="W584" s="24">
        <f>IF($U584="",DATE(2100,12,31),$U584)</f>
        <v/>
      </c>
      <c r="X584" s="20">
        <f>IF($U584="",$K584,$K584*$S584)</f>
        <v/>
      </c>
      <c r="Y584" s="24">
        <f>IF($U584="",DATE(2100,12,31),$U584+1)</f>
        <v/>
      </c>
      <c r="Z584" s="24">
        <f>IF($U584="",DATE(1900,1,1),$O584)</f>
        <v/>
      </c>
      <c r="AA584" s="20">
        <f>IF($U584="",0,$K584*$T584)</f>
        <v/>
      </c>
    </row>
    <row r="585">
      <c r="A585" s="15" t="inlineStr">
        <is>
          <t>Yiyi</t>
        </is>
      </c>
      <c r="B585" s="29">
        <f>IF($A585="","",IFERROR(INDEX(Roster!$B$2:$B$40,MATCH($A585,Roster!$A$2:$A$40,0)),"?"))</f>
        <v/>
      </c>
      <c r="C585" s="15" t="inlineStr">
        <is>
          <t>Big_4</t>
        </is>
      </c>
      <c r="D585" s="29">
        <f>IF($C585="","",IFERROR(IF(INDEX(Deals!$C$2:$C$355,MATCH($C585,Deals!$A$2:$A$355,0))=0,"",INDEX(Deals!$C$2:$C$355,MATCH($C585,Deals!$A$2:$A$355,0))),"?"))</f>
        <v/>
      </c>
      <c r="E585" s="29">
        <f>IF($C585="","",IFERROR(INDEX(Deals!$F$2:$F$355,MATCH($C585,Deals!$A$2:$A$355,0)),"?"))</f>
        <v/>
      </c>
      <c r="F585" s="15" t="inlineStr">
        <is>
          <t>Renewable Specialist</t>
        </is>
      </c>
      <c r="G585" s="15" t="inlineStr">
        <is>
          <t>Active</t>
        </is>
      </c>
      <c r="H585" s="27" t="n"/>
      <c r="I585" s="20">
        <f>IF(OR($A585="",$G585&lt;&gt;"Active"),0,IF($H585&lt;&gt;"",$H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</f>
        <v/>
      </c>
      <c r="J585" s="23">
        <f>IF($C585="",0,IFERROR(INDEX(Deals!$H$2:$H$355,MATCH($C585,Deals!$A$2:$A$355,0)),0))</f>
        <v/>
      </c>
      <c r="K585" s="20">
        <f>IF(Settings!$B$4="Yes",$I585*$J585,$I585)</f>
        <v/>
      </c>
      <c r="L585" s="31">
        <f>IF($C585="","",IFERROR(IF(INDEX(Deals!$I$2:$I$355,MATCH($C585,Deals!$A$2:$A$355,0))=0,"",INDEX(Deals!$I$2:$I$355,MATCH($C585,Deals!$A$2:$A$355,0))),""))</f>
        <v/>
      </c>
      <c r="M585" s="31">
        <f>IF($C585="","",IFERROR(IF(INDEX(Deals!$J$2:$J$355,MATCH($C585,Deals!$A$2:$A$355,0))=0,"",INDEX(Deals!$J$2:$J$355,MATCH($C585,Deals!$A$2:$A$355,0))),""))</f>
        <v/>
      </c>
      <c r="N585" s="24">
        <f>IF($L585="",DATE(1900,1,1),$L585)</f>
        <v/>
      </c>
      <c r="O585" s="24">
        <f>IF($M585="",DATE(2100,12,31),$M585)</f>
        <v/>
      </c>
      <c r="P585" s="16" t="inlineStr"/>
      <c r="Q585" s="16" t="inlineStr"/>
      <c r="R585" s="29">
        <f>IF($C585="","",IFERROR(IF(INDEX(Deals!$U$2:$U$355,MATCH($C585,Deals!$A$2:$A$355,0))=0,"",INDEX(Deals!$U$2:$U$355,MATCH($C585,Deals!$A$2:$A$355,0))),""))</f>
        <v/>
      </c>
      <c r="S585" s="22">
        <f>IFERROR(IF($U585="",1,INDEX(Deals!$V$2:$V$355,MATCH($C585,Deals!$A$2:$A$355,0))),1)</f>
        <v/>
      </c>
      <c r="T585" s="22">
        <f>IFERROR(IF($U585="",1,INDEX(Deals!$W$2:$W$355,MATCH($C585,Deals!$A$2:$A$355,0))),1)</f>
        <v/>
      </c>
      <c r="U585" s="31">
        <f>IF($C585="","",IFERROR(IF(INDEX(Deals!$Y$2:$Y$355,MATCH($C585,Deals!$A$2:$A$355,0))=0,"",INDEX(Deals!$Y$2:$Y$355,MATCH($C585,Deals!$A$2:$A$355,0))),""))</f>
        <v/>
      </c>
      <c r="V585" s="24">
        <f>IF($U585="",DATE(1900,1,1),$N585)</f>
        <v/>
      </c>
      <c r="W585" s="24">
        <f>IF($U585="",DATE(2100,12,31),$U585)</f>
        <v/>
      </c>
      <c r="X585" s="20">
        <f>IF($U585="",$K585,$K585*$S585)</f>
        <v/>
      </c>
      <c r="Y585" s="24">
        <f>IF($U585="",DATE(2100,12,31),$U585+1)</f>
        <v/>
      </c>
      <c r="Z585" s="24">
        <f>IF($U585="",DATE(1900,1,1),$O585)</f>
        <v/>
      </c>
      <c r="AA585" s="20">
        <f>IF($U585="",0,$K585*$T585)</f>
        <v/>
      </c>
    </row>
    <row r="586">
      <c r="A586" s="15" t="inlineStr">
        <is>
          <t>Yiyi</t>
        </is>
      </c>
      <c r="B586" s="29">
        <f>IF($A586="","",IFERROR(INDEX(Roster!$B$2:$B$40,MATCH($A586,Roster!$A$2:$A$40,0)),"?"))</f>
        <v/>
      </c>
      <c r="C586" s="15" t="inlineStr">
        <is>
          <t>Biochar_1</t>
        </is>
      </c>
      <c r="D586" s="29">
        <f>IF($C586="","",IFERROR(IF(INDEX(Deals!$C$2:$C$355,MATCH($C586,Deals!$A$2:$A$355,0))=0,"",INDEX(Deals!$C$2:$C$355,MATCH($C586,Deals!$A$2:$A$355,0))),"?"))</f>
        <v/>
      </c>
      <c r="E586" s="29">
        <f>IF($C586="","",IFERROR(INDEX(Deals!$F$2:$F$355,MATCH($C586,Deals!$A$2:$A$355,0)),"?"))</f>
        <v/>
      </c>
      <c r="F586" s="15" t="inlineStr">
        <is>
          <t>Renewable Specialist</t>
        </is>
      </c>
      <c r="G586" s="15" t="inlineStr">
        <is>
          <t>Active</t>
        </is>
      </c>
      <c r="H586" s="27" t="n"/>
      <c r="I586" s="20">
        <f>IF(OR($A586="",$G586&lt;&gt;"Active"),0,IF($H586&lt;&gt;"",$H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</f>
        <v/>
      </c>
      <c r="J586" s="23">
        <f>IF($C586="",0,IFERROR(INDEX(Deals!$H$2:$H$355,MATCH($C586,Deals!$A$2:$A$355,0)),0))</f>
        <v/>
      </c>
      <c r="K586" s="20">
        <f>IF(Settings!$B$4="Yes",$I586*$J586,$I586)</f>
        <v/>
      </c>
      <c r="L586" s="31">
        <f>IF($C586="","",IFERROR(IF(INDEX(Deals!$I$2:$I$355,MATCH($C586,Deals!$A$2:$A$355,0))=0,"",INDEX(Deals!$I$2:$I$355,MATCH($C586,Deals!$A$2:$A$355,0))),""))</f>
        <v/>
      </c>
      <c r="M586" s="31">
        <f>IF($C586="","",IFERROR(IF(INDEX(Deals!$J$2:$J$355,MATCH($C586,Deals!$A$2:$A$355,0))=0,"",INDEX(Deals!$J$2:$J$355,MATCH($C586,Deals!$A$2:$A$355,0))),""))</f>
        <v/>
      </c>
      <c r="N586" s="24">
        <f>IF($L586="",DATE(1900,1,1),$L586)</f>
        <v/>
      </c>
      <c r="O586" s="24">
        <f>IF($M586="",DATE(2100,12,31),$M586)</f>
        <v/>
      </c>
      <c r="P586" s="16" t="inlineStr"/>
      <c r="Q586" s="16" t="inlineStr"/>
      <c r="R586" s="29">
        <f>IF($C586="","",IFERROR(IF(INDEX(Deals!$U$2:$U$355,MATCH($C586,Deals!$A$2:$A$355,0))=0,"",INDEX(Deals!$U$2:$U$355,MATCH($C586,Deals!$A$2:$A$355,0))),""))</f>
        <v/>
      </c>
      <c r="S586" s="22">
        <f>IFERROR(IF($U586="",1,INDEX(Deals!$V$2:$V$355,MATCH($C586,Deals!$A$2:$A$355,0))),1)</f>
        <v/>
      </c>
      <c r="T586" s="22">
        <f>IFERROR(IF($U586="",1,INDEX(Deals!$W$2:$W$355,MATCH($C586,Deals!$A$2:$A$355,0))),1)</f>
        <v/>
      </c>
      <c r="U586" s="31">
        <f>IF($C586="","",IFERROR(IF(INDEX(Deals!$Y$2:$Y$355,MATCH($C586,Deals!$A$2:$A$355,0))=0,"",INDEX(Deals!$Y$2:$Y$355,MATCH($C586,Deals!$A$2:$A$355,0))),""))</f>
        <v/>
      </c>
      <c r="V586" s="24">
        <f>IF($U586="",DATE(1900,1,1),$N586)</f>
        <v/>
      </c>
      <c r="W586" s="24">
        <f>IF($U586="",DATE(2100,12,31),$U586)</f>
        <v/>
      </c>
      <c r="X586" s="20">
        <f>IF($U586="",$K586,$K586*$S586)</f>
        <v/>
      </c>
      <c r="Y586" s="24">
        <f>IF($U586="",DATE(2100,12,31),$U586+1)</f>
        <v/>
      </c>
      <c r="Z586" s="24">
        <f>IF($U586="",DATE(1900,1,1),$O586)</f>
        <v/>
      </c>
      <c r="AA586" s="20">
        <f>IF($U586="",0,$K586*$T586)</f>
        <v/>
      </c>
    </row>
    <row r="587">
      <c r="A587" s="15" t="inlineStr">
        <is>
          <t>Yiyi</t>
        </is>
      </c>
      <c r="B587" s="29">
        <f>IF($A587="","",IFERROR(INDEX(Roster!$B$2:$B$40,MATCH($A587,Roster!$A$2:$A$40,0)),"?"))</f>
        <v/>
      </c>
      <c r="C587" s="15" t="inlineStr">
        <is>
          <t>Bishopville_1</t>
        </is>
      </c>
      <c r="D587" s="29">
        <f>IF($C587="","",IFERROR(IF(INDEX(Deals!$C$2:$C$355,MATCH($C587,Deals!$A$2:$A$355,0))=0,"",INDEX(Deals!$C$2:$C$355,MATCH($C587,Deals!$A$2:$A$355,0))),"?"))</f>
        <v/>
      </c>
      <c r="E587" s="29">
        <f>IF($C587="","",IFERROR(INDEX(Deals!$F$2:$F$355,MATCH($C587,Deals!$A$2:$A$355,0)),"?"))</f>
        <v/>
      </c>
      <c r="F587" s="15" t="inlineStr">
        <is>
          <t>Renewable Specialist</t>
        </is>
      </c>
      <c r="G587" s="15" t="inlineStr">
        <is>
          <t>Active</t>
        </is>
      </c>
      <c r="H587" s="27" t="n"/>
      <c r="I587" s="20">
        <f>IF(OR($A587="",$G587&lt;&gt;"Active"),0,IF($H587&lt;&gt;"",$H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</f>
        <v/>
      </c>
      <c r="J587" s="23">
        <f>IF($C587="",0,IFERROR(INDEX(Deals!$H$2:$H$355,MATCH($C587,Deals!$A$2:$A$355,0)),0))</f>
        <v/>
      </c>
      <c r="K587" s="20">
        <f>IF(Settings!$B$4="Yes",$I587*$J587,$I587)</f>
        <v/>
      </c>
      <c r="L587" s="31">
        <f>IF($C587="","",IFERROR(IF(INDEX(Deals!$I$2:$I$355,MATCH($C587,Deals!$A$2:$A$355,0))=0,"",INDEX(Deals!$I$2:$I$355,MATCH($C587,Deals!$A$2:$A$355,0))),""))</f>
        <v/>
      </c>
      <c r="M587" s="31">
        <f>IF($C587="","",IFERROR(IF(INDEX(Deals!$J$2:$J$355,MATCH($C587,Deals!$A$2:$A$355,0))=0,"",INDEX(Deals!$J$2:$J$355,MATCH($C587,Deals!$A$2:$A$355,0))),""))</f>
        <v/>
      </c>
      <c r="N587" s="24">
        <f>IF($L587="",DATE(1900,1,1),$L587)</f>
        <v/>
      </c>
      <c r="O587" s="24">
        <f>IF($M587="",DATE(2100,12,31),$M587)</f>
        <v/>
      </c>
      <c r="P587" s="16" t="inlineStr"/>
      <c r="Q587" s="16" t="inlineStr"/>
      <c r="R587" s="29">
        <f>IF($C587="","",IFERROR(IF(INDEX(Deals!$U$2:$U$355,MATCH($C587,Deals!$A$2:$A$355,0))=0,"",INDEX(Deals!$U$2:$U$355,MATCH($C587,Deals!$A$2:$A$355,0))),""))</f>
        <v/>
      </c>
      <c r="S587" s="22">
        <f>IFERROR(IF($U587="",1,INDEX(Deals!$V$2:$V$355,MATCH($C587,Deals!$A$2:$A$355,0))),1)</f>
        <v/>
      </c>
      <c r="T587" s="22">
        <f>IFERROR(IF($U587="",1,INDEX(Deals!$W$2:$W$355,MATCH($C587,Deals!$A$2:$A$355,0))),1)</f>
        <v/>
      </c>
      <c r="U587" s="31">
        <f>IF($C587="","",IFERROR(IF(INDEX(Deals!$Y$2:$Y$355,MATCH($C587,Deals!$A$2:$A$355,0))=0,"",INDEX(Deals!$Y$2:$Y$355,MATCH($C587,Deals!$A$2:$A$355,0))),""))</f>
        <v/>
      </c>
      <c r="V587" s="24">
        <f>IF($U587="",DATE(1900,1,1),$N587)</f>
        <v/>
      </c>
      <c r="W587" s="24">
        <f>IF($U587="",DATE(2100,12,31),$U587)</f>
        <v/>
      </c>
      <c r="X587" s="20">
        <f>IF($U587="",$K587,$K587*$S587)</f>
        <v/>
      </c>
      <c r="Y587" s="24">
        <f>IF($U587="",DATE(2100,12,31),$U587+1)</f>
        <v/>
      </c>
      <c r="Z587" s="24">
        <f>IF($U587="",DATE(1900,1,1),$O587)</f>
        <v/>
      </c>
      <c r="AA587" s="20">
        <f>IF($U587="",0,$K587*$T587)</f>
        <v/>
      </c>
    </row>
    <row r="588">
      <c r="A588" s="15" t="inlineStr">
        <is>
          <t>Yiyi</t>
        </is>
      </c>
      <c r="B588" s="29">
        <f>IF($A588="","",IFERROR(INDEX(Roster!$B$2:$B$40,MATCH($A588,Roster!$A$2:$A$40,0)),"?"))</f>
        <v/>
      </c>
      <c r="C588" s="15" t="inlineStr">
        <is>
          <t>Bocce_2</t>
        </is>
      </c>
      <c r="D588" s="29">
        <f>IF($C588="","",IFERROR(IF(INDEX(Deals!$C$2:$C$355,MATCH($C588,Deals!$A$2:$A$355,0))=0,"",INDEX(Deals!$C$2:$C$355,MATCH($C588,Deals!$A$2:$A$355,0))),"?"))</f>
        <v/>
      </c>
      <c r="E588" s="29">
        <f>IF($C588="","",IFERROR(INDEX(Deals!$F$2:$F$355,MATCH($C588,Deals!$A$2:$A$355,0)),"?"))</f>
        <v/>
      </c>
      <c r="F588" s="15" t="inlineStr">
        <is>
          <t>Renewable Specialist</t>
        </is>
      </c>
      <c r="G588" s="15" t="inlineStr">
        <is>
          <t>Active</t>
        </is>
      </c>
      <c r="H588" s="27" t="n"/>
      <c r="I588" s="20">
        <f>IF(OR($A588="",$G588&lt;&gt;"Active"),0,IF($H588&lt;&gt;"",$H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</f>
        <v/>
      </c>
      <c r="J588" s="23">
        <f>IF($C588="",0,IFERROR(INDEX(Deals!$H$2:$H$355,MATCH($C588,Deals!$A$2:$A$355,0)),0))</f>
        <v/>
      </c>
      <c r="K588" s="20">
        <f>IF(Settings!$B$4="Yes",$I588*$J588,$I588)</f>
        <v/>
      </c>
      <c r="L588" s="31">
        <f>IF($C588="","",IFERROR(IF(INDEX(Deals!$I$2:$I$355,MATCH($C588,Deals!$A$2:$A$355,0))=0,"",INDEX(Deals!$I$2:$I$355,MATCH($C588,Deals!$A$2:$A$355,0))),""))</f>
        <v/>
      </c>
      <c r="M588" s="31">
        <f>IF($C588="","",IFERROR(IF(INDEX(Deals!$J$2:$J$355,MATCH($C588,Deals!$A$2:$A$355,0))=0,"",INDEX(Deals!$J$2:$J$355,MATCH($C588,Deals!$A$2:$A$355,0))),""))</f>
        <v/>
      </c>
      <c r="N588" s="24">
        <f>IF($L588="",DATE(1900,1,1),$L588)</f>
        <v/>
      </c>
      <c r="O588" s="24">
        <f>IF($M588="",DATE(2100,12,31),$M588)</f>
        <v/>
      </c>
      <c r="P588" s="16" t="inlineStr"/>
      <c r="Q588" s="16" t="inlineStr"/>
      <c r="R588" s="29">
        <f>IF($C588="","",IFERROR(IF(INDEX(Deals!$U$2:$U$355,MATCH($C588,Deals!$A$2:$A$355,0))=0,"",INDEX(Deals!$U$2:$U$355,MATCH($C588,Deals!$A$2:$A$355,0))),""))</f>
        <v/>
      </c>
      <c r="S588" s="22">
        <f>IFERROR(IF($U588="",1,INDEX(Deals!$V$2:$V$355,MATCH($C588,Deals!$A$2:$A$355,0))),1)</f>
        <v/>
      </c>
      <c r="T588" s="22">
        <f>IFERROR(IF($U588="",1,INDEX(Deals!$W$2:$W$355,MATCH($C588,Deals!$A$2:$A$355,0))),1)</f>
        <v/>
      </c>
      <c r="U588" s="31">
        <f>IF($C588="","",IFERROR(IF(INDEX(Deals!$Y$2:$Y$355,MATCH($C588,Deals!$A$2:$A$355,0))=0,"",INDEX(Deals!$Y$2:$Y$355,MATCH($C588,Deals!$A$2:$A$355,0))),""))</f>
        <v/>
      </c>
      <c r="V588" s="24">
        <f>IF($U588="",DATE(1900,1,1),$N588)</f>
        <v/>
      </c>
      <c r="W588" s="24">
        <f>IF($U588="",DATE(2100,12,31),$U588)</f>
        <v/>
      </c>
      <c r="X588" s="20">
        <f>IF($U588="",$K588,$K588*$S588)</f>
        <v/>
      </c>
      <c r="Y588" s="24">
        <f>IF($U588="",DATE(2100,12,31),$U588+1)</f>
        <v/>
      </c>
      <c r="Z588" s="24">
        <f>IF($U588="",DATE(1900,1,1),$O588)</f>
        <v/>
      </c>
      <c r="AA588" s="20">
        <f>IF($U588="",0,$K588*$T588)</f>
        <v/>
      </c>
    </row>
    <row r="589">
      <c r="A589" s="15" t="inlineStr">
        <is>
          <t>Yiyi</t>
        </is>
      </c>
      <c r="B589" s="29">
        <f>IF($A589="","",IFERROR(INDEX(Roster!$B$2:$B$40,MATCH($A589,Roster!$A$2:$A$40,0)),"?"))</f>
        <v/>
      </c>
      <c r="C589" s="15" t="inlineStr">
        <is>
          <t>Brass_2</t>
        </is>
      </c>
      <c r="D589" s="29">
        <f>IF($C589="","",IFERROR(IF(INDEX(Deals!$C$2:$C$355,MATCH($C589,Deals!$A$2:$A$355,0))=0,"",INDEX(Deals!$C$2:$C$355,MATCH($C589,Deals!$A$2:$A$355,0))),"?"))</f>
        <v/>
      </c>
      <c r="E589" s="29">
        <f>IF($C589="","",IFERROR(INDEX(Deals!$F$2:$F$355,MATCH($C589,Deals!$A$2:$A$355,0)),"?"))</f>
        <v/>
      </c>
      <c r="F589" s="15" t="inlineStr">
        <is>
          <t>Renewable Specialist</t>
        </is>
      </c>
      <c r="G589" s="15" t="inlineStr">
        <is>
          <t>Active</t>
        </is>
      </c>
      <c r="H589" s="27" t="n"/>
      <c r="I589" s="20">
        <f>IF(OR($A589="",$G589&lt;&gt;"Active"),0,IF($H589&lt;&gt;"",$H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</f>
        <v/>
      </c>
      <c r="J589" s="23">
        <f>IF($C589="",0,IFERROR(INDEX(Deals!$H$2:$H$355,MATCH($C589,Deals!$A$2:$A$355,0)),0))</f>
        <v/>
      </c>
      <c r="K589" s="20">
        <f>IF(Settings!$B$4="Yes",$I589*$J589,$I589)</f>
        <v/>
      </c>
      <c r="L589" s="31">
        <f>IF($C589="","",IFERROR(IF(INDEX(Deals!$I$2:$I$355,MATCH($C589,Deals!$A$2:$A$355,0))=0,"",INDEX(Deals!$I$2:$I$355,MATCH($C589,Deals!$A$2:$A$355,0))),""))</f>
        <v/>
      </c>
      <c r="M589" s="31">
        <f>IF($C589="","",IFERROR(IF(INDEX(Deals!$J$2:$J$355,MATCH($C589,Deals!$A$2:$A$355,0))=0,"",INDEX(Deals!$J$2:$J$355,MATCH($C589,Deals!$A$2:$A$355,0))),""))</f>
        <v/>
      </c>
      <c r="N589" s="24">
        <f>IF($L589="",DATE(1900,1,1),$L589)</f>
        <v/>
      </c>
      <c r="O589" s="24">
        <f>IF($M589="",DATE(2100,12,31),$M589)</f>
        <v/>
      </c>
      <c r="P589" s="16" t="inlineStr"/>
      <c r="Q589" s="16" t="inlineStr"/>
      <c r="R589" s="29">
        <f>IF($C589="","",IFERROR(IF(INDEX(Deals!$U$2:$U$355,MATCH($C589,Deals!$A$2:$A$355,0))=0,"",INDEX(Deals!$U$2:$U$355,MATCH($C589,Deals!$A$2:$A$355,0))),""))</f>
        <v/>
      </c>
      <c r="S589" s="22">
        <f>IFERROR(IF($U589="",1,INDEX(Deals!$V$2:$V$355,MATCH($C589,Deals!$A$2:$A$355,0))),1)</f>
        <v/>
      </c>
      <c r="T589" s="22">
        <f>IFERROR(IF($U589="",1,INDEX(Deals!$W$2:$W$355,MATCH($C589,Deals!$A$2:$A$355,0))),1)</f>
        <v/>
      </c>
      <c r="U589" s="31">
        <f>IF($C589="","",IFERROR(IF(INDEX(Deals!$Y$2:$Y$355,MATCH($C589,Deals!$A$2:$A$355,0))=0,"",INDEX(Deals!$Y$2:$Y$355,MATCH($C589,Deals!$A$2:$A$355,0))),""))</f>
        <v/>
      </c>
      <c r="V589" s="24">
        <f>IF($U589="",DATE(1900,1,1),$N589)</f>
        <v/>
      </c>
      <c r="W589" s="24">
        <f>IF($U589="",DATE(2100,12,31),$U589)</f>
        <v/>
      </c>
      <c r="X589" s="20">
        <f>IF($U589="",$K589,$K589*$S589)</f>
        <v/>
      </c>
      <c r="Y589" s="24">
        <f>IF($U589="",DATE(2100,12,31),$U589+1)</f>
        <v/>
      </c>
      <c r="Z589" s="24">
        <f>IF($U589="",DATE(1900,1,1),$O589)</f>
        <v/>
      </c>
      <c r="AA589" s="20">
        <f>IF($U589="",0,$K589*$T589)</f>
        <v/>
      </c>
    </row>
    <row r="590">
      <c r="A590" s="15" t="inlineStr">
        <is>
          <t>Yiyi</t>
        </is>
      </c>
      <c r="B590" s="29">
        <f>IF($A590="","",IFERROR(INDEX(Roster!$B$2:$B$40,MATCH($A590,Roster!$A$2:$A$40,0)),"?"))</f>
        <v/>
      </c>
      <c r="C590" s="15" t="inlineStr">
        <is>
          <t>Calistoga_1</t>
        </is>
      </c>
      <c r="D590" s="29">
        <f>IF($C590="","",IFERROR(IF(INDEX(Deals!$C$2:$C$355,MATCH($C590,Deals!$A$2:$A$355,0))=0,"",INDEX(Deals!$C$2:$C$355,MATCH($C590,Deals!$A$2:$A$355,0))),"?"))</f>
        <v/>
      </c>
      <c r="E590" s="29">
        <f>IF($C590="","",IFERROR(INDEX(Deals!$F$2:$F$355,MATCH($C590,Deals!$A$2:$A$355,0)),"?"))</f>
        <v/>
      </c>
      <c r="F590" s="15" t="inlineStr">
        <is>
          <t>Renewable Specialist</t>
        </is>
      </c>
      <c r="G590" s="15" t="inlineStr">
        <is>
          <t>Active</t>
        </is>
      </c>
      <c r="H590" s="27" t="n"/>
      <c r="I590" s="20">
        <f>IF(OR($A590="",$G590&lt;&gt;"Active"),0,IF($H590&lt;&gt;"",$H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</f>
        <v/>
      </c>
      <c r="J590" s="23">
        <f>IF($C590="",0,IFERROR(INDEX(Deals!$H$2:$H$355,MATCH($C590,Deals!$A$2:$A$355,0)),0))</f>
        <v/>
      </c>
      <c r="K590" s="20">
        <f>IF(Settings!$B$4="Yes",$I590*$J590,$I590)</f>
        <v/>
      </c>
      <c r="L590" s="31">
        <f>IF($C590="","",IFERROR(IF(INDEX(Deals!$I$2:$I$355,MATCH($C590,Deals!$A$2:$A$355,0))=0,"",INDEX(Deals!$I$2:$I$355,MATCH($C590,Deals!$A$2:$A$355,0))),""))</f>
        <v/>
      </c>
      <c r="M590" s="31">
        <f>IF($C590="","",IFERROR(IF(INDEX(Deals!$J$2:$J$355,MATCH($C590,Deals!$A$2:$A$355,0))=0,"",INDEX(Deals!$J$2:$J$355,MATCH($C590,Deals!$A$2:$A$355,0))),""))</f>
        <v/>
      </c>
      <c r="N590" s="24">
        <f>IF($L590="",DATE(1900,1,1),$L590)</f>
        <v/>
      </c>
      <c r="O590" s="24">
        <f>IF($M590="",DATE(2100,12,31),$M590)</f>
        <v/>
      </c>
      <c r="P590" s="16" t="inlineStr"/>
      <c r="Q590" s="16" t="inlineStr"/>
      <c r="R590" s="29">
        <f>IF($C590="","",IFERROR(IF(INDEX(Deals!$U$2:$U$355,MATCH($C590,Deals!$A$2:$A$355,0))=0,"",INDEX(Deals!$U$2:$U$355,MATCH($C590,Deals!$A$2:$A$355,0))),""))</f>
        <v/>
      </c>
      <c r="S590" s="22">
        <f>IFERROR(IF($U590="",1,INDEX(Deals!$V$2:$V$355,MATCH($C590,Deals!$A$2:$A$355,0))),1)</f>
        <v/>
      </c>
      <c r="T590" s="22">
        <f>IFERROR(IF($U590="",1,INDEX(Deals!$W$2:$W$355,MATCH($C590,Deals!$A$2:$A$355,0))),1)</f>
        <v/>
      </c>
      <c r="U590" s="31">
        <f>IF($C590="","",IFERROR(IF(INDEX(Deals!$Y$2:$Y$355,MATCH($C590,Deals!$A$2:$A$355,0))=0,"",INDEX(Deals!$Y$2:$Y$355,MATCH($C590,Deals!$A$2:$A$355,0))),""))</f>
        <v/>
      </c>
      <c r="V590" s="24">
        <f>IF($U590="",DATE(1900,1,1),$N590)</f>
        <v/>
      </c>
      <c r="W590" s="24">
        <f>IF($U590="",DATE(2100,12,31),$U590)</f>
        <v/>
      </c>
      <c r="X590" s="20">
        <f>IF($U590="",$K590,$K590*$S590)</f>
        <v/>
      </c>
      <c r="Y590" s="24">
        <f>IF($U590="",DATE(2100,12,31),$U590+1)</f>
        <v/>
      </c>
      <c r="Z590" s="24">
        <f>IF($U590="",DATE(1900,1,1),$O590)</f>
        <v/>
      </c>
      <c r="AA590" s="20">
        <f>IF($U590="",0,$K590*$T590)</f>
        <v/>
      </c>
    </row>
    <row r="591">
      <c r="A591" s="15" t="inlineStr">
        <is>
          <t>Yiyi</t>
        </is>
      </c>
      <c r="B591" s="29">
        <f>IF($A591="","",IFERROR(INDEX(Roster!$B$2:$B$40,MATCH($A591,Roster!$A$2:$A$40,0)),"?"))</f>
        <v/>
      </c>
      <c r="C591" s="15" t="inlineStr">
        <is>
          <t>CFlats_1</t>
        </is>
      </c>
      <c r="D591" s="29">
        <f>IF($C591="","",IFERROR(IF(INDEX(Deals!$C$2:$C$355,MATCH($C591,Deals!$A$2:$A$355,0))=0,"",INDEX(Deals!$C$2:$C$355,MATCH($C591,Deals!$A$2:$A$355,0))),"?"))</f>
        <v/>
      </c>
      <c r="E591" s="29">
        <f>IF($C591="","",IFERROR(INDEX(Deals!$F$2:$F$355,MATCH($C591,Deals!$A$2:$A$355,0)),"?"))</f>
        <v/>
      </c>
      <c r="F591" s="15" t="inlineStr">
        <is>
          <t>Renewable Specialist</t>
        </is>
      </c>
      <c r="G591" s="15" t="inlineStr">
        <is>
          <t>Active</t>
        </is>
      </c>
      <c r="H591" s="27" t="n"/>
      <c r="I591" s="20">
        <f>IF(OR($A591="",$G591&lt;&gt;"Active"),0,IF($H591&lt;&gt;"",$H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</f>
        <v/>
      </c>
      <c r="J591" s="23">
        <f>IF($C591="",0,IFERROR(INDEX(Deals!$H$2:$H$355,MATCH($C591,Deals!$A$2:$A$355,0)),0))</f>
        <v/>
      </c>
      <c r="K591" s="20">
        <f>IF(Settings!$B$4="Yes",$I591*$J591,$I591)</f>
        <v/>
      </c>
      <c r="L591" s="31">
        <f>IF($C591="","",IFERROR(IF(INDEX(Deals!$I$2:$I$355,MATCH($C591,Deals!$A$2:$A$355,0))=0,"",INDEX(Deals!$I$2:$I$355,MATCH($C591,Deals!$A$2:$A$355,0))),""))</f>
        <v/>
      </c>
      <c r="M591" s="31">
        <f>IF($C591="","",IFERROR(IF(INDEX(Deals!$J$2:$J$355,MATCH($C591,Deals!$A$2:$A$355,0))=0,"",INDEX(Deals!$J$2:$J$355,MATCH($C591,Deals!$A$2:$A$355,0))),""))</f>
        <v/>
      </c>
      <c r="N591" s="24">
        <f>IF($L591="",DATE(1900,1,1),$L591)</f>
        <v/>
      </c>
      <c r="O591" s="24">
        <f>IF($M591="",DATE(2100,12,31),$M591)</f>
        <v/>
      </c>
      <c r="P591" s="16" t="inlineStr"/>
      <c r="Q591" s="16" t="inlineStr"/>
      <c r="R591" s="29">
        <f>IF($C591="","",IFERROR(IF(INDEX(Deals!$U$2:$U$355,MATCH($C591,Deals!$A$2:$A$355,0))=0,"",INDEX(Deals!$U$2:$U$355,MATCH($C591,Deals!$A$2:$A$355,0))),""))</f>
        <v/>
      </c>
      <c r="S591" s="22">
        <f>IFERROR(IF($U591="",1,INDEX(Deals!$V$2:$V$355,MATCH($C591,Deals!$A$2:$A$355,0))),1)</f>
        <v/>
      </c>
      <c r="T591" s="22">
        <f>IFERROR(IF($U591="",1,INDEX(Deals!$W$2:$W$355,MATCH($C591,Deals!$A$2:$A$355,0))),1)</f>
        <v/>
      </c>
      <c r="U591" s="31">
        <f>IF($C591="","",IFERROR(IF(INDEX(Deals!$Y$2:$Y$355,MATCH($C591,Deals!$A$2:$A$355,0))=0,"",INDEX(Deals!$Y$2:$Y$355,MATCH($C591,Deals!$A$2:$A$355,0))),""))</f>
        <v/>
      </c>
      <c r="V591" s="24">
        <f>IF($U591="",DATE(1900,1,1),$N591)</f>
        <v/>
      </c>
      <c r="W591" s="24">
        <f>IF($U591="",DATE(2100,12,31),$U591)</f>
        <v/>
      </c>
      <c r="X591" s="20">
        <f>IF($U591="",$K591,$K591*$S591)</f>
        <v/>
      </c>
      <c r="Y591" s="24">
        <f>IF($U591="",DATE(2100,12,31),$U591+1)</f>
        <v/>
      </c>
      <c r="Z591" s="24">
        <f>IF($U591="",DATE(1900,1,1),$O591)</f>
        <v/>
      </c>
      <c r="AA591" s="20">
        <f>IF($U591="",0,$K591*$T591)</f>
        <v/>
      </c>
    </row>
    <row r="592">
      <c r="A592" s="15" t="inlineStr">
        <is>
          <t>Yiyi</t>
        </is>
      </c>
      <c r="B592" s="29">
        <f>IF($A592="","",IFERROR(INDEX(Roster!$B$2:$B$40,MATCH($A592,Roster!$A$2:$A$40,0)),"?"))</f>
        <v/>
      </c>
      <c r="C592" s="15" t="inlineStr">
        <is>
          <t>Clenara_1</t>
        </is>
      </c>
      <c r="D592" s="29">
        <f>IF($C592="","",IFERROR(IF(INDEX(Deals!$C$2:$C$355,MATCH($C592,Deals!$A$2:$A$355,0))=0,"",INDEX(Deals!$C$2:$C$355,MATCH($C592,Deals!$A$2:$A$355,0))),"?"))</f>
        <v/>
      </c>
      <c r="E592" s="29">
        <f>IF($C592="","",IFERROR(INDEX(Deals!$F$2:$F$355,MATCH($C592,Deals!$A$2:$A$355,0)),"?"))</f>
        <v/>
      </c>
      <c r="F592" s="15" t="inlineStr">
        <is>
          <t>Renewable Specialist</t>
        </is>
      </c>
      <c r="G592" s="15" t="inlineStr">
        <is>
          <t>Active</t>
        </is>
      </c>
      <c r="H592" s="27" t="n"/>
      <c r="I592" s="20">
        <f>IF(OR($A592="",$G592&lt;&gt;"Active"),0,IF($H592&lt;&gt;"",$H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</f>
        <v/>
      </c>
      <c r="J592" s="23">
        <f>IF($C592="",0,IFERROR(INDEX(Deals!$H$2:$H$355,MATCH($C592,Deals!$A$2:$A$355,0)),0))</f>
        <v/>
      </c>
      <c r="K592" s="20">
        <f>IF(Settings!$B$4="Yes",$I592*$J592,$I592)</f>
        <v/>
      </c>
      <c r="L592" s="31">
        <f>IF($C592="","",IFERROR(IF(INDEX(Deals!$I$2:$I$355,MATCH($C592,Deals!$A$2:$A$355,0))=0,"",INDEX(Deals!$I$2:$I$355,MATCH($C592,Deals!$A$2:$A$355,0))),""))</f>
        <v/>
      </c>
      <c r="M592" s="31">
        <f>IF($C592="","",IFERROR(IF(INDEX(Deals!$J$2:$J$355,MATCH($C592,Deals!$A$2:$A$355,0))=0,"",INDEX(Deals!$J$2:$J$355,MATCH($C592,Deals!$A$2:$A$355,0))),""))</f>
        <v/>
      </c>
      <c r="N592" s="24">
        <f>IF($L592="",DATE(1900,1,1),$L592)</f>
        <v/>
      </c>
      <c r="O592" s="24">
        <f>IF($M592="",DATE(2100,12,31),$M592)</f>
        <v/>
      </c>
      <c r="P592" s="16" t="inlineStr"/>
      <c r="Q592" s="16" t="inlineStr"/>
      <c r="R592" s="29">
        <f>IF($C592="","",IFERROR(IF(INDEX(Deals!$U$2:$U$355,MATCH($C592,Deals!$A$2:$A$355,0))=0,"",INDEX(Deals!$U$2:$U$355,MATCH($C592,Deals!$A$2:$A$355,0))),""))</f>
        <v/>
      </c>
      <c r="S592" s="22">
        <f>IFERROR(IF($U592="",1,INDEX(Deals!$V$2:$V$355,MATCH($C592,Deals!$A$2:$A$355,0))),1)</f>
        <v/>
      </c>
      <c r="T592" s="22">
        <f>IFERROR(IF($U592="",1,INDEX(Deals!$W$2:$W$355,MATCH($C592,Deals!$A$2:$A$355,0))),1)</f>
        <v/>
      </c>
      <c r="U592" s="31">
        <f>IF($C592="","",IFERROR(IF(INDEX(Deals!$Y$2:$Y$355,MATCH($C592,Deals!$A$2:$A$355,0))=0,"",INDEX(Deals!$Y$2:$Y$355,MATCH($C592,Deals!$A$2:$A$355,0))),""))</f>
        <v/>
      </c>
      <c r="V592" s="24">
        <f>IF($U592="",DATE(1900,1,1),$N592)</f>
        <v/>
      </c>
      <c r="W592" s="24">
        <f>IF($U592="",DATE(2100,12,31),$U592)</f>
        <v/>
      </c>
      <c r="X592" s="20">
        <f>IF($U592="",$K592,$K592*$S592)</f>
        <v/>
      </c>
      <c r="Y592" s="24">
        <f>IF($U592="",DATE(2100,12,31),$U592+1)</f>
        <v/>
      </c>
      <c r="Z592" s="24">
        <f>IF($U592="",DATE(1900,1,1),$O592)</f>
        <v/>
      </c>
      <c r="AA592" s="20">
        <f>IF($U592="",0,$K592*$T592)</f>
        <v/>
      </c>
    </row>
    <row r="593">
      <c r="A593" s="15" t="inlineStr">
        <is>
          <t>Yiyi</t>
        </is>
      </c>
      <c r="B593" s="29">
        <f>IF($A593="","",IFERROR(INDEX(Roster!$B$2:$B$40,MATCH($A593,Roster!$A$2:$A$40,0)),"?"))</f>
        <v/>
      </c>
      <c r="C593" s="15" t="inlineStr">
        <is>
          <t>CNX_1</t>
        </is>
      </c>
      <c r="D593" s="29">
        <f>IF($C593="","",IFERROR(IF(INDEX(Deals!$C$2:$C$355,MATCH($C593,Deals!$A$2:$A$355,0))=0,"",INDEX(Deals!$C$2:$C$355,MATCH($C593,Deals!$A$2:$A$355,0))),"?"))</f>
        <v/>
      </c>
      <c r="E593" s="29">
        <f>IF($C593="","",IFERROR(INDEX(Deals!$F$2:$F$355,MATCH($C593,Deals!$A$2:$A$355,0)),"?"))</f>
        <v/>
      </c>
      <c r="F593" s="15" t="inlineStr">
        <is>
          <t>Renewable Specialist</t>
        </is>
      </c>
      <c r="G593" s="15" t="inlineStr">
        <is>
          <t>Active</t>
        </is>
      </c>
      <c r="H593" s="27" t="n"/>
      <c r="I593" s="20">
        <f>IF(OR($A593="",$G593&lt;&gt;"Active"),0,IF($H593&lt;&gt;"",$H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</f>
        <v/>
      </c>
      <c r="J593" s="23">
        <f>IF($C593="",0,IFERROR(INDEX(Deals!$H$2:$H$355,MATCH($C593,Deals!$A$2:$A$355,0)),0))</f>
        <v/>
      </c>
      <c r="K593" s="20">
        <f>IF(Settings!$B$4="Yes",$I593*$J593,$I593)</f>
        <v/>
      </c>
      <c r="L593" s="31">
        <f>IF($C593="","",IFERROR(IF(INDEX(Deals!$I$2:$I$355,MATCH($C593,Deals!$A$2:$A$355,0))=0,"",INDEX(Deals!$I$2:$I$355,MATCH($C593,Deals!$A$2:$A$355,0))),""))</f>
        <v/>
      </c>
      <c r="M593" s="31">
        <f>IF($C593="","",IFERROR(IF(INDEX(Deals!$J$2:$J$355,MATCH($C593,Deals!$A$2:$A$355,0))=0,"",INDEX(Deals!$J$2:$J$355,MATCH($C593,Deals!$A$2:$A$355,0))),""))</f>
        <v/>
      </c>
      <c r="N593" s="24">
        <f>IF($L593="",DATE(1900,1,1),$L593)</f>
        <v/>
      </c>
      <c r="O593" s="24">
        <f>IF($M593="",DATE(2100,12,31),$M593)</f>
        <v/>
      </c>
      <c r="P593" s="16" t="inlineStr"/>
      <c r="Q593" s="16" t="inlineStr"/>
      <c r="R593" s="29">
        <f>IF($C593="","",IFERROR(IF(INDEX(Deals!$U$2:$U$355,MATCH($C593,Deals!$A$2:$A$355,0))=0,"",INDEX(Deals!$U$2:$U$355,MATCH($C593,Deals!$A$2:$A$355,0))),""))</f>
        <v/>
      </c>
      <c r="S593" s="22">
        <f>IFERROR(IF($U593="",1,INDEX(Deals!$V$2:$V$355,MATCH($C593,Deals!$A$2:$A$355,0))),1)</f>
        <v/>
      </c>
      <c r="T593" s="22">
        <f>IFERROR(IF($U593="",1,INDEX(Deals!$W$2:$W$355,MATCH($C593,Deals!$A$2:$A$355,0))),1)</f>
        <v/>
      </c>
      <c r="U593" s="31">
        <f>IF($C593="","",IFERROR(IF(INDEX(Deals!$Y$2:$Y$355,MATCH($C593,Deals!$A$2:$A$355,0))=0,"",INDEX(Deals!$Y$2:$Y$355,MATCH($C593,Deals!$A$2:$A$355,0))),""))</f>
        <v/>
      </c>
      <c r="V593" s="24">
        <f>IF($U593="",DATE(1900,1,1),$N593)</f>
        <v/>
      </c>
      <c r="W593" s="24">
        <f>IF($U593="",DATE(2100,12,31),$U593)</f>
        <v/>
      </c>
      <c r="X593" s="20">
        <f>IF($U593="",$K593,$K593*$S593)</f>
        <v/>
      </c>
      <c r="Y593" s="24">
        <f>IF($U593="",DATE(2100,12,31),$U593+1)</f>
        <v/>
      </c>
      <c r="Z593" s="24">
        <f>IF($U593="",DATE(1900,1,1),$O593)</f>
        <v/>
      </c>
      <c r="AA593" s="20">
        <f>IF($U593="",0,$K593*$T593)</f>
        <v/>
      </c>
    </row>
    <row r="594">
      <c r="A594" s="15" t="inlineStr">
        <is>
          <t>Yiyi</t>
        </is>
      </c>
      <c r="B594" s="29">
        <f>IF($A594="","",IFERROR(INDEX(Roster!$B$2:$B$40,MATCH($A594,Roster!$A$2:$A$40,0)),"?"))</f>
        <v/>
      </c>
      <c r="C594" s="15" t="inlineStr">
        <is>
          <t>Contango_1</t>
        </is>
      </c>
      <c r="D594" s="29">
        <f>IF($C594="","",IFERROR(IF(INDEX(Deals!$C$2:$C$355,MATCH($C594,Deals!$A$2:$A$355,0))=0,"",INDEX(Deals!$C$2:$C$355,MATCH($C594,Deals!$A$2:$A$355,0))),"?"))</f>
        <v/>
      </c>
      <c r="E594" s="29">
        <f>IF($C594="","",IFERROR(INDEX(Deals!$F$2:$F$355,MATCH($C594,Deals!$A$2:$A$355,0)),"?"))</f>
        <v/>
      </c>
      <c r="F594" s="15" t="inlineStr">
        <is>
          <t>Renewable Specialist</t>
        </is>
      </c>
      <c r="G594" s="15" t="inlineStr">
        <is>
          <t>Active</t>
        </is>
      </c>
      <c r="H594" s="27" t="n"/>
      <c r="I594" s="20">
        <f>IF(OR($A594="",$G594&lt;&gt;"Active"),0,IF($H594&lt;&gt;"",$H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</f>
        <v/>
      </c>
      <c r="J594" s="23">
        <f>IF($C594="",0,IFERROR(INDEX(Deals!$H$2:$H$355,MATCH($C594,Deals!$A$2:$A$355,0)),0))</f>
        <v/>
      </c>
      <c r="K594" s="20">
        <f>IF(Settings!$B$4="Yes",$I594*$J594,$I594)</f>
        <v/>
      </c>
      <c r="L594" s="31">
        <f>IF($C594="","",IFERROR(IF(INDEX(Deals!$I$2:$I$355,MATCH($C594,Deals!$A$2:$A$355,0))=0,"",INDEX(Deals!$I$2:$I$355,MATCH($C594,Deals!$A$2:$A$355,0))),""))</f>
        <v/>
      </c>
      <c r="M594" s="31">
        <f>IF($C594="","",IFERROR(IF(INDEX(Deals!$J$2:$J$355,MATCH($C594,Deals!$A$2:$A$355,0))=0,"",INDEX(Deals!$J$2:$J$355,MATCH($C594,Deals!$A$2:$A$355,0))),""))</f>
        <v/>
      </c>
      <c r="N594" s="24">
        <f>IF($L594="",DATE(1900,1,1),$L594)</f>
        <v/>
      </c>
      <c r="O594" s="24">
        <f>IF($M594="",DATE(2100,12,31),$M594)</f>
        <v/>
      </c>
      <c r="P594" s="16" t="inlineStr"/>
      <c r="Q594" s="16" t="inlineStr"/>
      <c r="R594" s="29">
        <f>IF($C594="","",IFERROR(IF(INDEX(Deals!$U$2:$U$355,MATCH($C594,Deals!$A$2:$A$355,0))=0,"",INDEX(Deals!$U$2:$U$355,MATCH($C594,Deals!$A$2:$A$355,0))),""))</f>
        <v/>
      </c>
      <c r="S594" s="22">
        <f>IFERROR(IF($U594="",1,INDEX(Deals!$V$2:$V$355,MATCH($C594,Deals!$A$2:$A$355,0))),1)</f>
        <v/>
      </c>
      <c r="T594" s="22">
        <f>IFERROR(IF($U594="",1,INDEX(Deals!$W$2:$W$355,MATCH($C594,Deals!$A$2:$A$355,0))),1)</f>
        <v/>
      </c>
      <c r="U594" s="31">
        <f>IF($C594="","",IFERROR(IF(INDEX(Deals!$Y$2:$Y$355,MATCH($C594,Deals!$A$2:$A$355,0))=0,"",INDEX(Deals!$Y$2:$Y$355,MATCH($C594,Deals!$A$2:$A$355,0))),""))</f>
        <v/>
      </c>
      <c r="V594" s="24">
        <f>IF($U594="",DATE(1900,1,1),$N594)</f>
        <v/>
      </c>
      <c r="W594" s="24">
        <f>IF($U594="",DATE(2100,12,31),$U594)</f>
        <v/>
      </c>
      <c r="X594" s="20">
        <f>IF($U594="",$K594,$K594*$S594)</f>
        <v/>
      </c>
      <c r="Y594" s="24">
        <f>IF($U594="",DATE(2100,12,31),$U594+1)</f>
        <v/>
      </c>
      <c r="Z594" s="24">
        <f>IF($U594="",DATE(1900,1,1),$O594)</f>
        <v/>
      </c>
      <c r="AA594" s="20">
        <f>IF($U594="",0,$K594*$T594)</f>
        <v/>
      </c>
    </row>
    <row r="595">
      <c r="A595" s="15" t="inlineStr">
        <is>
          <t>Yiyi</t>
        </is>
      </c>
      <c r="B595" s="29">
        <f>IF($A595="","",IFERROR(INDEX(Roster!$B$2:$B$40,MATCH($A595,Roster!$A$2:$A$40,0)),"?"))</f>
        <v/>
      </c>
      <c r="C595" s="15" t="inlineStr">
        <is>
          <t>Cross_1</t>
        </is>
      </c>
      <c r="D595" s="29">
        <f>IF($C595="","",IFERROR(IF(INDEX(Deals!$C$2:$C$355,MATCH($C595,Deals!$A$2:$A$355,0))=0,"",INDEX(Deals!$C$2:$C$355,MATCH($C595,Deals!$A$2:$A$355,0))),"?"))</f>
        <v/>
      </c>
      <c r="E595" s="29">
        <f>IF($C595="","",IFERROR(INDEX(Deals!$F$2:$F$355,MATCH($C595,Deals!$A$2:$A$355,0)),"?"))</f>
        <v/>
      </c>
      <c r="F595" s="15" t="inlineStr">
        <is>
          <t>Renewable Specialist</t>
        </is>
      </c>
      <c r="G595" s="15" t="inlineStr">
        <is>
          <t>Active</t>
        </is>
      </c>
      <c r="H595" s="27" t="n"/>
      <c r="I595" s="20">
        <f>IF(OR($A595="",$G595&lt;&gt;"Active"),0,IF($H595&lt;&gt;"",$H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</f>
        <v/>
      </c>
      <c r="J595" s="23">
        <f>IF($C595="",0,IFERROR(INDEX(Deals!$H$2:$H$355,MATCH($C595,Deals!$A$2:$A$355,0)),0))</f>
        <v/>
      </c>
      <c r="K595" s="20">
        <f>IF(Settings!$B$4="Yes",$I595*$J595,$I595)</f>
        <v/>
      </c>
      <c r="L595" s="31">
        <f>IF($C595="","",IFERROR(IF(INDEX(Deals!$I$2:$I$355,MATCH($C595,Deals!$A$2:$A$355,0))=0,"",INDEX(Deals!$I$2:$I$355,MATCH($C595,Deals!$A$2:$A$355,0))),""))</f>
        <v/>
      </c>
      <c r="M595" s="31">
        <f>IF($C595="","",IFERROR(IF(INDEX(Deals!$J$2:$J$355,MATCH($C595,Deals!$A$2:$A$355,0))=0,"",INDEX(Deals!$J$2:$J$355,MATCH($C595,Deals!$A$2:$A$355,0))),""))</f>
        <v/>
      </c>
      <c r="N595" s="24">
        <f>IF($L595="",DATE(1900,1,1),$L595)</f>
        <v/>
      </c>
      <c r="O595" s="24">
        <f>IF($M595="",DATE(2100,12,31),$M595)</f>
        <v/>
      </c>
      <c r="P595" s="16" t="inlineStr"/>
      <c r="Q595" s="16" t="inlineStr"/>
      <c r="R595" s="29">
        <f>IF($C595="","",IFERROR(IF(INDEX(Deals!$U$2:$U$355,MATCH($C595,Deals!$A$2:$A$355,0))=0,"",INDEX(Deals!$U$2:$U$355,MATCH($C595,Deals!$A$2:$A$355,0))),""))</f>
        <v/>
      </c>
      <c r="S595" s="22">
        <f>IFERROR(IF($U595="",1,INDEX(Deals!$V$2:$V$355,MATCH($C595,Deals!$A$2:$A$355,0))),1)</f>
        <v/>
      </c>
      <c r="T595" s="22">
        <f>IFERROR(IF($U595="",1,INDEX(Deals!$W$2:$W$355,MATCH($C595,Deals!$A$2:$A$355,0))),1)</f>
        <v/>
      </c>
      <c r="U595" s="31">
        <f>IF($C595="","",IFERROR(IF(INDEX(Deals!$Y$2:$Y$355,MATCH($C595,Deals!$A$2:$A$355,0))=0,"",INDEX(Deals!$Y$2:$Y$355,MATCH($C595,Deals!$A$2:$A$355,0))),""))</f>
        <v/>
      </c>
      <c r="V595" s="24">
        <f>IF($U595="",DATE(1900,1,1),$N595)</f>
        <v/>
      </c>
      <c r="W595" s="24">
        <f>IF($U595="",DATE(2100,12,31),$U595)</f>
        <v/>
      </c>
      <c r="X595" s="20">
        <f>IF($U595="",$K595,$K595*$S595)</f>
        <v/>
      </c>
      <c r="Y595" s="24">
        <f>IF($U595="",DATE(2100,12,31),$U595+1)</f>
        <v/>
      </c>
      <c r="Z595" s="24">
        <f>IF($U595="",DATE(1900,1,1),$O595)</f>
        <v/>
      </c>
      <c r="AA595" s="20">
        <f>IF($U595="",0,$K595*$T595)</f>
        <v/>
      </c>
    </row>
    <row r="596">
      <c r="A596" s="15" t="inlineStr">
        <is>
          <t>Yiyi</t>
        </is>
      </c>
      <c r="B596" s="29">
        <f>IF($A596="","",IFERROR(INDEX(Roster!$B$2:$B$40,MATCH($A596,Roster!$A$2:$A$40,0)),"?"))</f>
        <v/>
      </c>
      <c r="C596" s="15" t="inlineStr">
        <is>
          <t>Destiny_1</t>
        </is>
      </c>
      <c r="D596" s="29">
        <f>IF($C596="","",IFERROR(IF(INDEX(Deals!$C$2:$C$355,MATCH($C596,Deals!$A$2:$A$355,0))=0,"",INDEX(Deals!$C$2:$C$355,MATCH($C596,Deals!$A$2:$A$355,0))),"?"))</f>
        <v/>
      </c>
      <c r="E596" s="29">
        <f>IF($C596="","",IFERROR(INDEX(Deals!$F$2:$F$355,MATCH($C596,Deals!$A$2:$A$355,0)),"?"))</f>
        <v/>
      </c>
      <c r="F596" s="15" t="inlineStr">
        <is>
          <t>Renewable Specialist</t>
        </is>
      </c>
      <c r="G596" s="15" t="inlineStr">
        <is>
          <t>Active</t>
        </is>
      </c>
      <c r="H596" s="27" t="n"/>
      <c r="I596" s="20">
        <f>IF(OR($A596="",$G596&lt;&gt;"Active"),0,IF($H596&lt;&gt;"",$H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</f>
        <v/>
      </c>
      <c r="J596" s="23">
        <f>IF($C596="",0,IFERROR(INDEX(Deals!$H$2:$H$355,MATCH($C596,Deals!$A$2:$A$355,0)),0))</f>
        <v/>
      </c>
      <c r="K596" s="20">
        <f>IF(Settings!$B$4="Yes",$I596*$J596,$I596)</f>
        <v/>
      </c>
      <c r="L596" s="31">
        <f>IF($C596="","",IFERROR(IF(INDEX(Deals!$I$2:$I$355,MATCH($C596,Deals!$A$2:$A$355,0))=0,"",INDEX(Deals!$I$2:$I$355,MATCH($C596,Deals!$A$2:$A$355,0))),""))</f>
        <v/>
      </c>
      <c r="M596" s="31">
        <f>IF($C596="","",IFERROR(IF(INDEX(Deals!$J$2:$J$355,MATCH($C596,Deals!$A$2:$A$355,0))=0,"",INDEX(Deals!$J$2:$J$355,MATCH($C596,Deals!$A$2:$A$355,0))),""))</f>
        <v/>
      </c>
      <c r="N596" s="24">
        <f>IF($L596="",DATE(1900,1,1),$L596)</f>
        <v/>
      </c>
      <c r="O596" s="24">
        <f>IF($M596="",DATE(2100,12,31),$M596)</f>
        <v/>
      </c>
      <c r="P596" s="16" t="inlineStr"/>
      <c r="Q596" s="16" t="inlineStr"/>
      <c r="R596" s="29">
        <f>IF($C596="","",IFERROR(IF(INDEX(Deals!$U$2:$U$355,MATCH($C596,Deals!$A$2:$A$355,0))=0,"",INDEX(Deals!$U$2:$U$355,MATCH($C596,Deals!$A$2:$A$355,0))),""))</f>
        <v/>
      </c>
      <c r="S596" s="22">
        <f>IFERROR(IF($U596="",1,INDEX(Deals!$V$2:$V$355,MATCH($C596,Deals!$A$2:$A$355,0))),1)</f>
        <v/>
      </c>
      <c r="T596" s="22">
        <f>IFERROR(IF($U596="",1,INDEX(Deals!$W$2:$W$355,MATCH($C596,Deals!$A$2:$A$355,0))),1)</f>
        <v/>
      </c>
      <c r="U596" s="31">
        <f>IF($C596="","",IFERROR(IF(INDEX(Deals!$Y$2:$Y$355,MATCH($C596,Deals!$A$2:$A$355,0))=0,"",INDEX(Deals!$Y$2:$Y$355,MATCH($C596,Deals!$A$2:$A$355,0))),""))</f>
        <v/>
      </c>
      <c r="V596" s="24">
        <f>IF($U596="",DATE(1900,1,1),$N596)</f>
        <v/>
      </c>
      <c r="W596" s="24">
        <f>IF($U596="",DATE(2100,12,31),$U596)</f>
        <v/>
      </c>
      <c r="X596" s="20">
        <f>IF($U596="",$K596,$K596*$S596)</f>
        <v/>
      </c>
      <c r="Y596" s="24">
        <f>IF($U596="",DATE(2100,12,31),$U596+1)</f>
        <v/>
      </c>
      <c r="Z596" s="24">
        <f>IF($U596="",DATE(1900,1,1),$O596)</f>
        <v/>
      </c>
      <c r="AA596" s="20">
        <f>IF($U596="",0,$K596*$T596)</f>
        <v/>
      </c>
    </row>
    <row r="597">
      <c r="A597" s="15" t="inlineStr">
        <is>
          <t>Yiyi</t>
        </is>
      </c>
      <c r="B597" s="29">
        <f>IF($A597="","",IFERROR(INDEX(Roster!$B$2:$B$40,MATCH($A597,Roster!$A$2:$A$40,0)),"?"))</f>
        <v/>
      </c>
      <c r="C597" s="15" t="inlineStr">
        <is>
          <t>DIF Twister_2</t>
        </is>
      </c>
      <c r="D597" s="29">
        <f>IF($C597="","",IFERROR(IF(INDEX(Deals!$C$2:$C$355,MATCH($C597,Deals!$A$2:$A$355,0))=0,"",INDEX(Deals!$C$2:$C$355,MATCH($C597,Deals!$A$2:$A$355,0))),"?"))</f>
        <v/>
      </c>
      <c r="E597" s="29">
        <f>IF($C597="","",IFERROR(INDEX(Deals!$F$2:$F$355,MATCH($C597,Deals!$A$2:$A$355,0)),"?"))</f>
        <v/>
      </c>
      <c r="F597" s="15" t="inlineStr">
        <is>
          <t>Renewable Specialist</t>
        </is>
      </c>
      <c r="G597" s="15" t="inlineStr">
        <is>
          <t>Active</t>
        </is>
      </c>
      <c r="H597" s="27" t="n"/>
      <c r="I597" s="20">
        <f>IF(OR($A597="",$G597&lt;&gt;"Active"),0,IF($H597&lt;&gt;"",$H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</f>
        <v/>
      </c>
      <c r="J597" s="23">
        <f>IF($C597="",0,IFERROR(INDEX(Deals!$H$2:$H$355,MATCH($C597,Deals!$A$2:$A$355,0)),0))</f>
        <v/>
      </c>
      <c r="K597" s="20">
        <f>IF(Settings!$B$4="Yes",$I597*$J597,$I597)</f>
        <v/>
      </c>
      <c r="L597" s="31">
        <f>IF($C597="","",IFERROR(IF(INDEX(Deals!$I$2:$I$355,MATCH($C597,Deals!$A$2:$A$355,0))=0,"",INDEX(Deals!$I$2:$I$355,MATCH($C597,Deals!$A$2:$A$355,0))),""))</f>
        <v/>
      </c>
      <c r="M597" s="31">
        <f>IF($C597="","",IFERROR(IF(INDEX(Deals!$J$2:$J$355,MATCH($C597,Deals!$A$2:$A$355,0))=0,"",INDEX(Deals!$J$2:$J$355,MATCH($C597,Deals!$A$2:$A$355,0))),""))</f>
        <v/>
      </c>
      <c r="N597" s="24">
        <f>IF($L597="",DATE(1900,1,1),$L597)</f>
        <v/>
      </c>
      <c r="O597" s="24">
        <f>IF($M597="",DATE(2100,12,31),$M597)</f>
        <v/>
      </c>
      <c r="P597" s="16" t="inlineStr"/>
      <c r="Q597" s="16" t="inlineStr"/>
      <c r="R597" s="29">
        <f>IF($C597="","",IFERROR(IF(INDEX(Deals!$U$2:$U$355,MATCH($C597,Deals!$A$2:$A$355,0))=0,"",INDEX(Deals!$U$2:$U$355,MATCH($C597,Deals!$A$2:$A$355,0))),""))</f>
        <v/>
      </c>
      <c r="S597" s="22">
        <f>IFERROR(IF($U597="",1,INDEX(Deals!$V$2:$V$355,MATCH($C597,Deals!$A$2:$A$355,0))),1)</f>
        <v/>
      </c>
      <c r="T597" s="22">
        <f>IFERROR(IF($U597="",1,INDEX(Deals!$W$2:$W$355,MATCH($C597,Deals!$A$2:$A$355,0))),1)</f>
        <v/>
      </c>
      <c r="U597" s="31">
        <f>IF($C597="","",IFERROR(IF(INDEX(Deals!$Y$2:$Y$355,MATCH($C597,Deals!$A$2:$A$355,0))=0,"",INDEX(Deals!$Y$2:$Y$355,MATCH($C597,Deals!$A$2:$A$355,0))),""))</f>
        <v/>
      </c>
      <c r="V597" s="24">
        <f>IF($U597="",DATE(1900,1,1),$N597)</f>
        <v/>
      </c>
      <c r="W597" s="24">
        <f>IF($U597="",DATE(2100,12,31),$U597)</f>
        <v/>
      </c>
      <c r="X597" s="20">
        <f>IF($U597="",$K597,$K597*$S597)</f>
        <v/>
      </c>
      <c r="Y597" s="24">
        <f>IF($U597="",DATE(2100,12,31),$U597+1)</f>
        <v/>
      </c>
      <c r="Z597" s="24">
        <f>IF($U597="",DATE(1900,1,1),$O597)</f>
        <v/>
      </c>
      <c r="AA597" s="20">
        <f>IF($U597="",0,$K597*$T597)</f>
        <v/>
      </c>
    </row>
    <row r="598">
      <c r="A598" s="15" t="inlineStr">
        <is>
          <t>Yiyi</t>
        </is>
      </c>
      <c r="B598" s="29">
        <f>IF($A598="","",IFERROR(INDEX(Roster!$B$2:$B$40,MATCH($A598,Roster!$A$2:$A$40,0)),"?"))</f>
        <v/>
      </c>
      <c r="C598" s="15" t="inlineStr">
        <is>
          <t>Doc_1</t>
        </is>
      </c>
      <c r="D598" s="29">
        <f>IF($C598="","",IFERROR(IF(INDEX(Deals!$C$2:$C$355,MATCH($C598,Deals!$A$2:$A$355,0))=0,"",INDEX(Deals!$C$2:$C$355,MATCH($C598,Deals!$A$2:$A$355,0))),"?"))</f>
        <v/>
      </c>
      <c r="E598" s="29">
        <f>IF($C598="","",IFERROR(INDEX(Deals!$F$2:$F$355,MATCH($C598,Deals!$A$2:$A$355,0)),"?"))</f>
        <v/>
      </c>
      <c r="F598" s="15" t="inlineStr">
        <is>
          <t>Renewable Specialist</t>
        </is>
      </c>
      <c r="G598" s="15" t="inlineStr">
        <is>
          <t>Active</t>
        </is>
      </c>
      <c r="H598" s="27" t="n"/>
      <c r="I598" s="20">
        <f>IF(OR($A598="",$G598&lt;&gt;"Active"),0,IF($H598&lt;&gt;"",$H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</f>
        <v/>
      </c>
      <c r="J598" s="23">
        <f>IF($C598="",0,IFERROR(INDEX(Deals!$H$2:$H$355,MATCH($C598,Deals!$A$2:$A$355,0)),0))</f>
        <v/>
      </c>
      <c r="K598" s="20">
        <f>IF(Settings!$B$4="Yes",$I598*$J598,$I598)</f>
        <v/>
      </c>
      <c r="L598" s="31">
        <f>IF($C598="","",IFERROR(IF(INDEX(Deals!$I$2:$I$355,MATCH($C598,Deals!$A$2:$A$355,0))=0,"",INDEX(Deals!$I$2:$I$355,MATCH($C598,Deals!$A$2:$A$355,0))),""))</f>
        <v/>
      </c>
      <c r="M598" s="31">
        <f>IF($C598="","",IFERROR(IF(INDEX(Deals!$J$2:$J$355,MATCH($C598,Deals!$A$2:$A$355,0))=0,"",INDEX(Deals!$J$2:$J$355,MATCH($C598,Deals!$A$2:$A$355,0))),""))</f>
        <v/>
      </c>
      <c r="N598" s="24">
        <f>IF($L598="",DATE(1900,1,1),$L598)</f>
        <v/>
      </c>
      <c r="O598" s="24">
        <f>IF($M598="",DATE(2100,12,31),$M598)</f>
        <v/>
      </c>
      <c r="P598" s="16" t="inlineStr"/>
      <c r="Q598" s="16" t="inlineStr"/>
      <c r="R598" s="29">
        <f>IF($C598="","",IFERROR(IF(INDEX(Deals!$U$2:$U$355,MATCH($C598,Deals!$A$2:$A$355,0))=0,"",INDEX(Deals!$U$2:$U$355,MATCH($C598,Deals!$A$2:$A$355,0))),""))</f>
        <v/>
      </c>
      <c r="S598" s="22">
        <f>IFERROR(IF($U598="",1,INDEX(Deals!$V$2:$V$355,MATCH($C598,Deals!$A$2:$A$355,0))),1)</f>
        <v/>
      </c>
      <c r="T598" s="22">
        <f>IFERROR(IF($U598="",1,INDEX(Deals!$W$2:$W$355,MATCH($C598,Deals!$A$2:$A$355,0))),1)</f>
        <v/>
      </c>
      <c r="U598" s="31">
        <f>IF($C598="","",IFERROR(IF(INDEX(Deals!$Y$2:$Y$355,MATCH($C598,Deals!$A$2:$A$355,0))=0,"",INDEX(Deals!$Y$2:$Y$355,MATCH($C598,Deals!$A$2:$A$355,0))),""))</f>
        <v/>
      </c>
      <c r="V598" s="24">
        <f>IF($U598="",DATE(1900,1,1),$N598)</f>
        <v/>
      </c>
      <c r="W598" s="24">
        <f>IF($U598="",DATE(2100,12,31),$U598)</f>
        <v/>
      </c>
      <c r="X598" s="20">
        <f>IF($U598="",$K598,$K598*$S598)</f>
        <v/>
      </c>
      <c r="Y598" s="24">
        <f>IF($U598="",DATE(2100,12,31),$U598+1)</f>
        <v/>
      </c>
      <c r="Z598" s="24">
        <f>IF($U598="",DATE(1900,1,1),$O598)</f>
        <v/>
      </c>
      <c r="AA598" s="20">
        <f>IF($U598="",0,$K598*$T598)</f>
        <v/>
      </c>
    </row>
    <row r="599">
      <c r="A599" s="15" t="inlineStr">
        <is>
          <t>Yiyi</t>
        </is>
      </c>
      <c r="B599" s="29">
        <f>IF($A599="","",IFERROR(INDEX(Roster!$B$2:$B$40,MATCH($A599,Roster!$A$2:$A$40,0)),"?"))</f>
        <v/>
      </c>
      <c r="C599" s="15" t="inlineStr">
        <is>
          <t>Eagle_7</t>
        </is>
      </c>
      <c r="D599" s="29">
        <f>IF($C599="","",IFERROR(IF(INDEX(Deals!$C$2:$C$355,MATCH($C599,Deals!$A$2:$A$355,0))=0,"",INDEX(Deals!$C$2:$C$355,MATCH($C599,Deals!$A$2:$A$355,0))),"?"))</f>
        <v/>
      </c>
      <c r="E599" s="29">
        <f>IF($C599="","",IFERROR(INDEX(Deals!$F$2:$F$355,MATCH($C599,Deals!$A$2:$A$355,0)),"?"))</f>
        <v/>
      </c>
      <c r="F599" s="15" t="inlineStr">
        <is>
          <t>Renewable Specialist</t>
        </is>
      </c>
      <c r="G599" s="15" t="inlineStr">
        <is>
          <t>Active</t>
        </is>
      </c>
      <c r="H599" s="27" t="n"/>
      <c r="I599" s="20">
        <f>IF(OR($A599="",$G599&lt;&gt;"Active"),0,IF($H599&lt;&gt;"",$H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</f>
        <v/>
      </c>
      <c r="J599" s="23">
        <f>IF($C599="",0,IFERROR(INDEX(Deals!$H$2:$H$355,MATCH($C599,Deals!$A$2:$A$355,0)),0))</f>
        <v/>
      </c>
      <c r="K599" s="20">
        <f>IF(Settings!$B$4="Yes",$I599*$J599,$I599)</f>
        <v/>
      </c>
      <c r="L599" s="31">
        <f>IF($C599="","",IFERROR(IF(INDEX(Deals!$I$2:$I$355,MATCH($C599,Deals!$A$2:$A$355,0))=0,"",INDEX(Deals!$I$2:$I$355,MATCH($C599,Deals!$A$2:$A$355,0))),""))</f>
        <v/>
      </c>
      <c r="M599" s="31">
        <f>IF($C599="","",IFERROR(IF(INDEX(Deals!$J$2:$J$355,MATCH($C599,Deals!$A$2:$A$355,0))=0,"",INDEX(Deals!$J$2:$J$355,MATCH($C599,Deals!$A$2:$A$355,0))),""))</f>
        <v/>
      </c>
      <c r="N599" s="24">
        <f>IF($L599="",DATE(1900,1,1),$L599)</f>
        <v/>
      </c>
      <c r="O599" s="24">
        <f>IF($M599="",DATE(2100,12,31),$M599)</f>
        <v/>
      </c>
      <c r="P599" s="16" t="inlineStr"/>
      <c r="Q599" s="16" t="inlineStr"/>
      <c r="R599" s="29">
        <f>IF($C599="","",IFERROR(IF(INDEX(Deals!$U$2:$U$355,MATCH($C599,Deals!$A$2:$A$355,0))=0,"",INDEX(Deals!$U$2:$U$355,MATCH($C599,Deals!$A$2:$A$355,0))),""))</f>
        <v/>
      </c>
      <c r="S599" s="22">
        <f>IFERROR(IF($U599="",1,INDEX(Deals!$V$2:$V$355,MATCH($C599,Deals!$A$2:$A$355,0))),1)</f>
        <v/>
      </c>
      <c r="T599" s="22">
        <f>IFERROR(IF($U599="",1,INDEX(Deals!$W$2:$W$355,MATCH($C599,Deals!$A$2:$A$355,0))),1)</f>
        <v/>
      </c>
      <c r="U599" s="31">
        <f>IF($C599="","",IFERROR(IF(INDEX(Deals!$Y$2:$Y$355,MATCH($C599,Deals!$A$2:$A$355,0))=0,"",INDEX(Deals!$Y$2:$Y$355,MATCH($C599,Deals!$A$2:$A$355,0))),""))</f>
        <v/>
      </c>
      <c r="V599" s="24">
        <f>IF($U599="",DATE(1900,1,1),$N599)</f>
        <v/>
      </c>
      <c r="W599" s="24">
        <f>IF($U599="",DATE(2100,12,31),$U599)</f>
        <v/>
      </c>
      <c r="X599" s="20">
        <f>IF($U599="",$K599,$K599*$S599)</f>
        <v/>
      </c>
      <c r="Y599" s="24">
        <f>IF($U599="",DATE(2100,12,31),$U599+1)</f>
        <v/>
      </c>
      <c r="Z599" s="24">
        <f>IF($U599="",DATE(1900,1,1),$O599)</f>
        <v/>
      </c>
      <c r="AA599" s="20">
        <f>IF($U599="",0,$K599*$T599)</f>
        <v/>
      </c>
    </row>
    <row r="600">
      <c r="A600" s="15" t="inlineStr">
        <is>
          <t>Yiyi</t>
        </is>
      </c>
      <c r="B600" s="29">
        <f>IF($A600="","",IFERROR(INDEX(Roster!$B$2:$B$40,MATCH($A600,Roster!$A$2:$A$40,0)),"?"))</f>
        <v/>
      </c>
      <c r="C600" s="15" t="inlineStr">
        <is>
          <t>Earthshine_2</t>
        </is>
      </c>
      <c r="D600" s="29">
        <f>IF($C600="","",IFERROR(IF(INDEX(Deals!$C$2:$C$355,MATCH($C600,Deals!$A$2:$A$355,0))=0,"",INDEX(Deals!$C$2:$C$355,MATCH($C600,Deals!$A$2:$A$355,0))),"?"))</f>
        <v/>
      </c>
      <c r="E600" s="29">
        <f>IF($C600="","",IFERROR(INDEX(Deals!$F$2:$F$355,MATCH($C600,Deals!$A$2:$A$355,0)),"?"))</f>
        <v/>
      </c>
      <c r="F600" s="15" t="inlineStr">
        <is>
          <t>Renewable Specialist</t>
        </is>
      </c>
      <c r="G600" s="15" t="inlineStr">
        <is>
          <t>Active</t>
        </is>
      </c>
      <c r="H600" s="27" t="n"/>
      <c r="I600" s="20">
        <f>IF(OR($A600="",$G600&lt;&gt;"Active"),0,IF($H600&lt;&gt;"",$H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</f>
        <v/>
      </c>
      <c r="J600" s="23">
        <f>IF($C600="",0,IFERROR(INDEX(Deals!$H$2:$H$355,MATCH($C600,Deals!$A$2:$A$355,0)),0))</f>
        <v/>
      </c>
      <c r="K600" s="20">
        <f>IF(Settings!$B$4="Yes",$I600*$J600,$I600)</f>
        <v/>
      </c>
      <c r="L600" s="31">
        <f>IF($C600="","",IFERROR(IF(INDEX(Deals!$I$2:$I$355,MATCH($C600,Deals!$A$2:$A$355,0))=0,"",INDEX(Deals!$I$2:$I$355,MATCH($C600,Deals!$A$2:$A$355,0))),""))</f>
        <v/>
      </c>
      <c r="M600" s="31">
        <f>IF($C600="","",IFERROR(IF(INDEX(Deals!$J$2:$J$355,MATCH($C600,Deals!$A$2:$A$355,0))=0,"",INDEX(Deals!$J$2:$J$355,MATCH($C600,Deals!$A$2:$A$355,0))),""))</f>
        <v/>
      </c>
      <c r="N600" s="24">
        <f>IF($L600="",DATE(1900,1,1),$L600)</f>
        <v/>
      </c>
      <c r="O600" s="24">
        <f>IF($M600="",DATE(2100,12,31),$M600)</f>
        <v/>
      </c>
      <c r="P600" s="16" t="inlineStr"/>
      <c r="Q600" s="16" t="inlineStr"/>
      <c r="R600" s="29">
        <f>IF($C600="","",IFERROR(IF(INDEX(Deals!$U$2:$U$355,MATCH($C600,Deals!$A$2:$A$355,0))=0,"",INDEX(Deals!$U$2:$U$355,MATCH($C600,Deals!$A$2:$A$355,0))),""))</f>
        <v/>
      </c>
      <c r="S600" s="22">
        <f>IFERROR(IF($U600="",1,INDEX(Deals!$V$2:$V$355,MATCH($C600,Deals!$A$2:$A$355,0))),1)</f>
        <v/>
      </c>
      <c r="T600" s="22">
        <f>IFERROR(IF($U600="",1,INDEX(Deals!$W$2:$W$355,MATCH($C600,Deals!$A$2:$A$355,0))),1)</f>
        <v/>
      </c>
      <c r="U600" s="31">
        <f>IF($C600="","",IFERROR(IF(INDEX(Deals!$Y$2:$Y$355,MATCH($C600,Deals!$A$2:$A$355,0))=0,"",INDEX(Deals!$Y$2:$Y$355,MATCH($C600,Deals!$A$2:$A$355,0))),""))</f>
        <v/>
      </c>
      <c r="V600" s="24">
        <f>IF($U600="",DATE(1900,1,1),$N600)</f>
        <v/>
      </c>
      <c r="W600" s="24">
        <f>IF($U600="",DATE(2100,12,31),$U600)</f>
        <v/>
      </c>
      <c r="X600" s="20">
        <f>IF($U600="",$K600,$K600*$S600)</f>
        <v/>
      </c>
      <c r="Y600" s="24">
        <f>IF($U600="",DATE(2100,12,31),$U600+1)</f>
        <v/>
      </c>
      <c r="Z600" s="24">
        <f>IF($U600="",DATE(1900,1,1),$O600)</f>
        <v/>
      </c>
      <c r="AA600" s="20">
        <f>IF($U600="",0,$K600*$T600)</f>
        <v/>
      </c>
    </row>
    <row r="601">
      <c r="A601" s="15" t="inlineStr">
        <is>
          <t>Yiyi</t>
        </is>
      </c>
      <c r="B601" s="29">
        <f>IF($A601="","",IFERROR(INDEX(Roster!$B$2:$B$40,MATCH($A601,Roster!$A$2:$A$40,0)),"?"))</f>
        <v/>
      </c>
      <c r="C601" s="15" t="inlineStr">
        <is>
          <t>Elektron_1</t>
        </is>
      </c>
      <c r="D601" s="29">
        <f>IF($C601="","",IFERROR(IF(INDEX(Deals!$C$2:$C$355,MATCH($C601,Deals!$A$2:$A$355,0))=0,"",INDEX(Deals!$C$2:$C$355,MATCH($C601,Deals!$A$2:$A$355,0))),"?"))</f>
        <v/>
      </c>
      <c r="E601" s="29">
        <f>IF($C601="","",IFERROR(INDEX(Deals!$F$2:$F$355,MATCH($C601,Deals!$A$2:$A$355,0)),"?"))</f>
        <v/>
      </c>
      <c r="F601" s="15" t="inlineStr">
        <is>
          <t>Renewable Specialist</t>
        </is>
      </c>
      <c r="G601" s="15" t="inlineStr">
        <is>
          <t>Active</t>
        </is>
      </c>
      <c r="H601" s="27" t="n"/>
      <c r="I601" s="20">
        <f>IF(OR($A601="",$G601&lt;&gt;"Active"),0,IF($H601&lt;&gt;"",$H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</f>
        <v/>
      </c>
      <c r="J601" s="23">
        <f>IF($C601="",0,IFERROR(INDEX(Deals!$H$2:$H$355,MATCH($C601,Deals!$A$2:$A$355,0)),0))</f>
        <v/>
      </c>
      <c r="K601" s="20">
        <f>IF(Settings!$B$4="Yes",$I601*$J601,$I601)</f>
        <v/>
      </c>
      <c r="L601" s="31">
        <f>IF($C601="","",IFERROR(IF(INDEX(Deals!$I$2:$I$355,MATCH($C601,Deals!$A$2:$A$355,0))=0,"",INDEX(Deals!$I$2:$I$355,MATCH($C601,Deals!$A$2:$A$355,0))),""))</f>
        <v/>
      </c>
      <c r="M601" s="31">
        <f>IF($C601="","",IFERROR(IF(INDEX(Deals!$J$2:$J$355,MATCH($C601,Deals!$A$2:$A$355,0))=0,"",INDEX(Deals!$J$2:$J$355,MATCH($C601,Deals!$A$2:$A$355,0))),""))</f>
        <v/>
      </c>
      <c r="N601" s="24">
        <f>IF($L601="",DATE(1900,1,1),$L601)</f>
        <v/>
      </c>
      <c r="O601" s="24">
        <f>IF($M601="",DATE(2100,12,31),$M601)</f>
        <v/>
      </c>
      <c r="P601" s="16" t="inlineStr"/>
      <c r="Q601" s="16" t="inlineStr"/>
      <c r="R601" s="29">
        <f>IF($C601="","",IFERROR(IF(INDEX(Deals!$U$2:$U$355,MATCH($C601,Deals!$A$2:$A$355,0))=0,"",INDEX(Deals!$U$2:$U$355,MATCH($C601,Deals!$A$2:$A$355,0))),""))</f>
        <v/>
      </c>
      <c r="S601" s="22">
        <f>IFERROR(IF($U601="",1,INDEX(Deals!$V$2:$V$355,MATCH($C601,Deals!$A$2:$A$355,0))),1)</f>
        <v/>
      </c>
      <c r="T601" s="22">
        <f>IFERROR(IF($U601="",1,INDEX(Deals!$W$2:$W$355,MATCH($C601,Deals!$A$2:$A$355,0))),1)</f>
        <v/>
      </c>
      <c r="U601" s="31">
        <f>IF($C601="","",IFERROR(IF(INDEX(Deals!$Y$2:$Y$355,MATCH($C601,Deals!$A$2:$A$355,0))=0,"",INDEX(Deals!$Y$2:$Y$355,MATCH($C601,Deals!$A$2:$A$355,0))),""))</f>
        <v/>
      </c>
      <c r="V601" s="24">
        <f>IF($U601="",DATE(1900,1,1),$N601)</f>
        <v/>
      </c>
      <c r="W601" s="24">
        <f>IF($U601="",DATE(2100,12,31),$U601)</f>
        <v/>
      </c>
      <c r="X601" s="20">
        <f>IF($U601="",$K601,$K601*$S601)</f>
        <v/>
      </c>
      <c r="Y601" s="24">
        <f>IF($U601="",DATE(2100,12,31),$U601+1)</f>
        <v/>
      </c>
      <c r="Z601" s="24">
        <f>IF($U601="",DATE(1900,1,1),$O601)</f>
        <v/>
      </c>
      <c r="AA601" s="20">
        <f>IF($U601="",0,$K601*$T601)</f>
        <v/>
      </c>
    </row>
    <row r="602">
      <c r="A602" s="15" t="inlineStr">
        <is>
          <t>Yiyi</t>
        </is>
      </c>
      <c r="B602" s="29">
        <f>IF($A602="","",IFERROR(INDEX(Roster!$B$2:$B$40,MATCH($A602,Roster!$A$2:$A$40,0)),"?"))</f>
        <v/>
      </c>
      <c r="C602" s="15" t="inlineStr">
        <is>
          <t>Elk_2</t>
        </is>
      </c>
      <c r="D602" s="29">
        <f>IF($C602="","",IFERROR(IF(INDEX(Deals!$C$2:$C$355,MATCH($C602,Deals!$A$2:$A$355,0))=0,"",INDEX(Deals!$C$2:$C$355,MATCH($C602,Deals!$A$2:$A$355,0))),"?"))</f>
        <v/>
      </c>
      <c r="E602" s="29">
        <f>IF($C602="","",IFERROR(INDEX(Deals!$F$2:$F$355,MATCH($C602,Deals!$A$2:$A$355,0)),"?"))</f>
        <v/>
      </c>
      <c r="F602" s="15" t="inlineStr">
        <is>
          <t>Renewable Specialist</t>
        </is>
      </c>
      <c r="G602" s="15" t="inlineStr">
        <is>
          <t>Active</t>
        </is>
      </c>
      <c r="H602" s="27" t="n"/>
      <c r="I602" s="20">
        <f>IF(OR($A602="",$G602&lt;&gt;"Active"),0,IF($H602&lt;&gt;"",$H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</f>
        <v/>
      </c>
      <c r="J602" s="23">
        <f>IF($C602="",0,IFERROR(INDEX(Deals!$H$2:$H$355,MATCH($C602,Deals!$A$2:$A$355,0)),0))</f>
        <v/>
      </c>
      <c r="K602" s="20">
        <f>IF(Settings!$B$4="Yes",$I602*$J602,$I602)</f>
        <v/>
      </c>
      <c r="L602" s="31">
        <f>IF($C602="","",IFERROR(IF(INDEX(Deals!$I$2:$I$355,MATCH($C602,Deals!$A$2:$A$355,0))=0,"",INDEX(Deals!$I$2:$I$355,MATCH($C602,Deals!$A$2:$A$355,0))),""))</f>
        <v/>
      </c>
      <c r="M602" s="31">
        <f>IF($C602="","",IFERROR(IF(INDEX(Deals!$J$2:$J$355,MATCH($C602,Deals!$A$2:$A$355,0))=0,"",INDEX(Deals!$J$2:$J$355,MATCH($C602,Deals!$A$2:$A$355,0))),""))</f>
        <v/>
      </c>
      <c r="N602" s="24">
        <f>IF($L602="",DATE(1900,1,1),$L602)</f>
        <v/>
      </c>
      <c r="O602" s="24">
        <f>IF($M602="",DATE(2100,12,31),$M602)</f>
        <v/>
      </c>
      <c r="P602" s="16" t="inlineStr"/>
      <c r="Q602" s="16" t="inlineStr"/>
      <c r="R602" s="29">
        <f>IF($C602="","",IFERROR(IF(INDEX(Deals!$U$2:$U$355,MATCH($C602,Deals!$A$2:$A$355,0))=0,"",INDEX(Deals!$U$2:$U$355,MATCH($C602,Deals!$A$2:$A$355,0))),""))</f>
        <v/>
      </c>
      <c r="S602" s="22">
        <f>IFERROR(IF($U602="",1,INDEX(Deals!$V$2:$V$355,MATCH($C602,Deals!$A$2:$A$355,0))),1)</f>
        <v/>
      </c>
      <c r="T602" s="22">
        <f>IFERROR(IF($U602="",1,INDEX(Deals!$W$2:$W$355,MATCH($C602,Deals!$A$2:$A$355,0))),1)</f>
        <v/>
      </c>
      <c r="U602" s="31">
        <f>IF($C602="","",IFERROR(IF(INDEX(Deals!$Y$2:$Y$355,MATCH($C602,Deals!$A$2:$A$355,0))=0,"",INDEX(Deals!$Y$2:$Y$355,MATCH($C602,Deals!$A$2:$A$355,0))),""))</f>
        <v/>
      </c>
      <c r="V602" s="24">
        <f>IF($U602="",DATE(1900,1,1),$N602)</f>
        <v/>
      </c>
      <c r="W602" s="24">
        <f>IF($U602="",DATE(2100,12,31),$U602)</f>
        <v/>
      </c>
      <c r="X602" s="20">
        <f>IF($U602="",$K602,$K602*$S602)</f>
        <v/>
      </c>
      <c r="Y602" s="24">
        <f>IF($U602="",DATE(2100,12,31),$U602+1)</f>
        <v/>
      </c>
      <c r="Z602" s="24">
        <f>IF($U602="",DATE(1900,1,1),$O602)</f>
        <v/>
      </c>
      <c r="AA602" s="20">
        <f>IF($U602="",0,$K602*$T602)</f>
        <v/>
      </c>
    </row>
    <row r="603">
      <c r="A603" s="15" t="inlineStr">
        <is>
          <t>Yiyi</t>
        </is>
      </c>
      <c r="B603" s="29">
        <f>IF($A603="","",IFERROR(INDEX(Roster!$B$2:$B$40,MATCH($A603,Roster!$A$2:$A$40,0)),"?"))</f>
        <v/>
      </c>
      <c r="C603" s="15" t="inlineStr">
        <is>
          <t>Etonia_1</t>
        </is>
      </c>
      <c r="D603" s="29">
        <f>IF($C603="","",IFERROR(IF(INDEX(Deals!$C$2:$C$355,MATCH($C603,Deals!$A$2:$A$355,0))=0,"",INDEX(Deals!$C$2:$C$355,MATCH($C603,Deals!$A$2:$A$355,0))),"?"))</f>
        <v/>
      </c>
      <c r="E603" s="29">
        <f>IF($C603="","",IFERROR(INDEX(Deals!$F$2:$F$355,MATCH($C603,Deals!$A$2:$A$355,0)),"?"))</f>
        <v/>
      </c>
      <c r="F603" s="15" t="inlineStr">
        <is>
          <t>Renewable Specialist</t>
        </is>
      </c>
      <c r="G603" s="15" t="inlineStr">
        <is>
          <t>Active</t>
        </is>
      </c>
      <c r="H603" s="27" t="n"/>
      <c r="I603" s="20">
        <f>IF(OR($A603="",$G603&lt;&gt;"Active"),0,IF($H603&lt;&gt;"",$H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</f>
        <v/>
      </c>
      <c r="J603" s="23">
        <f>IF($C603="",0,IFERROR(INDEX(Deals!$H$2:$H$355,MATCH($C603,Deals!$A$2:$A$355,0)),0))</f>
        <v/>
      </c>
      <c r="K603" s="20">
        <f>IF(Settings!$B$4="Yes",$I603*$J603,$I603)</f>
        <v/>
      </c>
      <c r="L603" s="31">
        <f>IF($C603="","",IFERROR(IF(INDEX(Deals!$I$2:$I$355,MATCH($C603,Deals!$A$2:$A$355,0))=0,"",INDEX(Deals!$I$2:$I$355,MATCH($C603,Deals!$A$2:$A$355,0))),""))</f>
        <v/>
      </c>
      <c r="M603" s="31">
        <f>IF($C603="","",IFERROR(IF(INDEX(Deals!$J$2:$J$355,MATCH($C603,Deals!$A$2:$A$355,0))=0,"",INDEX(Deals!$J$2:$J$355,MATCH($C603,Deals!$A$2:$A$355,0))),""))</f>
        <v/>
      </c>
      <c r="N603" s="24">
        <f>IF($L603="",DATE(1900,1,1),$L603)</f>
        <v/>
      </c>
      <c r="O603" s="24">
        <f>IF($M603="",DATE(2100,12,31),$M603)</f>
        <v/>
      </c>
      <c r="P603" s="16" t="inlineStr"/>
      <c r="Q603" s="16" t="inlineStr"/>
      <c r="R603" s="29">
        <f>IF($C603="","",IFERROR(IF(INDEX(Deals!$U$2:$U$355,MATCH($C603,Deals!$A$2:$A$355,0))=0,"",INDEX(Deals!$U$2:$U$355,MATCH($C603,Deals!$A$2:$A$355,0))),""))</f>
        <v/>
      </c>
      <c r="S603" s="22">
        <f>IFERROR(IF($U603="",1,INDEX(Deals!$V$2:$V$355,MATCH($C603,Deals!$A$2:$A$355,0))),1)</f>
        <v/>
      </c>
      <c r="T603" s="22">
        <f>IFERROR(IF($U603="",1,INDEX(Deals!$W$2:$W$355,MATCH($C603,Deals!$A$2:$A$355,0))),1)</f>
        <v/>
      </c>
      <c r="U603" s="31">
        <f>IF($C603="","",IFERROR(IF(INDEX(Deals!$Y$2:$Y$355,MATCH($C603,Deals!$A$2:$A$355,0))=0,"",INDEX(Deals!$Y$2:$Y$355,MATCH($C603,Deals!$A$2:$A$355,0))),""))</f>
        <v/>
      </c>
      <c r="V603" s="24">
        <f>IF($U603="",DATE(1900,1,1),$N603)</f>
        <v/>
      </c>
      <c r="W603" s="24">
        <f>IF($U603="",DATE(2100,12,31),$U603)</f>
        <v/>
      </c>
      <c r="X603" s="20">
        <f>IF($U603="",$K603,$K603*$S603)</f>
        <v/>
      </c>
      <c r="Y603" s="24">
        <f>IF($U603="",DATE(2100,12,31),$U603+1)</f>
        <v/>
      </c>
      <c r="Z603" s="24">
        <f>IF($U603="",DATE(1900,1,1),$O603)</f>
        <v/>
      </c>
      <c r="AA603" s="20">
        <f>IF($U603="",0,$K603*$T603)</f>
        <v/>
      </c>
    </row>
    <row r="604">
      <c r="A604" s="15" t="inlineStr">
        <is>
          <t>Yiyi</t>
        </is>
      </c>
      <c r="B604" s="29">
        <f>IF($A604="","",IFERROR(INDEX(Roster!$B$2:$B$40,MATCH($A604,Roster!$A$2:$A$40,0)),"?"))</f>
        <v/>
      </c>
      <c r="C604" s="15" t="inlineStr">
        <is>
          <t>Etude_2</t>
        </is>
      </c>
      <c r="D604" s="29">
        <f>IF($C604="","",IFERROR(IF(INDEX(Deals!$C$2:$C$355,MATCH($C604,Deals!$A$2:$A$355,0))=0,"",INDEX(Deals!$C$2:$C$355,MATCH($C604,Deals!$A$2:$A$355,0))),"?"))</f>
        <v/>
      </c>
      <c r="E604" s="29">
        <f>IF($C604="","",IFERROR(INDEX(Deals!$F$2:$F$355,MATCH($C604,Deals!$A$2:$A$355,0)),"?"))</f>
        <v/>
      </c>
      <c r="F604" s="15" t="inlineStr">
        <is>
          <t>Renewable Specialist</t>
        </is>
      </c>
      <c r="G604" s="15" t="inlineStr">
        <is>
          <t>Active</t>
        </is>
      </c>
      <c r="H604" s="27" t="n"/>
      <c r="I604" s="20">
        <f>IF(OR($A604="",$G604&lt;&gt;"Active"),0,IF($H604&lt;&gt;"",$H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</f>
        <v/>
      </c>
      <c r="J604" s="23">
        <f>IF($C604="",0,IFERROR(INDEX(Deals!$H$2:$H$355,MATCH($C604,Deals!$A$2:$A$355,0)),0))</f>
        <v/>
      </c>
      <c r="K604" s="20">
        <f>IF(Settings!$B$4="Yes",$I604*$J604,$I604)</f>
        <v/>
      </c>
      <c r="L604" s="31">
        <f>IF($C604="","",IFERROR(IF(INDEX(Deals!$I$2:$I$355,MATCH($C604,Deals!$A$2:$A$355,0))=0,"",INDEX(Deals!$I$2:$I$355,MATCH($C604,Deals!$A$2:$A$355,0))),""))</f>
        <v/>
      </c>
      <c r="M604" s="31">
        <f>IF($C604="","",IFERROR(IF(INDEX(Deals!$J$2:$J$355,MATCH($C604,Deals!$A$2:$A$355,0))=0,"",INDEX(Deals!$J$2:$J$355,MATCH($C604,Deals!$A$2:$A$355,0))),""))</f>
        <v/>
      </c>
      <c r="N604" s="24">
        <f>IF($L604="",DATE(1900,1,1),$L604)</f>
        <v/>
      </c>
      <c r="O604" s="24">
        <f>IF($M604="",DATE(2100,12,31),$M604)</f>
        <v/>
      </c>
      <c r="P604" s="16" t="inlineStr"/>
      <c r="Q604" s="16" t="inlineStr"/>
      <c r="R604" s="29">
        <f>IF($C604="","",IFERROR(IF(INDEX(Deals!$U$2:$U$355,MATCH($C604,Deals!$A$2:$A$355,0))=0,"",INDEX(Deals!$U$2:$U$355,MATCH($C604,Deals!$A$2:$A$355,0))),""))</f>
        <v/>
      </c>
      <c r="S604" s="22">
        <f>IFERROR(IF($U604="",1,INDEX(Deals!$V$2:$V$355,MATCH($C604,Deals!$A$2:$A$355,0))),1)</f>
        <v/>
      </c>
      <c r="T604" s="22">
        <f>IFERROR(IF($U604="",1,INDEX(Deals!$W$2:$W$355,MATCH($C604,Deals!$A$2:$A$355,0))),1)</f>
        <v/>
      </c>
      <c r="U604" s="31">
        <f>IF($C604="","",IFERROR(IF(INDEX(Deals!$Y$2:$Y$355,MATCH($C604,Deals!$A$2:$A$355,0))=0,"",INDEX(Deals!$Y$2:$Y$355,MATCH($C604,Deals!$A$2:$A$355,0))),""))</f>
        <v/>
      </c>
      <c r="V604" s="24">
        <f>IF($U604="",DATE(1900,1,1),$N604)</f>
        <v/>
      </c>
      <c r="W604" s="24">
        <f>IF($U604="",DATE(2100,12,31),$U604)</f>
        <v/>
      </c>
      <c r="X604" s="20">
        <f>IF($U604="",$K604,$K604*$S604)</f>
        <v/>
      </c>
      <c r="Y604" s="24">
        <f>IF($U604="",DATE(2100,12,31),$U604+1)</f>
        <v/>
      </c>
      <c r="Z604" s="24">
        <f>IF($U604="",DATE(1900,1,1),$O604)</f>
        <v/>
      </c>
      <c r="AA604" s="20">
        <f>IF($U604="",0,$K604*$T604)</f>
        <v/>
      </c>
    </row>
    <row r="605">
      <c r="A605" s="15" t="inlineStr">
        <is>
          <t>Yiyi</t>
        </is>
      </c>
      <c r="B605" s="29">
        <f>IF($A605="","",IFERROR(INDEX(Roster!$B$2:$B$40,MATCH($A605,Roster!$A$2:$A$40,0)),"?"))</f>
        <v/>
      </c>
      <c r="C605" s="15" t="inlineStr">
        <is>
          <t>Gateway_3</t>
        </is>
      </c>
      <c r="D605" s="29">
        <f>IF($C605="","",IFERROR(IF(INDEX(Deals!$C$2:$C$355,MATCH($C605,Deals!$A$2:$A$355,0))=0,"",INDEX(Deals!$C$2:$C$355,MATCH($C605,Deals!$A$2:$A$355,0))),"?"))</f>
        <v/>
      </c>
      <c r="E605" s="29">
        <f>IF($C605="","",IFERROR(INDEX(Deals!$F$2:$F$355,MATCH($C605,Deals!$A$2:$A$355,0)),"?"))</f>
        <v/>
      </c>
      <c r="F605" s="15" t="inlineStr">
        <is>
          <t>Renewable Specialist</t>
        </is>
      </c>
      <c r="G605" s="15" t="inlineStr">
        <is>
          <t>Active</t>
        </is>
      </c>
      <c r="H605" s="27" t="n"/>
      <c r="I605" s="20">
        <f>IF(OR($A605="",$G605&lt;&gt;"Active"),0,IF($H605&lt;&gt;"",$H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</f>
        <v/>
      </c>
      <c r="J605" s="23">
        <f>IF($C605="",0,IFERROR(INDEX(Deals!$H$2:$H$355,MATCH($C605,Deals!$A$2:$A$355,0)),0))</f>
        <v/>
      </c>
      <c r="K605" s="20">
        <f>IF(Settings!$B$4="Yes",$I605*$J605,$I605)</f>
        <v/>
      </c>
      <c r="L605" s="31">
        <f>IF($C605="","",IFERROR(IF(INDEX(Deals!$I$2:$I$355,MATCH($C605,Deals!$A$2:$A$355,0))=0,"",INDEX(Deals!$I$2:$I$355,MATCH($C605,Deals!$A$2:$A$355,0))),""))</f>
        <v/>
      </c>
      <c r="M605" s="31">
        <f>IF($C605="","",IFERROR(IF(INDEX(Deals!$J$2:$J$355,MATCH($C605,Deals!$A$2:$A$355,0))=0,"",INDEX(Deals!$J$2:$J$355,MATCH($C605,Deals!$A$2:$A$355,0))),""))</f>
        <v/>
      </c>
      <c r="N605" s="24">
        <f>IF($L605="",DATE(1900,1,1),$L605)</f>
        <v/>
      </c>
      <c r="O605" s="24">
        <f>IF($M605="",DATE(2100,12,31),$M605)</f>
        <v/>
      </c>
      <c r="P605" s="16" t="inlineStr"/>
      <c r="Q605" s="16" t="inlineStr"/>
      <c r="R605" s="29">
        <f>IF($C605="","",IFERROR(IF(INDEX(Deals!$U$2:$U$355,MATCH($C605,Deals!$A$2:$A$355,0))=0,"",INDEX(Deals!$U$2:$U$355,MATCH($C605,Deals!$A$2:$A$355,0))),""))</f>
        <v/>
      </c>
      <c r="S605" s="22">
        <f>IFERROR(IF($U605="",1,INDEX(Deals!$V$2:$V$355,MATCH($C605,Deals!$A$2:$A$355,0))),1)</f>
        <v/>
      </c>
      <c r="T605" s="22">
        <f>IFERROR(IF($U605="",1,INDEX(Deals!$W$2:$W$355,MATCH($C605,Deals!$A$2:$A$355,0))),1)</f>
        <v/>
      </c>
      <c r="U605" s="31">
        <f>IF($C605="","",IFERROR(IF(INDEX(Deals!$Y$2:$Y$355,MATCH($C605,Deals!$A$2:$A$355,0))=0,"",INDEX(Deals!$Y$2:$Y$355,MATCH($C605,Deals!$A$2:$A$355,0))),""))</f>
        <v/>
      </c>
      <c r="V605" s="24">
        <f>IF($U605="",DATE(1900,1,1),$N605)</f>
        <v/>
      </c>
      <c r="W605" s="24">
        <f>IF($U605="",DATE(2100,12,31),$U605)</f>
        <v/>
      </c>
      <c r="X605" s="20">
        <f>IF($U605="",$K605,$K605*$S605)</f>
        <v/>
      </c>
      <c r="Y605" s="24">
        <f>IF($U605="",DATE(2100,12,31),$U605+1)</f>
        <v/>
      </c>
      <c r="Z605" s="24">
        <f>IF($U605="",DATE(1900,1,1),$O605)</f>
        <v/>
      </c>
      <c r="AA605" s="20">
        <f>IF($U605="",0,$K605*$T605)</f>
        <v/>
      </c>
    </row>
    <row r="606">
      <c r="A606" s="15" t="inlineStr">
        <is>
          <t>Yiyi</t>
        </is>
      </c>
      <c r="B606" s="29">
        <f>IF($A606="","",IFERROR(INDEX(Roster!$B$2:$B$40,MATCH($A606,Roster!$A$2:$A$40,0)),"?"))</f>
        <v/>
      </c>
      <c r="C606" s="15" t="inlineStr">
        <is>
          <t>Gonzaga_2</t>
        </is>
      </c>
      <c r="D606" s="29">
        <f>IF($C606="","",IFERROR(IF(INDEX(Deals!$C$2:$C$355,MATCH($C606,Deals!$A$2:$A$355,0))=0,"",INDEX(Deals!$C$2:$C$355,MATCH($C606,Deals!$A$2:$A$355,0))),"?"))</f>
        <v/>
      </c>
      <c r="E606" s="29">
        <f>IF($C606="","",IFERROR(INDEX(Deals!$F$2:$F$355,MATCH($C606,Deals!$A$2:$A$355,0)),"?"))</f>
        <v/>
      </c>
      <c r="F606" s="15" t="inlineStr">
        <is>
          <t>Renewable Specialist</t>
        </is>
      </c>
      <c r="G606" s="15" t="inlineStr">
        <is>
          <t>Active</t>
        </is>
      </c>
      <c r="H606" s="27" t="n"/>
      <c r="I606" s="20">
        <f>IF(OR($A606="",$G606&lt;&gt;"Active"),0,IF($H606&lt;&gt;"",$H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</f>
        <v/>
      </c>
      <c r="J606" s="23">
        <f>IF($C606="",0,IFERROR(INDEX(Deals!$H$2:$H$355,MATCH($C606,Deals!$A$2:$A$355,0)),0))</f>
        <v/>
      </c>
      <c r="K606" s="20">
        <f>IF(Settings!$B$4="Yes",$I606*$J606,$I606)</f>
        <v/>
      </c>
      <c r="L606" s="31">
        <f>IF($C606="","",IFERROR(IF(INDEX(Deals!$I$2:$I$355,MATCH($C606,Deals!$A$2:$A$355,0))=0,"",INDEX(Deals!$I$2:$I$355,MATCH($C606,Deals!$A$2:$A$355,0))),""))</f>
        <v/>
      </c>
      <c r="M606" s="31">
        <f>IF($C606="","",IFERROR(IF(INDEX(Deals!$J$2:$J$355,MATCH($C606,Deals!$A$2:$A$355,0))=0,"",INDEX(Deals!$J$2:$J$355,MATCH($C606,Deals!$A$2:$A$355,0))),""))</f>
        <v/>
      </c>
      <c r="N606" s="24">
        <f>IF($L606="",DATE(1900,1,1),$L606)</f>
        <v/>
      </c>
      <c r="O606" s="24">
        <f>IF($M606="",DATE(2100,12,31),$M606)</f>
        <v/>
      </c>
      <c r="P606" s="16" t="inlineStr"/>
      <c r="Q606" s="16" t="inlineStr"/>
      <c r="R606" s="29">
        <f>IF($C606="","",IFERROR(IF(INDEX(Deals!$U$2:$U$355,MATCH($C606,Deals!$A$2:$A$355,0))=0,"",INDEX(Deals!$U$2:$U$355,MATCH($C606,Deals!$A$2:$A$355,0))),""))</f>
        <v/>
      </c>
      <c r="S606" s="22">
        <f>IFERROR(IF($U606="",1,INDEX(Deals!$V$2:$V$355,MATCH($C606,Deals!$A$2:$A$355,0))),1)</f>
        <v/>
      </c>
      <c r="T606" s="22">
        <f>IFERROR(IF($U606="",1,INDEX(Deals!$W$2:$W$355,MATCH($C606,Deals!$A$2:$A$355,0))),1)</f>
        <v/>
      </c>
      <c r="U606" s="31">
        <f>IF($C606="","",IFERROR(IF(INDEX(Deals!$Y$2:$Y$355,MATCH($C606,Deals!$A$2:$A$355,0))=0,"",INDEX(Deals!$Y$2:$Y$355,MATCH($C606,Deals!$A$2:$A$355,0))),""))</f>
        <v/>
      </c>
      <c r="V606" s="24">
        <f>IF($U606="",DATE(1900,1,1),$N606)</f>
        <v/>
      </c>
      <c r="W606" s="24">
        <f>IF($U606="",DATE(2100,12,31),$U606)</f>
        <v/>
      </c>
      <c r="X606" s="20">
        <f>IF($U606="",$K606,$K606*$S606)</f>
        <v/>
      </c>
      <c r="Y606" s="24">
        <f>IF($U606="",DATE(2100,12,31),$U606+1)</f>
        <v/>
      </c>
      <c r="Z606" s="24">
        <f>IF($U606="",DATE(1900,1,1),$O606)</f>
        <v/>
      </c>
      <c r="AA606" s="20">
        <f>IF($U606="",0,$K606*$T606)</f>
        <v/>
      </c>
    </row>
    <row r="607">
      <c r="A607" s="15" t="inlineStr">
        <is>
          <t>Yiyi</t>
        </is>
      </c>
      <c r="B607" s="29">
        <f>IF($A607="","",IFERROR(INDEX(Roster!$B$2:$B$40,MATCH($A607,Roster!$A$2:$A$40,0)),"?"))</f>
        <v/>
      </c>
      <c r="C607" s="15" t="inlineStr">
        <is>
          <t>GPRE_1</t>
        </is>
      </c>
      <c r="D607" s="29">
        <f>IF($C607="","",IFERROR(IF(INDEX(Deals!$C$2:$C$355,MATCH($C607,Deals!$A$2:$A$355,0))=0,"",INDEX(Deals!$C$2:$C$355,MATCH($C607,Deals!$A$2:$A$355,0))),"?"))</f>
        <v/>
      </c>
      <c r="E607" s="29">
        <f>IF($C607="","",IFERROR(INDEX(Deals!$F$2:$F$355,MATCH($C607,Deals!$A$2:$A$355,0)),"?"))</f>
        <v/>
      </c>
      <c r="F607" s="15" t="inlineStr">
        <is>
          <t>Renewable Specialist</t>
        </is>
      </c>
      <c r="G607" s="15" t="inlineStr">
        <is>
          <t>Active</t>
        </is>
      </c>
      <c r="H607" s="27" t="n"/>
      <c r="I607" s="20">
        <f>IF(OR($A607="",$G607&lt;&gt;"Active"),0,IF($H607&lt;&gt;"",$H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</f>
        <v/>
      </c>
      <c r="J607" s="23">
        <f>IF($C607="",0,IFERROR(INDEX(Deals!$H$2:$H$355,MATCH($C607,Deals!$A$2:$A$355,0)),0))</f>
        <v/>
      </c>
      <c r="K607" s="20">
        <f>IF(Settings!$B$4="Yes",$I607*$J607,$I607)</f>
        <v/>
      </c>
      <c r="L607" s="31">
        <f>IF($C607="","",IFERROR(IF(INDEX(Deals!$I$2:$I$355,MATCH($C607,Deals!$A$2:$A$355,0))=0,"",INDEX(Deals!$I$2:$I$355,MATCH($C607,Deals!$A$2:$A$355,0))),""))</f>
        <v/>
      </c>
      <c r="M607" s="31">
        <f>IF($C607="","",IFERROR(IF(INDEX(Deals!$J$2:$J$355,MATCH($C607,Deals!$A$2:$A$355,0))=0,"",INDEX(Deals!$J$2:$J$355,MATCH($C607,Deals!$A$2:$A$355,0))),""))</f>
        <v/>
      </c>
      <c r="N607" s="24">
        <f>IF($L607="",DATE(1900,1,1),$L607)</f>
        <v/>
      </c>
      <c r="O607" s="24">
        <f>IF($M607="",DATE(2100,12,31),$M607)</f>
        <v/>
      </c>
      <c r="P607" s="16" t="inlineStr"/>
      <c r="Q607" s="16" t="inlineStr"/>
      <c r="R607" s="29">
        <f>IF($C607="","",IFERROR(IF(INDEX(Deals!$U$2:$U$355,MATCH($C607,Deals!$A$2:$A$355,0))=0,"",INDEX(Deals!$U$2:$U$355,MATCH($C607,Deals!$A$2:$A$355,0))),""))</f>
        <v/>
      </c>
      <c r="S607" s="22">
        <f>IFERROR(IF($U607="",1,INDEX(Deals!$V$2:$V$355,MATCH($C607,Deals!$A$2:$A$355,0))),1)</f>
        <v/>
      </c>
      <c r="T607" s="22">
        <f>IFERROR(IF($U607="",1,INDEX(Deals!$W$2:$W$355,MATCH($C607,Deals!$A$2:$A$355,0))),1)</f>
        <v/>
      </c>
      <c r="U607" s="31">
        <f>IF($C607="","",IFERROR(IF(INDEX(Deals!$Y$2:$Y$355,MATCH($C607,Deals!$A$2:$A$355,0))=0,"",INDEX(Deals!$Y$2:$Y$355,MATCH($C607,Deals!$A$2:$A$355,0))),""))</f>
        <v/>
      </c>
      <c r="V607" s="24">
        <f>IF($U607="",DATE(1900,1,1),$N607)</f>
        <v/>
      </c>
      <c r="W607" s="24">
        <f>IF($U607="",DATE(2100,12,31),$U607)</f>
        <v/>
      </c>
      <c r="X607" s="20">
        <f>IF($U607="",$K607,$K607*$S607)</f>
        <v/>
      </c>
      <c r="Y607" s="24">
        <f>IF($U607="",DATE(2100,12,31),$U607+1)</f>
        <v/>
      </c>
      <c r="Z607" s="24">
        <f>IF($U607="",DATE(1900,1,1),$O607)</f>
        <v/>
      </c>
      <c r="AA607" s="20">
        <f>IF($U607="",0,$K607*$T607)</f>
        <v/>
      </c>
    </row>
    <row r="608">
      <c r="A608" s="15" t="inlineStr">
        <is>
          <t>Yiyi</t>
        </is>
      </c>
      <c r="B608" s="29">
        <f>IF($A608="","",IFERROR(INDEX(Roster!$B$2:$B$40,MATCH($A608,Roster!$A$2:$A$40,0)),"?"))</f>
        <v/>
      </c>
      <c r="C608" s="15" t="inlineStr">
        <is>
          <t>Gravel_1</t>
        </is>
      </c>
      <c r="D608" s="29">
        <f>IF($C608="","",IFERROR(IF(INDEX(Deals!$C$2:$C$355,MATCH($C608,Deals!$A$2:$A$355,0))=0,"",INDEX(Deals!$C$2:$C$355,MATCH($C608,Deals!$A$2:$A$355,0))),"?"))</f>
        <v/>
      </c>
      <c r="E608" s="29">
        <f>IF($C608="","",IFERROR(INDEX(Deals!$F$2:$F$355,MATCH($C608,Deals!$A$2:$A$355,0)),"?"))</f>
        <v/>
      </c>
      <c r="F608" s="15" t="inlineStr">
        <is>
          <t>Renewable Specialist</t>
        </is>
      </c>
      <c r="G608" s="15" t="inlineStr">
        <is>
          <t>Active</t>
        </is>
      </c>
      <c r="H608" s="27" t="n"/>
      <c r="I608" s="20">
        <f>IF(OR($A608="",$G608&lt;&gt;"Active"),0,IF($H608&lt;&gt;"",$H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</f>
        <v/>
      </c>
      <c r="J608" s="23">
        <f>IF($C608="",0,IFERROR(INDEX(Deals!$H$2:$H$355,MATCH($C608,Deals!$A$2:$A$355,0)),0))</f>
        <v/>
      </c>
      <c r="K608" s="20">
        <f>IF(Settings!$B$4="Yes",$I608*$J608,$I608)</f>
        <v/>
      </c>
      <c r="L608" s="31">
        <f>IF($C608="","",IFERROR(IF(INDEX(Deals!$I$2:$I$355,MATCH($C608,Deals!$A$2:$A$355,0))=0,"",INDEX(Deals!$I$2:$I$355,MATCH($C608,Deals!$A$2:$A$355,0))),""))</f>
        <v/>
      </c>
      <c r="M608" s="31">
        <f>IF($C608="","",IFERROR(IF(INDEX(Deals!$J$2:$J$355,MATCH($C608,Deals!$A$2:$A$355,0))=0,"",INDEX(Deals!$J$2:$J$355,MATCH($C608,Deals!$A$2:$A$355,0))),""))</f>
        <v/>
      </c>
      <c r="N608" s="24">
        <f>IF($L608="",DATE(1900,1,1),$L608)</f>
        <v/>
      </c>
      <c r="O608" s="24">
        <f>IF($M608="",DATE(2100,12,31),$M608)</f>
        <v/>
      </c>
      <c r="P608" s="16" t="inlineStr"/>
      <c r="Q608" s="16" t="inlineStr"/>
      <c r="R608" s="29">
        <f>IF($C608="","",IFERROR(IF(INDEX(Deals!$U$2:$U$355,MATCH($C608,Deals!$A$2:$A$355,0))=0,"",INDEX(Deals!$U$2:$U$355,MATCH($C608,Deals!$A$2:$A$355,0))),""))</f>
        <v/>
      </c>
      <c r="S608" s="22">
        <f>IFERROR(IF($U608="",1,INDEX(Deals!$V$2:$V$355,MATCH($C608,Deals!$A$2:$A$355,0))),1)</f>
        <v/>
      </c>
      <c r="T608" s="22">
        <f>IFERROR(IF($U608="",1,INDEX(Deals!$W$2:$W$355,MATCH($C608,Deals!$A$2:$A$355,0))),1)</f>
        <v/>
      </c>
      <c r="U608" s="31">
        <f>IF($C608="","",IFERROR(IF(INDEX(Deals!$Y$2:$Y$355,MATCH($C608,Deals!$A$2:$A$355,0))=0,"",INDEX(Deals!$Y$2:$Y$355,MATCH($C608,Deals!$A$2:$A$355,0))),""))</f>
        <v/>
      </c>
      <c r="V608" s="24">
        <f>IF($U608="",DATE(1900,1,1),$N608)</f>
        <v/>
      </c>
      <c r="W608" s="24">
        <f>IF($U608="",DATE(2100,12,31),$U608)</f>
        <v/>
      </c>
      <c r="X608" s="20">
        <f>IF($U608="",$K608,$K608*$S608)</f>
        <v/>
      </c>
      <c r="Y608" s="24">
        <f>IF($U608="",DATE(2100,12,31),$U608+1)</f>
        <v/>
      </c>
      <c r="Z608" s="24">
        <f>IF($U608="",DATE(1900,1,1),$O608)</f>
        <v/>
      </c>
      <c r="AA608" s="20">
        <f>IF($U608="",0,$K608*$T608)</f>
        <v/>
      </c>
    </row>
    <row r="609">
      <c r="A609" s="15" t="inlineStr">
        <is>
          <t>Yiyi</t>
        </is>
      </c>
      <c r="B609" s="29">
        <f>IF($A609="","",IFERROR(INDEX(Roster!$B$2:$B$40,MATCH($A609,Roster!$A$2:$A$40,0)),"?"))</f>
        <v/>
      </c>
      <c r="C609" s="15" t="inlineStr">
        <is>
          <t>Greenkey_1</t>
        </is>
      </c>
      <c r="D609" s="29">
        <f>IF($C609="","",IFERROR(IF(INDEX(Deals!$C$2:$C$355,MATCH($C609,Deals!$A$2:$A$355,0))=0,"",INDEX(Deals!$C$2:$C$355,MATCH($C609,Deals!$A$2:$A$355,0))),"?"))</f>
        <v/>
      </c>
      <c r="E609" s="29">
        <f>IF($C609="","",IFERROR(INDEX(Deals!$F$2:$F$355,MATCH($C609,Deals!$A$2:$A$355,0)),"?"))</f>
        <v/>
      </c>
      <c r="F609" s="15" t="inlineStr">
        <is>
          <t>Renewable Specialist</t>
        </is>
      </c>
      <c r="G609" s="15" t="inlineStr">
        <is>
          <t>Active</t>
        </is>
      </c>
      <c r="H609" s="27" t="n"/>
      <c r="I609" s="20">
        <f>IF(OR($A609="",$G609&lt;&gt;"Active"),0,IF($H609&lt;&gt;"",$H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</f>
        <v/>
      </c>
      <c r="J609" s="23">
        <f>IF($C609="",0,IFERROR(INDEX(Deals!$H$2:$H$355,MATCH($C609,Deals!$A$2:$A$355,0)),0))</f>
        <v/>
      </c>
      <c r="K609" s="20">
        <f>IF(Settings!$B$4="Yes",$I609*$J609,$I609)</f>
        <v/>
      </c>
      <c r="L609" s="31">
        <f>IF($C609="","",IFERROR(IF(INDEX(Deals!$I$2:$I$355,MATCH($C609,Deals!$A$2:$A$355,0))=0,"",INDEX(Deals!$I$2:$I$355,MATCH($C609,Deals!$A$2:$A$355,0))),""))</f>
        <v/>
      </c>
      <c r="M609" s="31">
        <f>IF($C609="","",IFERROR(IF(INDEX(Deals!$J$2:$J$355,MATCH($C609,Deals!$A$2:$A$355,0))=0,"",INDEX(Deals!$J$2:$J$355,MATCH($C609,Deals!$A$2:$A$355,0))),""))</f>
        <v/>
      </c>
      <c r="N609" s="24">
        <f>IF($L609="",DATE(1900,1,1),$L609)</f>
        <v/>
      </c>
      <c r="O609" s="24">
        <f>IF($M609="",DATE(2100,12,31),$M609)</f>
        <v/>
      </c>
      <c r="P609" s="16" t="inlineStr"/>
      <c r="Q609" s="16" t="inlineStr"/>
      <c r="R609" s="29">
        <f>IF($C609="","",IFERROR(IF(INDEX(Deals!$U$2:$U$355,MATCH($C609,Deals!$A$2:$A$355,0))=0,"",INDEX(Deals!$U$2:$U$355,MATCH($C609,Deals!$A$2:$A$355,0))),""))</f>
        <v/>
      </c>
      <c r="S609" s="22">
        <f>IFERROR(IF($U609="",1,INDEX(Deals!$V$2:$V$355,MATCH($C609,Deals!$A$2:$A$355,0))),1)</f>
        <v/>
      </c>
      <c r="T609" s="22">
        <f>IFERROR(IF($U609="",1,INDEX(Deals!$W$2:$W$355,MATCH($C609,Deals!$A$2:$A$355,0))),1)</f>
        <v/>
      </c>
      <c r="U609" s="31">
        <f>IF($C609="","",IFERROR(IF(INDEX(Deals!$Y$2:$Y$355,MATCH($C609,Deals!$A$2:$A$355,0))=0,"",INDEX(Deals!$Y$2:$Y$355,MATCH($C609,Deals!$A$2:$A$355,0))),""))</f>
        <v/>
      </c>
      <c r="V609" s="24">
        <f>IF($U609="",DATE(1900,1,1),$N609)</f>
        <v/>
      </c>
      <c r="W609" s="24">
        <f>IF($U609="",DATE(2100,12,31),$U609)</f>
        <v/>
      </c>
      <c r="X609" s="20">
        <f>IF($U609="",$K609,$K609*$S609)</f>
        <v/>
      </c>
      <c r="Y609" s="24">
        <f>IF($U609="",DATE(2100,12,31),$U609+1)</f>
        <v/>
      </c>
      <c r="Z609" s="24">
        <f>IF($U609="",DATE(1900,1,1),$O609)</f>
        <v/>
      </c>
      <c r="AA609" s="20">
        <f>IF($U609="",0,$K609*$T609)</f>
        <v/>
      </c>
    </row>
    <row r="610">
      <c r="A610" s="15" t="inlineStr">
        <is>
          <t>Yiyi</t>
        </is>
      </c>
      <c r="B610" s="29">
        <f>IF($A610="","",IFERROR(INDEX(Roster!$B$2:$B$40,MATCH($A610,Roster!$A$2:$A$40,0)),"?"))</f>
        <v/>
      </c>
      <c r="C610" s="15" t="inlineStr">
        <is>
          <t>Guardian_3</t>
        </is>
      </c>
      <c r="D610" s="29">
        <f>IF($C610="","",IFERROR(IF(INDEX(Deals!$C$2:$C$355,MATCH($C610,Deals!$A$2:$A$355,0))=0,"",INDEX(Deals!$C$2:$C$355,MATCH($C610,Deals!$A$2:$A$355,0))),"?"))</f>
        <v/>
      </c>
      <c r="E610" s="29">
        <f>IF($C610="","",IFERROR(INDEX(Deals!$F$2:$F$355,MATCH($C610,Deals!$A$2:$A$355,0)),"?"))</f>
        <v/>
      </c>
      <c r="F610" s="15" t="inlineStr">
        <is>
          <t>Renewable Specialist</t>
        </is>
      </c>
      <c r="G610" s="15" t="inlineStr">
        <is>
          <t>Active</t>
        </is>
      </c>
      <c r="H610" s="27" t="n"/>
      <c r="I610" s="20">
        <f>IF(OR($A610="",$G610&lt;&gt;"Active"),0,IF($H610&lt;&gt;"",$H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</f>
        <v/>
      </c>
      <c r="J610" s="23">
        <f>IF($C610="",0,IFERROR(INDEX(Deals!$H$2:$H$355,MATCH($C610,Deals!$A$2:$A$355,0)),0))</f>
        <v/>
      </c>
      <c r="K610" s="20">
        <f>IF(Settings!$B$4="Yes",$I610*$J610,$I610)</f>
        <v/>
      </c>
      <c r="L610" s="31">
        <f>IF($C610="","",IFERROR(IF(INDEX(Deals!$I$2:$I$355,MATCH($C610,Deals!$A$2:$A$355,0))=0,"",INDEX(Deals!$I$2:$I$355,MATCH($C610,Deals!$A$2:$A$355,0))),""))</f>
        <v/>
      </c>
      <c r="M610" s="31">
        <f>IF($C610="","",IFERROR(IF(INDEX(Deals!$J$2:$J$355,MATCH($C610,Deals!$A$2:$A$355,0))=0,"",INDEX(Deals!$J$2:$J$355,MATCH($C610,Deals!$A$2:$A$355,0))),""))</f>
        <v/>
      </c>
      <c r="N610" s="24">
        <f>IF($L610="",DATE(1900,1,1),$L610)</f>
        <v/>
      </c>
      <c r="O610" s="24">
        <f>IF($M610="",DATE(2100,12,31),$M610)</f>
        <v/>
      </c>
      <c r="P610" s="16" t="inlineStr"/>
      <c r="Q610" s="16" t="inlineStr"/>
      <c r="R610" s="29">
        <f>IF($C610="","",IFERROR(IF(INDEX(Deals!$U$2:$U$355,MATCH($C610,Deals!$A$2:$A$355,0))=0,"",INDEX(Deals!$U$2:$U$355,MATCH($C610,Deals!$A$2:$A$355,0))),""))</f>
        <v/>
      </c>
      <c r="S610" s="22">
        <f>IFERROR(IF($U610="",1,INDEX(Deals!$V$2:$V$355,MATCH($C610,Deals!$A$2:$A$355,0))),1)</f>
        <v/>
      </c>
      <c r="T610" s="22">
        <f>IFERROR(IF($U610="",1,INDEX(Deals!$W$2:$W$355,MATCH($C610,Deals!$A$2:$A$355,0))),1)</f>
        <v/>
      </c>
      <c r="U610" s="31">
        <f>IF($C610="","",IFERROR(IF(INDEX(Deals!$Y$2:$Y$355,MATCH($C610,Deals!$A$2:$A$355,0))=0,"",INDEX(Deals!$Y$2:$Y$355,MATCH($C610,Deals!$A$2:$A$355,0))),""))</f>
        <v/>
      </c>
      <c r="V610" s="24">
        <f>IF($U610="",DATE(1900,1,1),$N610)</f>
        <v/>
      </c>
      <c r="W610" s="24">
        <f>IF($U610="",DATE(2100,12,31),$U610)</f>
        <v/>
      </c>
      <c r="X610" s="20">
        <f>IF($U610="",$K610,$K610*$S610)</f>
        <v/>
      </c>
      <c r="Y610" s="24">
        <f>IF($U610="",DATE(2100,12,31),$U610+1)</f>
        <v/>
      </c>
      <c r="Z610" s="24">
        <f>IF($U610="",DATE(1900,1,1),$O610)</f>
        <v/>
      </c>
      <c r="AA610" s="20">
        <f>IF($U610="",0,$K610*$T610)</f>
        <v/>
      </c>
    </row>
    <row r="611">
      <c r="A611" s="15" t="inlineStr">
        <is>
          <t>Yiyi</t>
        </is>
      </c>
      <c r="B611" s="29">
        <f>IF($A611="","",IFERROR(INDEX(Roster!$B$2:$B$40,MATCH($A611,Roster!$A$2:$A$40,0)),"?"))</f>
        <v/>
      </c>
      <c r="C611" s="15" t="inlineStr">
        <is>
          <t>Hidden _1</t>
        </is>
      </c>
      <c r="D611" s="29">
        <f>IF($C611="","",IFERROR(IF(INDEX(Deals!$C$2:$C$355,MATCH($C611,Deals!$A$2:$A$355,0))=0,"",INDEX(Deals!$C$2:$C$355,MATCH($C611,Deals!$A$2:$A$355,0))),"?"))</f>
        <v/>
      </c>
      <c r="E611" s="29">
        <f>IF($C611="","",IFERROR(INDEX(Deals!$F$2:$F$355,MATCH($C611,Deals!$A$2:$A$355,0)),"?"))</f>
        <v/>
      </c>
      <c r="F611" s="15" t="inlineStr">
        <is>
          <t>Renewable Specialist</t>
        </is>
      </c>
      <c r="G611" s="15" t="inlineStr">
        <is>
          <t>Active</t>
        </is>
      </c>
      <c r="H611" s="27" t="n"/>
      <c r="I611" s="20">
        <f>IF(OR($A611="",$G611&lt;&gt;"Active"),0,IF($H611&lt;&gt;"",$H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</f>
        <v/>
      </c>
      <c r="J611" s="23">
        <f>IF($C611="",0,IFERROR(INDEX(Deals!$H$2:$H$355,MATCH($C611,Deals!$A$2:$A$355,0)),0))</f>
        <v/>
      </c>
      <c r="K611" s="20">
        <f>IF(Settings!$B$4="Yes",$I611*$J611,$I611)</f>
        <v/>
      </c>
      <c r="L611" s="31">
        <f>IF($C611="","",IFERROR(IF(INDEX(Deals!$I$2:$I$355,MATCH($C611,Deals!$A$2:$A$355,0))=0,"",INDEX(Deals!$I$2:$I$355,MATCH($C611,Deals!$A$2:$A$355,0))),""))</f>
        <v/>
      </c>
      <c r="M611" s="31">
        <f>IF($C611="","",IFERROR(IF(INDEX(Deals!$J$2:$J$355,MATCH($C611,Deals!$A$2:$A$355,0))=0,"",INDEX(Deals!$J$2:$J$355,MATCH($C611,Deals!$A$2:$A$355,0))),""))</f>
        <v/>
      </c>
      <c r="N611" s="24">
        <f>IF($L611="",DATE(1900,1,1),$L611)</f>
        <v/>
      </c>
      <c r="O611" s="24">
        <f>IF($M611="",DATE(2100,12,31),$M611)</f>
        <v/>
      </c>
      <c r="P611" s="16" t="inlineStr"/>
      <c r="Q611" s="16" t="inlineStr"/>
      <c r="R611" s="29">
        <f>IF($C611="","",IFERROR(IF(INDEX(Deals!$U$2:$U$355,MATCH($C611,Deals!$A$2:$A$355,0))=0,"",INDEX(Deals!$U$2:$U$355,MATCH($C611,Deals!$A$2:$A$355,0))),""))</f>
        <v/>
      </c>
      <c r="S611" s="22">
        <f>IFERROR(IF($U611="",1,INDEX(Deals!$V$2:$V$355,MATCH($C611,Deals!$A$2:$A$355,0))),1)</f>
        <v/>
      </c>
      <c r="T611" s="22">
        <f>IFERROR(IF($U611="",1,INDEX(Deals!$W$2:$W$355,MATCH($C611,Deals!$A$2:$A$355,0))),1)</f>
        <v/>
      </c>
      <c r="U611" s="31">
        <f>IF($C611="","",IFERROR(IF(INDEX(Deals!$Y$2:$Y$355,MATCH($C611,Deals!$A$2:$A$355,0))=0,"",INDEX(Deals!$Y$2:$Y$355,MATCH($C611,Deals!$A$2:$A$355,0))),""))</f>
        <v/>
      </c>
      <c r="V611" s="24">
        <f>IF($U611="",DATE(1900,1,1),$N611)</f>
        <v/>
      </c>
      <c r="W611" s="24">
        <f>IF($U611="",DATE(2100,12,31),$U611)</f>
        <v/>
      </c>
      <c r="X611" s="20">
        <f>IF($U611="",$K611,$K611*$S611)</f>
        <v/>
      </c>
      <c r="Y611" s="24">
        <f>IF($U611="",DATE(2100,12,31),$U611+1)</f>
        <v/>
      </c>
      <c r="Z611" s="24">
        <f>IF($U611="",DATE(1900,1,1),$O611)</f>
        <v/>
      </c>
      <c r="AA611" s="20">
        <f>IF($U611="",0,$K611*$T611)</f>
        <v/>
      </c>
    </row>
    <row r="612">
      <c r="A612" s="15" t="inlineStr">
        <is>
          <t>Yiyi</t>
        </is>
      </c>
      <c r="B612" s="29">
        <f>IF($A612="","",IFERROR(INDEX(Roster!$B$2:$B$40,MATCH($A612,Roster!$A$2:$A$40,0)),"?"))</f>
        <v/>
      </c>
      <c r="C612" s="15" t="inlineStr">
        <is>
          <t>Hyacinth_1</t>
        </is>
      </c>
      <c r="D612" s="29">
        <f>IF($C612="","",IFERROR(IF(INDEX(Deals!$C$2:$C$355,MATCH($C612,Deals!$A$2:$A$355,0))=0,"",INDEX(Deals!$C$2:$C$355,MATCH($C612,Deals!$A$2:$A$355,0))),"?"))</f>
        <v/>
      </c>
      <c r="E612" s="29">
        <f>IF($C612="","",IFERROR(INDEX(Deals!$F$2:$F$355,MATCH($C612,Deals!$A$2:$A$355,0)),"?"))</f>
        <v/>
      </c>
      <c r="F612" s="15" t="inlineStr">
        <is>
          <t>Renewable Specialist</t>
        </is>
      </c>
      <c r="G612" s="15" t="inlineStr">
        <is>
          <t>Active</t>
        </is>
      </c>
      <c r="H612" s="27" t="n"/>
      <c r="I612" s="20">
        <f>IF(OR($A612="",$G612&lt;&gt;"Active"),0,IF($H612&lt;&gt;"",$H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</f>
        <v/>
      </c>
      <c r="J612" s="23">
        <f>IF($C612="",0,IFERROR(INDEX(Deals!$H$2:$H$355,MATCH($C612,Deals!$A$2:$A$355,0)),0))</f>
        <v/>
      </c>
      <c r="K612" s="20">
        <f>IF(Settings!$B$4="Yes",$I612*$J612,$I612)</f>
        <v/>
      </c>
      <c r="L612" s="31">
        <f>IF($C612="","",IFERROR(IF(INDEX(Deals!$I$2:$I$355,MATCH($C612,Deals!$A$2:$A$355,0))=0,"",INDEX(Deals!$I$2:$I$355,MATCH($C612,Deals!$A$2:$A$355,0))),""))</f>
        <v/>
      </c>
      <c r="M612" s="31">
        <f>IF($C612="","",IFERROR(IF(INDEX(Deals!$J$2:$J$355,MATCH($C612,Deals!$A$2:$A$355,0))=0,"",INDEX(Deals!$J$2:$J$355,MATCH($C612,Deals!$A$2:$A$355,0))),""))</f>
        <v/>
      </c>
      <c r="N612" s="24">
        <f>IF($L612="",DATE(1900,1,1),$L612)</f>
        <v/>
      </c>
      <c r="O612" s="24">
        <f>IF($M612="",DATE(2100,12,31),$M612)</f>
        <v/>
      </c>
      <c r="P612" s="16" t="inlineStr"/>
      <c r="Q612" s="16" t="inlineStr"/>
      <c r="R612" s="29">
        <f>IF($C612="","",IFERROR(IF(INDEX(Deals!$U$2:$U$355,MATCH($C612,Deals!$A$2:$A$355,0))=0,"",INDEX(Deals!$U$2:$U$355,MATCH($C612,Deals!$A$2:$A$355,0))),""))</f>
        <v/>
      </c>
      <c r="S612" s="22">
        <f>IFERROR(IF($U612="",1,INDEX(Deals!$V$2:$V$355,MATCH($C612,Deals!$A$2:$A$355,0))),1)</f>
        <v/>
      </c>
      <c r="T612" s="22">
        <f>IFERROR(IF($U612="",1,INDEX(Deals!$W$2:$W$355,MATCH($C612,Deals!$A$2:$A$355,0))),1)</f>
        <v/>
      </c>
      <c r="U612" s="31">
        <f>IF($C612="","",IFERROR(IF(INDEX(Deals!$Y$2:$Y$355,MATCH($C612,Deals!$A$2:$A$355,0))=0,"",INDEX(Deals!$Y$2:$Y$355,MATCH($C612,Deals!$A$2:$A$355,0))),""))</f>
        <v/>
      </c>
      <c r="V612" s="24">
        <f>IF($U612="",DATE(1900,1,1),$N612)</f>
        <v/>
      </c>
      <c r="W612" s="24">
        <f>IF($U612="",DATE(2100,12,31),$U612)</f>
        <v/>
      </c>
      <c r="X612" s="20">
        <f>IF($U612="",$K612,$K612*$S612)</f>
        <v/>
      </c>
      <c r="Y612" s="24">
        <f>IF($U612="",DATE(2100,12,31),$U612+1)</f>
        <v/>
      </c>
      <c r="Z612" s="24">
        <f>IF($U612="",DATE(1900,1,1),$O612)</f>
        <v/>
      </c>
      <c r="AA612" s="20">
        <f>IF($U612="",0,$K612*$T612)</f>
        <v/>
      </c>
    </row>
    <row r="613">
      <c r="A613" s="15" t="inlineStr">
        <is>
          <t>Yiyi</t>
        </is>
      </c>
      <c r="B613" s="29">
        <f>IF($A613="","",IFERROR(INDEX(Roster!$B$2:$B$40,MATCH($A613,Roster!$A$2:$A$40,0)),"?"))</f>
        <v/>
      </c>
      <c r="C613" s="15" t="inlineStr">
        <is>
          <t>Hydra_1</t>
        </is>
      </c>
      <c r="D613" s="29">
        <f>IF($C613="","",IFERROR(IF(INDEX(Deals!$C$2:$C$355,MATCH($C613,Deals!$A$2:$A$355,0))=0,"",INDEX(Deals!$C$2:$C$355,MATCH($C613,Deals!$A$2:$A$355,0))),"?"))</f>
        <v/>
      </c>
      <c r="E613" s="29">
        <f>IF($C613="","",IFERROR(INDEX(Deals!$F$2:$F$355,MATCH($C613,Deals!$A$2:$A$355,0)),"?"))</f>
        <v/>
      </c>
      <c r="F613" s="15" t="inlineStr">
        <is>
          <t>Renewable Specialist</t>
        </is>
      </c>
      <c r="G613" s="15" t="inlineStr">
        <is>
          <t>Active</t>
        </is>
      </c>
      <c r="H613" s="27" t="n"/>
      <c r="I613" s="20">
        <f>IF(OR($A613="",$G613&lt;&gt;"Active"),0,IF($H613&lt;&gt;"",$H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</f>
        <v/>
      </c>
      <c r="J613" s="23">
        <f>IF($C613="",0,IFERROR(INDEX(Deals!$H$2:$H$355,MATCH($C613,Deals!$A$2:$A$355,0)),0))</f>
        <v/>
      </c>
      <c r="K613" s="20">
        <f>IF(Settings!$B$4="Yes",$I613*$J613,$I613)</f>
        <v/>
      </c>
      <c r="L613" s="31">
        <f>IF($C613="","",IFERROR(IF(INDEX(Deals!$I$2:$I$355,MATCH($C613,Deals!$A$2:$A$355,0))=0,"",INDEX(Deals!$I$2:$I$355,MATCH($C613,Deals!$A$2:$A$355,0))),""))</f>
        <v/>
      </c>
      <c r="M613" s="31">
        <f>IF($C613="","",IFERROR(IF(INDEX(Deals!$J$2:$J$355,MATCH($C613,Deals!$A$2:$A$355,0))=0,"",INDEX(Deals!$J$2:$J$355,MATCH($C613,Deals!$A$2:$A$355,0))),""))</f>
        <v/>
      </c>
      <c r="N613" s="24">
        <f>IF($L613="",DATE(1900,1,1),$L613)</f>
        <v/>
      </c>
      <c r="O613" s="24">
        <f>IF($M613="",DATE(2100,12,31),$M613)</f>
        <v/>
      </c>
      <c r="P613" s="16" t="inlineStr"/>
      <c r="Q613" s="16" t="inlineStr"/>
      <c r="R613" s="29">
        <f>IF($C613="","",IFERROR(IF(INDEX(Deals!$U$2:$U$355,MATCH($C613,Deals!$A$2:$A$355,0))=0,"",INDEX(Deals!$U$2:$U$355,MATCH($C613,Deals!$A$2:$A$355,0))),""))</f>
        <v/>
      </c>
      <c r="S613" s="22">
        <f>IFERROR(IF($U613="",1,INDEX(Deals!$V$2:$V$355,MATCH($C613,Deals!$A$2:$A$355,0))),1)</f>
        <v/>
      </c>
      <c r="T613" s="22">
        <f>IFERROR(IF($U613="",1,INDEX(Deals!$W$2:$W$355,MATCH($C613,Deals!$A$2:$A$355,0))),1)</f>
        <v/>
      </c>
      <c r="U613" s="31">
        <f>IF($C613="","",IFERROR(IF(INDEX(Deals!$Y$2:$Y$355,MATCH($C613,Deals!$A$2:$A$355,0))=0,"",INDEX(Deals!$Y$2:$Y$355,MATCH($C613,Deals!$A$2:$A$355,0))),""))</f>
        <v/>
      </c>
      <c r="V613" s="24">
        <f>IF($U613="",DATE(1900,1,1),$N613)</f>
        <v/>
      </c>
      <c r="W613" s="24">
        <f>IF($U613="",DATE(2100,12,31),$U613)</f>
        <v/>
      </c>
      <c r="X613" s="20">
        <f>IF($U613="",$K613,$K613*$S613)</f>
        <v/>
      </c>
      <c r="Y613" s="24">
        <f>IF($U613="",DATE(2100,12,31),$U613+1)</f>
        <v/>
      </c>
      <c r="Z613" s="24">
        <f>IF($U613="",DATE(1900,1,1),$O613)</f>
        <v/>
      </c>
      <c r="AA613" s="20">
        <f>IF($U613="",0,$K613*$T613)</f>
        <v/>
      </c>
    </row>
    <row r="614">
      <c r="A614" s="15" t="inlineStr">
        <is>
          <t>Yiyi</t>
        </is>
      </c>
      <c r="B614" s="29">
        <f>IF($A614="","",IFERROR(INDEX(Roster!$B$2:$B$40,MATCH($A614,Roster!$A$2:$A$40,0)),"?"))</f>
        <v/>
      </c>
      <c r="C614" s="15" t="inlineStr">
        <is>
          <t>IGS_1</t>
        </is>
      </c>
      <c r="D614" s="29">
        <f>IF($C614="","",IFERROR(IF(INDEX(Deals!$C$2:$C$355,MATCH($C614,Deals!$A$2:$A$355,0))=0,"",INDEX(Deals!$C$2:$C$355,MATCH($C614,Deals!$A$2:$A$355,0))),"?"))</f>
        <v/>
      </c>
      <c r="E614" s="29">
        <f>IF($C614="","",IFERROR(INDEX(Deals!$F$2:$F$355,MATCH($C614,Deals!$A$2:$A$355,0)),"?"))</f>
        <v/>
      </c>
      <c r="F614" s="15" t="inlineStr">
        <is>
          <t>Renewable Specialist</t>
        </is>
      </c>
      <c r="G614" s="15" t="inlineStr">
        <is>
          <t>Active</t>
        </is>
      </c>
      <c r="H614" s="27" t="n"/>
      <c r="I614" s="20">
        <f>IF(OR($A614="",$G614&lt;&gt;"Active"),0,IF($H614&lt;&gt;"",$H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</f>
        <v/>
      </c>
      <c r="J614" s="23">
        <f>IF($C614="",0,IFERROR(INDEX(Deals!$H$2:$H$355,MATCH($C614,Deals!$A$2:$A$355,0)),0))</f>
        <v/>
      </c>
      <c r="K614" s="20">
        <f>IF(Settings!$B$4="Yes",$I614*$J614,$I614)</f>
        <v/>
      </c>
      <c r="L614" s="31">
        <f>IF($C614="","",IFERROR(IF(INDEX(Deals!$I$2:$I$355,MATCH($C614,Deals!$A$2:$A$355,0))=0,"",INDEX(Deals!$I$2:$I$355,MATCH($C614,Deals!$A$2:$A$355,0))),""))</f>
        <v/>
      </c>
      <c r="M614" s="31">
        <f>IF($C614="","",IFERROR(IF(INDEX(Deals!$J$2:$J$355,MATCH($C614,Deals!$A$2:$A$355,0))=0,"",INDEX(Deals!$J$2:$J$355,MATCH($C614,Deals!$A$2:$A$355,0))),""))</f>
        <v/>
      </c>
      <c r="N614" s="24">
        <f>IF($L614="",DATE(1900,1,1),$L614)</f>
        <v/>
      </c>
      <c r="O614" s="24">
        <f>IF($M614="",DATE(2100,12,31),$M614)</f>
        <v/>
      </c>
      <c r="P614" s="16" t="inlineStr"/>
      <c r="Q614" s="16" t="inlineStr"/>
      <c r="R614" s="29">
        <f>IF($C614="","",IFERROR(IF(INDEX(Deals!$U$2:$U$355,MATCH($C614,Deals!$A$2:$A$355,0))=0,"",INDEX(Deals!$U$2:$U$355,MATCH($C614,Deals!$A$2:$A$355,0))),""))</f>
        <v/>
      </c>
      <c r="S614" s="22">
        <f>IFERROR(IF($U614="",1,INDEX(Deals!$V$2:$V$355,MATCH($C614,Deals!$A$2:$A$355,0))),1)</f>
        <v/>
      </c>
      <c r="T614" s="22">
        <f>IFERROR(IF($U614="",1,INDEX(Deals!$W$2:$W$355,MATCH($C614,Deals!$A$2:$A$355,0))),1)</f>
        <v/>
      </c>
      <c r="U614" s="31">
        <f>IF($C614="","",IFERROR(IF(INDEX(Deals!$Y$2:$Y$355,MATCH($C614,Deals!$A$2:$A$355,0))=0,"",INDEX(Deals!$Y$2:$Y$355,MATCH($C614,Deals!$A$2:$A$355,0))),""))</f>
        <v/>
      </c>
      <c r="V614" s="24">
        <f>IF($U614="",DATE(1900,1,1),$N614)</f>
        <v/>
      </c>
      <c r="W614" s="24">
        <f>IF($U614="",DATE(2100,12,31),$U614)</f>
        <v/>
      </c>
      <c r="X614" s="20">
        <f>IF($U614="",$K614,$K614*$S614)</f>
        <v/>
      </c>
      <c r="Y614" s="24">
        <f>IF($U614="",DATE(2100,12,31),$U614+1)</f>
        <v/>
      </c>
      <c r="Z614" s="24">
        <f>IF($U614="",DATE(1900,1,1),$O614)</f>
        <v/>
      </c>
      <c r="AA614" s="20">
        <f>IF($U614="",0,$K614*$T614)</f>
        <v/>
      </c>
    </row>
    <row r="615">
      <c r="A615" s="15" t="inlineStr">
        <is>
          <t>Yiyi</t>
        </is>
      </c>
      <c r="B615" s="29">
        <f>IF($A615="","",IFERROR(INDEX(Roster!$B$2:$B$40,MATCH($A615,Roster!$A$2:$A$40,0)),"?"))</f>
        <v/>
      </c>
      <c r="C615" s="15" t="inlineStr">
        <is>
          <t>Justin_2</t>
        </is>
      </c>
      <c r="D615" s="29">
        <f>IF($C615="","",IFERROR(IF(INDEX(Deals!$C$2:$C$355,MATCH($C615,Deals!$A$2:$A$355,0))=0,"",INDEX(Deals!$C$2:$C$355,MATCH($C615,Deals!$A$2:$A$355,0))),"?"))</f>
        <v/>
      </c>
      <c r="E615" s="29">
        <f>IF($C615="","",IFERROR(INDEX(Deals!$F$2:$F$355,MATCH($C615,Deals!$A$2:$A$355,0)),"?"))</f>
        <v/>
      </c>
      <c r="F615" s="15" t="inlineStr">
        <is>
          <t>Renewable Specialist</t>
        </is>
      </c>
      <c r="G615" s="15" t="inlineStr">
        <is>
          <t>Active</t>
        </is>
      </c>
      <c r="H615" s="27" t="n"/>
      <c r="I615" s="20">
        <f>IF(OR($A615="",$G615&lt;&gt;"Active"),0,IF($H615&lt;&gt;"",$H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</f>
        <v/>
      </c>
      <c r="J615" s="23">
        <f>IF($C615="",0,IFERROR(INDEX(Deals!$H$2:$H$355,MATCH($C615,Deals!$A$2:$A$355,0)),0))</f>
        <v/>
      </c>
      <c r="K615" s="20">
        <f>IF(Settings!$B$4="Yes",$I615*$J615,$I615)</f>
        <v/>
      </c>
      <c r="L615" s="31">
        <f>IF($C615="","",IFERROR(IF(INDEX(Deals!$I$2:$I$355,MATCH($C615,Deals!$A$2:$A$355,0))=0,"",INDEX(Deals!$I$2:$I$355,MATCH($C615,Deals!$A$2:$A$355,0))),""))</f>
        <v/>
      </c>
      <c r="M615" s="31">
        <f>IF($C615="","",IFERROR(IF(INDEX(Deals!$J$2:$J$355,MATCH($C615,Deals!$A$2:$A$355,0))=0,"",INDEX(Deals!$J$2:$J$355,MATCH($C615,Deals!$A$2:$A$355,0))),""))</f>
        <v/>
      </c>
      <c r="N615" s="24">
        <f>IF($L615="",DATE(1900,1,1),$L615)</f>
        <v/>
      </c>
      <c r="O615" s="24">
        <f>IF($M615="",DATE(2100,12,31),$M615)</f>
        <v/>
      </c>
      <c r="P615" s="16" t="inlineStr"/>
      <c r="Q615" s="16" t="inlineStr"/>
      <c r="R615" s="29">
        <f>IF($C615="","",IFERROR(IF(INDEX(Deals!$U$2:$U$355,MATCH($C615,Deals!$A$2:$A$355,0))=0,"",INDEX(Deals!$U$2:$U$355,MATCH($C615,Deals!$A$2:$A$355,0))),""))</f>
        <v/>
      </c>
      <c r="S615" s="22">
        <f>IFERROR(IF($U615="",1,INDEX(Deals!$V$2:$V$355,MATCH($C615,Deals!$A$2:$A$355,0))),1)</f>
        <v/>
      </c>
      <c r="T615" s="22">
        <f>IFERROR(IF($U615="",1,INDEX(Deals!$W$2:$W$355,MATCH($C615,Deals!$A$2:$A$355,0))),1)</f>
        <v/>
      </c>
      <c r="U615" s="31">
        <f>IF($C615="","",IFERROR(IF(INDEX(Deals!$Y$2:$Y$355,MATCH($C615,Deals!$A$2:$A$355,0))=0,"",INDEX(Deals!$Y$2:$Y$355,MATCH($C615,Deals!$A$2:$A$355,0))),""))</f>
        <v/>
      </c>
      <c r="V615" s="24">
        <f>IF($U615="",DATE(1900,1,1),$N615)</f>
        <v/>
      </c>
      <c r="W615" s="24">
        <f>IF($U615="",DATE(2100,12,31),$U615)</f>
        <v/>
      </c>
      <c r="X615" s="20">
        <f>IF($U615="",$K615,$K615*$S615)</f>
        <v/>
      </c>
      <c r="Y615" s="24">
        <f>IF($U615="",DATE(2100,12,31),$U615+1)</f>
        <v/>
      </c>
      <c r="Z615" s="24">
        <f>IF($U615="",DATE(1900,1,1),$O615)</f>
        <v/>
      </c>
      <c r="AA615" s="20">
        <f>IF($U615="",0,$K615*$T615)</f>
        <v/>
      </c>
    </row>
    <row r="616">
      <c r="A616" s="15" t="inlineStr">
        <is>
          <t>Yiyi</t>
        </is>
      </c>
      <c r="B616" s="29">
        <f>IF($A616="","",IFERROR(INDEX(Roster!$B$2:$B$40,MATCH($A616,Roster!$A$2:$A$40,0)),"?"))</f>
        <v/>
      </c>
      <c r="C616" s="15" t="inlineStr">
        <is>
          <t>Mad_1</t>
        </is>
      </c>
      <c r="D616" s="29">
        <f>IF($C616="","",IFERROR(IF(INDEX(Deals!$C$2:$C$355,MATCH($C616,Deals!$A$2:$A$355,0))=0,"",INDEX(Deals!$C$2:$C$355,MATCH($C616,Deals!$A$2:$A$355,0))),"?"))</f>
        <v/>
      </c>
      <c r="E616" s="29">
        <f>IF($C616="","",IFERROR(INDEX(Deals!$F$2:$F$355,MATCH($C616,Deals!$A$2:$A$355,0)),"?"))</f>
        <v/>
      </c>
      <c r="F616" s="15" t="inlineStr">
        <is>
          <t>Renewable Specialist</t>
        </is>
      </c>
      <c r="G616" s="15" t="inlineStr">
        <is>
          <t>Active</t>
        </is>
      </c>
      <c r="H616" s="27" t="n"/>
      <c r="I616" s="20">
        <f>IF(OR($A616="",$G616&lt;&gt;"Active"),0,IF($H616&lt;&gt;"",$H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</f>
        <v/>
      </c>
      <c r="J616" s="23">
        <f>IF($C616="",0,IFERROR(INDEX(Deals!$H$2:$H$355,MATCH($C616,Deals!$A$2:$A$355,0)),0))</f>
        <v/>
      </c>
      <c r="K616" s="20">
        <f>IF(Settings!$B$4="Yes",$I616*$J616,$I616)</f>
        <v/>
      </c>
      <c r="L616" s="31">
        <f>IF($C616="","",IFERROR(IF(INDEX(Deals!$I$2:$I$355,MATCH($C616,Deals!$A$2:$A$355,0))=0,"",INDEX(Deals!$I$2:$I$355,MATCH($C616,Deals!$A$2:$A$355,0))),""))</f>
        <v/>
      </c>
      <c r="M616" s="31">
        <f>IF($C616="","",IFERROR(IF(INDEX(Deals!$J$2:$J$355,MATCH($C616,Deals!$A$2:$A$355,0))=0,"",INDEX(Deals!$J$2:$J$355,MATCH($C616,Deals!$A$2:$A$355,0))),""))</f>
        <v/>
      </c>
      <c r="N616" s="24">
        <f>IF($L616="",DATE(1900,1,1),$L616)</f>
        <v/>
      </c>
      <c r="O616" s="24">
        <f>IF($M616="",DATE(2100,12,31),$M616)</f>
        <v/>
      </c>
      <c r="P616" s="16" t="inlineStr"/>
      <c r="Q616" s="16" t="inlineStr"/>
      <c r="R616" s="29">
        <f>IF($C616="","",IFERROR(IF(INDEX(Deals!$U$2:$U$355,MATCH($C616,Deals!$A$2:$A$355,0))=0,"",INDEX(Deals!$U$2:$U$355,MATCH($C616,Deals!$A$2:$A$355,0))),""))</f>
        <v/>
      </c>
      <c r="S616" s="22">
        <f>IFERROR(IF($U616="",1,INDEX(Deals!$V$2:$V$355,MATCH($C616,Deals!$A$2:$A$355,0))),1)</f>
        <v/>
      </c>
      <c r="T616" s="22">
        <f>IFERROR(IF($U616="",1,INDEX(Deals!$W$2:$W$355,MATCH($C616,Deals!$A$2:$A$355,0))),1)</f>
        <v/>
      </c>
      <c r="U616" s="31">
        <f>IF($C616="","",IFERROR(IF(INDEX(Deals!$Y$2:$Y$355,MATCH($C616,Deals!$A$2:$A$355,0))=0,"",INDEX(Deals!$Y$2:$Y$355,MATCH($C616,Deals!$A$2:$A$355,0))),""))</f>
        <v/>
      </c>
      <c r="V616" s="24">
        <f>IF($U616="",DATE(1900,1,1),$N616)</f>
        <v/>
      </c>
      <c r="W616" s="24">
        <f>IF($U616="",DATE(2100,12,31),$U616)</f>
        <v/>
      </c>
      <c r="X616" s="20">
        <f>IF($U616="",$K616,$K616*$S616)</f>
        <v/>
      </c>
      <c r="Y616" s="24">
        <f>IF($U616="",DATE(2100,12,31),$U616+1)</f>
        <v/>
      </c>
      <c r="Z616" s="24">
        <f>IF($U616="",DATE(1900,1,1),$O616)</f>
        <v/>
      </c>
      <c r="AA616" s="20">
        <f>IF($U616="",0,$K616*$T616)</f>
        <v/>
      </c>
    </row>
    <row r="617">
      <c r="A617" s="15" t="inlineStr">
        <is>
          <t>Yiyi</t>
        </is>
      </c>
      <c r="B617" s="29">
        <f>IF($A617="","",IFERROR(INDEX(Roster!$B$2:$B$40,MATCH($A617,Roster!$A$2:$A$40,0)),"?"))</f>
        <v/>
      </c>
      <c r="C617" s="15" t="inlineStr">
        <is>
          <t>MeadowBrook_1</t>
        </is>
      </c>
      <c r="D617" s="29">
        <f>IF($C617="","",IFERROR(IF(INDEX(Deals!$C$2:$C$355,MATCH($C617,Deals!$A$2:$A$355,0))=0,"",INDEX(Deals!$C$2:$C$355,MATCH($C617,Deals!$A$2:$A$355,0))),"?"))</f>
        <v/>
      </c>
      <c r="E617" s="29">
        <f>IF($C617="","",IFERROR(INDEX(Deals!$F$2:$F$355,MATCH($C617,Deals!$A$2:$A$355,0)),"?"))</f>
        <v/>
      </c>
      <c r="F617" s="15" t="inlineStr">
        <is>
          <t>Renewable Specialist</t>
        </is>
      </c>
      <c r="G617" s="15" t="inlineStr">
        <is>
          <t>Active</t>
        </is>
      </c>
      <c r="H617" s="27" t="n"/>
      <c r="I617" s="20">
        <f>IF(OR($A617="",$G617&lt;&gt;"Active"),0,IF($H617&lt;&gt;"",$H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</f>
        <v/>
      </c>
      <c r="J617" s="23">
        <f>IF($C617="",0,IFERROR(INDEX(Deals!$H$2:$H$355,MATCH($C617,Deals!$A$2:$A$355,0)),0))</f>
        <v/>
      </c>
      <c r="K617" s="20">
        <f>IF(Settings!$B$4="Yes",$I617*$J617,$I617)</f>
        <v/>
      </c>
      <c r="L617" s="31">
        <f>IF($C617="","",IFERROR(IF(INDEX(Deals!$I$2:$I$355,MATCH($C617,Deals!$A$2:$A$355,0))=0,"",INDEX(Deals!$I$2:$I$355,MATCH($C617,Deals!$A$2:$A$355,0))),""))</f>
        <v/>
      </c>
      <c r="M617" s="31">
        <f>IF($C617="","",IFERROR(IF(INDEX(Deals!$J$2:$J$355,MATCH($C617,Deals!$A$2:$A$355,0))=0,"",INDEX(Deals!$J$2:$J$355,MATCH($C617,Deals!$A$2:$A$355,0))),""))</f>
        <v/>
      </c>
      <c r="N617" s="24">
        <f>IF($L617="",DATE(1900,1,1),$L617)</f>
        <v/>
      </c>
      <c r="O617" s="24">
        <f>IF($M617="",DATE(2100,12,31),$M617)</f>
        <v/>
      </c>
      <c r="P617" s="16" t="inlineStr"/>
      <c r="Q617" s="16" t="inlineStr"/>
      <c r="R617" s="29">
        <f>IF($C617="","",IFERROR(IF(INDEX(Deals!$U$2:$U$355,MATCH($C617,Deals!$A$2:$A$355,0))=0,"",INDEX(Deals!$U$2:$U$355,MATCH($C617,Deals!$A$2:$A$355,0))),""))</f>
        <v/>
      </c>
      <c r="S617" s="22">
        <f>IFERROR(IF($U617="",1,INDEX(Deals!$V$2:$V$355,MATCH($C617,Deals!$A$2:$A$355,0))),1)</f>
        <v/>
      </c>
      <c r="T617" s="22">
        <f>IFERROR(IF($U617="",1,INDEX(Deals!$W$2:$W$355,MATCH($C617,Deals!$A$2:$A$355,0))),1)</f>
        <v/>
      </c>
      <c r="U617" s="31">
        <f>IF($C617="","",IFERROR(IF(INDEX(Deals!$Y$2:$Y$355,MATCH($C617,Deals!$A$2:$A$355,0))=0,"",INDEX(Deals!$Y$2:$Y$355,MATCH($C617,Deals!$A$2:$A$355,0))),""))</f>
        <v/>
      </c>
      <c r="V617" s="24">
        <f>IF($U617="",DATE(1900,1,1),$N617)</f>
        <v/>
      </c>
      <c r="W617" s="24">
        <f>IF($U617="",DATE(2100,12,31),$U617)</f>
        <v/>
      </c>
      <c r="X617" s="20">
        <f>IF($U617="",$K617,$K617*$S617)</f>
        <v/>
      </c>
      <c r="Y617" s="24">
        <f>IF($U617="",DATE(2100,12,31),$U617+1)</f>
        <v/>
      </c>
      <c r="Z617" s="24">
        <f>IF($U617="",DATE(1900,1,1),$O617)</f>
        <v/>
      </c>
      <c r="AA617" s="20">
        <f>IF($U617="",0,$K617*$T617)</f>
        <v/>
      </c>
    </row>
    <row r="618">
      <c r="A618" s="15" t="inlineStr">
        <is>
          <t>Yiyi</t>
        </is>
      </c>
      <c r="B618" s="29">
        <f>IF($A618="","",IFERROR(INDEX(Roster!$B$2:$B$40,MATCH($A618,Roster!$A$2:$A$40,0)),"?"))</f>
        <v/>
      </c>
      <c r="C618" s="15" t="inlineStr">
        <is>
          <t>Neo_2</t>
        </is>
      </c>
      <c r="D618" s="29">
        <f>IF($C618="","",IFERROR(IF(INDEX(Deals!$C$2:$C$355,MATCH($C618,Deals!$A$2:$A$355,0))=0,"",INDEX(Deals!$C$2:$C$355,MATCH($C618,Deals!$A$2:$A$355,0))),"?"))</f>
        <v/>
      </c>
      <c r="E618" s="29">
        <f>IF($C618="","",IFERROR(INDEX(Deals!$F$2:$F$355,MATCH($C618,Deals!$A$2:$A$355,0)),"?"))</f>
        <v/>
      </c>
      <c r="F618" s="15" t="inlineStr">
        <is>
          <t>Renewable Specialist</t>
        </is>
      </c>
      <c r="G618" s="15" t="inlineStr">
        <is>
          <t>Active</t>
        </is>
      </c>
      <c r="H618" s="27" t="n"/>
      <c r="I618" s="20">
        <f>IF(OR($A618="",$G618&lt;&gt;"Active"),0,IF($H618&lt;&gt;"",$H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</f>
        <v/>
      </c>
      <c r="J618" s="23">
        <f>IF($C618="",0,IFERROR(INDEX(Deals!$H$2:$H$355,MATCH($C618,Deals!$A$2:$A$355,0)),0))</f>
        <v/>
      </c>
      <c r="K618" s="20">
        <f>IF(Settings!$B$4="Yes",$I618*$J618,$I618)</f>
        <v/>
      </c>
      <c r="L618" s="31">
        <f>IF($C618="","",IFERROR(IF(INDEX(Deals!$I$2:$I$355,MATCH($C618,Deals!$A$2:$A$355,0))=0,"",INDEX(Deals!$I$2:$I$355,MATCH($C618,Deals!$A$2:$A$355,0))),""))</f>
        <v/>
      </c>
      <c r="M618" s="31">
        <f>IF($C618="","",IFERROR(IF(INDEX(Deals!$J$2:$J$355,MATCH($C618,Deals!$A$2:$A$355,0))=0,"",INDEX(Deals!$J$2:$J$355,MATCH($C618,Deals!$A$2:$A$355,0))),""))</f>
        <v/>
      </c>
      <c r="N618" s="24">
        <f>IF($L618="",DATE(1900,1,1),$L618)</f>
        <v/>
      </c>
      <c r="O618" s="24">
        <f>IF($M618="",DATE(2100,12,31),$M618)</f>
        <v/>
      </c>
      <c r="P618" s="16" t="inlineStr"/>
      <c r="Q618" s="16" t="inlineStr"/>
      <c r="R618" s="29">
        <f>IF($C618="","",IFERROR(IF(INDEX(Deals!$U$2:$U$355,MATCH($C618,Deals!$A$2:$A$355,0))=0,"",INDEX(Deals!$U$2:$U$355,MATCH($C618,Deals!$A$2:$A$355,0))),""))</f>
        <v/>
      </c>
      <c r="S618" s="22">
        <f>IFERROR(IF($U618="",1,INDEX(Deals!$V$2:$V$355,MATCH($C618,Deals!$A$2:$A$355,0))),1)</f>
        <v/>
      </c>
      <c r="T618" s="22">
        <f>IFERROR(IF($U618="",1,INDEX(Deals!$W$2:$W$355,MATCH($C618,Deals!$A$2:$A$355,0))),1)</f>
        <v/>
      </c>
      <c r="U618" s="31">
        <f>IF($C618="","",IFERROR(IF(INDEX(Deals!$Y$2:$Y$355,MATCH($C618,Deals!$A$2:$A$355,0))=0,"",INDEX(Deals!$Y$2:$Y$355,MATCH($C618,Deals!$A$2:$A$355,0))),""))</f>
        <v/>
      </c>
      <c r="V618" s="24">
        <f>IF($U618="",DATE(1900,1,1),$N618)</f>
        <v/>
      </c>
      <c r="W618" s="24">
        <f>IF($U618="",DATE(2100,12,31),$U618)</f>
        <v/>
      </c>
      <c r="X618" s="20">
        <f>IF($U618="",$K618,$K618*$S618)</f>
        <v/>
      </c>
      <c r="Y618" s="24">
        <f>IF($U618="",DATE(2100,12,31),$U618+1)</f>
        <v/>
      </c>
      <c r="Z618" s="24">
        <f>IF($U618="",DATE(1900,1,1),$O618)</f>
        <v/>
      </c>
      <c r="AA618" s="20">
        <f>IF($U618="",0,$K618*$T618)</f>
        <v/>
      </c>
    </row>
    <row r="619">
      <c r="A619" s="15" t="inlineStr">
        <is>
          <t>Yiyi</t>
        </is>
      </c>
      <c r="B619" s="29">
        <f>IF($A619="","",IFERROR(INDEX(Roster!$B$2:$B$40,MATCH($A619,Roster!$A$2:$A$40,0)),"?"))</f>
        <v/>
      </c>
      <c r="C619" s="15" t="inlineStr">
        <is>
          <t>Neutrino_1</t>
        </is>
      </c>
      <c r="D619" s="29">
        <f>IF($C619="","",IFERROR(IF(INDEX(Deals!$C$2:$C$355,MATCH($C619,Deals!$A$2:$A$355,0))=0,"",INDEX(Deals!$C$2:$C$355,MATCH($C619,Deals!$A$2:$A$355,0))),"?"))</f>
        <v/>
      </c>
      <c r="E619" s="29">
        <f>IF($C619="","",IFERROR(INDEX(Deals!$F$2:$F$355,MATCH($C619,Deals!$A$2:$A$355,0)),"?"))</f>
        <v/>
      </c>
      <c r="F619" s="15" t="inlineStr">
        <is>
          <t>Renewable Specialist</t>
        </is>
      </c>
      <c r="G619" s="15" t="inlineStr">
        <is>
          <t>Active</t>
        </is>
      </c>
      <c r="H619" s="27" t="n"/>
      <c r="I619" s="20">
        <f>IF(OR($A619="",$G619&lt;&gt;"Active"),0,IF($H619&lt;&gt;"",$H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</f>
        <v/>
      </c>
      <c r="J619" s="23">
        <f>IF($C619="",0,IFERROR(INDEX(Deals!$H$2:$H$355,MATCH($C619,Deals!$A$2:$A$355,0)),0))</f>
        <v/>
      </c>
      <c r="K619" s="20">
        <f>IF(Settings!$B$4="Yes",$I619*$J619,$I619)</f>
        <v/>
      </c>
      <c r="L619" s="31">
        <f>IF($C619="","",IFERROR(IF(INDEX(Deals!$I$2:$I$355,MATCH($C619,Deals!$A$2:$A$355,0))=0,"",INDEX(Deals!$I$2:$I$355,MATCH($C619,Deals!$A$2:$A$355,0))),""))</f>
        <v/>
      </c>
      <c r="M619" s="31">
        <f>IF($C619="","",IFERROR(IF(INDEX(Deals!$J$2:$J$355,MATCH($C619,Deals!$A$2:$A$355,0))=0,"",INDEX(Deals!$J$2:$J$355,MATCH($C619,Deals!$A$2:$A$355,0))),""))</f>
        <v/>
      </c>
      <c r="N619" s="24">
        <f>IF($L619="",DATE(1900,1,1),$L619)</f>
        <v/>
      </c>
      <c r="O619" s="24">
        <f>IF($M619="",DATE(2100,12,31),$M619)</f>
        <v/>
      </c>
      <c r="P619" s="16" t="inlineStr"/>
      <c r="Q619" s="16" t="inlineStr"/>
      <c r="R619" s="29">
        <f>IF($C619="","",IFERROR(IF(INDEX(Deals!$U$2:$U$355,MATCH($C619,Deals!$A$2:$A$355,0))=0,"",INDEX(Deals!$U$2:$U$355,MATCH($C619,Deals!$A$2:$A$355,0))),""))</f>
        <v/>
      </c>
      <c r="S619" s="22">
        <f>IFERROR(IF($U619="",1,INDEX(Deals!$V$2:$V$355,MATCH($C619,Deals!$A$2:$A$355,0))),1)</f>
        <v/>
      </c>
      <c r="T619" s="22">
        <f>IFERROR(IF($U619="",1,INDEX(Deals!$W$2:$W$355,MATCH($C619,Deals!$A$2:$A$355,0))),1)</f>
        <v/>
      </c>
      <c r="U619" s="31">
        <f>IF($C619="","",IFERROR(IF(INDEX(Deals!$Y$2:$Y$355,MATCH($C619,Deals!$A$2:$A$355,0))=0,"",INDEX(Deals!$Y$2:$Y$355,MATCH($C619,Deals!$A$2:$A$355,0))),""))</f>
        <v/>
      </c>
      <c r="V619" s="24">
        <f>IF($U619="",DATE(1900,1,1),$N619)</f>
        <v/>
      </c>
      <c r="W619" s="24">
        <f>IF($U619="",DATE(2100,12,31),$U619)</f>
        <v/>
      </c>
      <c r="X619" s="20">
        <f>IF($U619="",$K619,$K619*$S619)</f>
        <v/>
      </c>
      <c r="Y619" s="24">
        <f>IF($U619="",DATE(2100,12,31),$U619+1)</f>
        <v/>
      </c>
      <c r="Z619" s="24">
        <f>IF($U619="",DATE(1900,1,1),$O619)</f>
        <v/>
      </c>
      <c r="AA619" s="20">
        <f>IF($U619="",0,$K619*$T619)</f>
        <v/>
      </c>
    </row>
    <row r="620">
      <c r="A620" s="15" t="inlineStr">
        <is>
          <t>Yiyi</t>
        </is>
      </c>
      <c r="B620" s="29">
        <f>IF($A620="","",IFERROR(INDEX(Roster!$B$2:$B$40,MATCH($A620,Roster!$A$2:$A$40,0)),"?"))</f>
        <v/>
      </c>
      <c r="C620" s="15" t="inlineStr">
        <is>
          <t>New Haven_1</t>
        </is>
      </c>
      <c r="D620" s="29">
        <f>IF($C620="","",IFERROR(IF(INDEX(Deals!$C$2:$C$355,MATCH($C620,Deals!$A$2:$A$355,0))=0,"",INDEX(Deals!$C$2:$C$355,MATCH($C620,Deals!$A$2:$A$355,0))),"?"))</f>
        <v/>
      </c>
      <c r="E620" s="29">
        <f>IF($C620="","",IFERROR(INDEX(Deals!$F$2:$F$355,MATCH($C620,Deals!$A$2:$A$355,0)),"?"))</f>
        <v/>
      </c>
      <c r="F620" s="15" t="inlineStr">
        <is>
          <t>Renewable Specialist</t>
        </is>
      </c>
      <c r="G620" s="15" t="inlineStr">
        <is>
          <t>Active</t>
        </is>
      </c>
      <c r="H620" s="27" t="n"/>
      <c r="I620" s="20">
        <f>IF(OR($A620="",$G620&lt;&gt;"Active"),0,IF($H620&lt;&gt;"",$H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</f>
        <v/>
      </c>
      <c r="J620" s="23">
        <f>IF($C620="",0,IFERROR(INDEX(Deals!$H$2:$H$355,MATCH($C620,Deals!$A$2:$A$355,0)),0))</f>
        <v/>
      </c>
      <c r="K620" s="20">
        <f>IF(Settings!$B$4="Yes",$I620*$J620,$I620)</f>
        <v/>
      </c>
      <c r="L620" s="31">
        <f>IF($C620="","",IFERROR(IF(INDEX(Deals!$I$2:$I$355,MATCH($C620,Deals!$A$2:$A$355,0))=0,"",INDEX(Deals!$I$2:$I$355,MATCH($C620,Deals!$A$2:$A$355,0))),""))</f>
        <v/>
      </c>
      <c r="M620" s="31">
        <f>IF($C620="","",IFERROR(IF(INDEX(Deals!$J$2:$J$355,MATCH($C620,Deals!$A$2:$A$355,0))=0,"",INDEX(Deals!$J$2:$J$355,MATCH($C620,Deals!$A$2:$A$355,0))),""))</f>
        <v/>
      </c>
      <c r="N620" s="24">
        <f>IF($L620="",DATE(1900,1,1),$L620)</f>
        <v/>
      </c>
      <c r="O620" s="24">
        <f>IF($M620="",DATE(2100,12,31),$M620)</f>
        <v/>
      </c>
      <c r="P620" s="16" t="inlineStr"/>
      <c r="Q620" s="16" t="inlineStr"/>
      <c r="R620" s="29">
        <f>IF($C620="","",IFERROR(IF(INDEX(Deals!$U$2:$U$355,MATCH($C620,Deals!$A$2:$A$355,0))=0,"",INDEX(Deals!$U$2:$U$355,MATCH($C620,Deals!$A$2:$A$355,0))),""))</f>
        <v/>
      </c>
      <c r="S620" s="22">
        <f>IFERROR(IF($U620="",1,INDEX(Deals!$V$2:$V$355,MATCH($C620,Deals!$A$2:$A$355,0))),1)</f>
        <v/>
      </c>
      <c r="T620" s="22">
        <f>IFERROR(IF($U620="",1,INDEX(Deals!$W$2:$W$355,MATCH($C620,Deals!$A$2:$A$355,0))),1)</f>
        <v/>
      </c>
      <c r="U620" s="31">
        <f>IF($C620="","",IFERROR(IF(INDEX(Deals!$Y$2:$Y$355,MATCH($C620,Deals!$A$2:$A$355,0))=0,"",INDEX(Deals!$Y$2:$Y$355,MATCH($C620,Deals!$A$2:$A$355,0))),""))</f>
        <v/>
      </c>
      <c r="V620" s="24">
        <f>IF($U620="",DATE(1900,1,1),$N620)</f>
        <v/>
      </c>
      <c r="W620" s="24">
        <f>IF($U620="",DATE(2100,12,31),$U620)</f>
        <v/>
      </c>
      <c r="X620" s="20">
        <f>IF($U620="",$K620,$K620*$S620)</f>
        <v/>
      </c>
      <c r="Y620" s="24">
        <f>IF($U620="",DATE(2100,12,31),$U620+1)</f>
        <v/>
      </c>
      <c r="Z620" s="24">
        <f>IF($U620="",DATE(1900,1,1),$O620)</f>
        <v/>
      </c>
      <c r="AA620" s="20">
        <f>IF($U620="",0,$K620*$T620)</f>
        <v/>
      </c>
    </row>
    <row r="621">
      <c r="A621" s="15" t="inlineStr">
        <is>
          <t>Yiyi</t>
        </is>
      </c>
      <c r="B621" s="29">
        <f>IF($A621="","",IFERROR(INDEX(Roster!$B$2:$B$40,MATCH($A621,Roster!$A$2:$A$40,0)),"?"))</f>
        <v/>
      </c>
      <c r="C621" s="15" t="inlineStr">
        <is>
          <t>Orca_1</t>
        </is>
      </c>
      <c r="D621" s="29">
        <f>IF($C621="","",IFERROR(IF(INDEX(Deals!$C$2:$C$355,MATCH($C621,Deals!$A$2:$A$355,0))=0,"",INDEX(Deals!$C$2:$C$355,MATCH($C621,Deals!$A$2:$A$355,0))),"?"))</f>
        <v/>
      </c>
      <c r="E621" s="29">
        <f>IF($C621="","",IFERROR(INDEX(Deals!$F$2:$F$355,MATCH($C621,Deals!$A$2:$A$355,0)),"?"))</f>
        <v/>
      </c>
      <c r="F621" s="15" t="inlineStr">
        <is>
          <t>Renewable Specialist</t>
        </is>
      </c>
      <c r="G621" s="15" t="inlineStr">
        <is>
          <t>Active</t>
        </is>
      </c>
      <c r="H621" s="27" t="n"/>
      <c r="I621" s="20">
        <f>IF(OR($A621="",$G621&lt;&gt;"Active"),0,IF($H621&lt;&gt;"",$H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</f>
        <v/>
      </c>
      <c r="J621" s="23">
        <f>IF($C621="",0,IFERROR(INDEX(Deals!$H$2:$H$355,MATCH($C621,Deals!$A$2:$A$355,0)),0))</f>
        <v/>
      </c>
      <c r="K621" s="20">
        <f>IF(Settings!$B$4="Yes",$I621*$J621,$I621)</f>
        <v/>
      </c>
      <c r="L621" s="31">
        <f>IF($C621="","",IFERROR(IF(INDEX(Deals!$I$2:$I$355,MATCH($C621,Deals!$A$2:$A$355,0))=0,"",INDEX(Deals!$I$2:$I$355,MATCH($C621,Deals!$A$2:$A$355,0))),""))</f>
        <v/>
      </c>
      <c r="M621" s="31">
        <f>IF($C621="","",IFERROR(IF(INDEX(Deals!$J$2:$J$355,MATCH($C621,Deals!$A$2:$A$355,0))=0,"",INDEX(Deals!$J$2:$J$355,MATCH($C621,Deals!$A$2:$A$355,0))),""))</f>
        <v/>
      </c>
      <c r="N621" s="24">
        <f>IF($L621="",DATE(1900,1,1),$L621)</f>
        <v/>
      </c>
      <c r="O621" s="24">
        <f>IF($M621="",DATE(2100,12,31),$M621)</f>
        <v/>
      </c>
      <c r="P621" s="16" t="inlineStr"/>
      <c r="Q621" s="16" t="inlineStr"/>
      <c r="R621" s="29">
        <f>IF($C621="","",IFERROR(IF(INDEX(Deals!$U$2:$U$355,MATCH($C621,Deals!$A$2:$A$355,0))=0,"",INDEX(Deals!$U$2:$U$355,MATCH($C621,Deals!$A$2:$A$355,0))),""))</f>
        <v/>
      </c>
      <c r="S621" s="22">
        <f>IFERROR(IF($U621="",1,INDEX(Deals!$V$2:$V$355,MATCH($C621,Deals!$A$2:$A$355,0))),1)</f>
        <v/>
      </c>
      <c r="T621" s="22">
        <f>IFERROR(IF($U621="",1,INDEX(Deals!$W$2:$W$355,MATCH($C621,Deals!$A$2:$A$355,0))),1)</f>
        <v/>
      </c>
      <c r="U621" s="31">
        <f>IF($C621="","",IFERROR(IF(INDEX(Deals!$Y$2:$Y$355,MATCH($C621,Deals!$A$2:$A$355,0))=0,"",INDEX(Deals!$Y$2:$Y$355,MATCH($C621,Deals!$A$2:$A$355,0))),""))</f>
        <v/>
      </c>
      <c r="V621" s="24">
        <f>IF($U621="",DATE(1900,1,1),$N621)</f>
        <v/>
      </c>
      <c r="W621" s="24">
        <f>IF($U621="",DATE(2100,12,31),$U621)</f>
        <v/>
      </c>
      <c r="X621" s="20">
        <f>IF($U621="",$K621,$K621*$S621)</f>
        <v/>
      </c>
      <c r="Y621" s="24">
        <f>IF($U621="",DATE(2100,12,31),$U621+1)</f>
        <v/>
      </c>
      <c r="Z621" s="24">
        <f>IF($U621="",DATE(1900,1,1),$O621)</f>
        <v/>
      </c>
      <c r="AA621" s="20">
        <f>IF($U621="",0,$K621*$T621)</f>
        <v/>
      </c>
    </row>
    <row r="622">
      <c r="A622" s="15" t="inlineStr">
        <is>
          <t>Yiyi</t>
        </is>
      </c>
      <c r="B622" s="29">
        <f>IF($A622="","",IFERROR(INDEX(Roster!$B$2:$B$40,MATCH($A622,Roster!$A$2:$A$40,0)),"?"))</f>
        <v/>
      </c>
      <c r="C622" s="15" t="inlineStr">
        <is>
          <t>Orion_3</t>
        </is>
      </c>
      <c r="D622" s="29">
        <f>IF($C622="","",IFERROR(IF(INDEX(Deals!$C$2:$C$355,MATCH($C622,Deals!$A$2:$A$355,0))=0,"",INDEX(Deals!$C$2:$C$355,MATCH($C622,Deals!$A$2:$A$355,0))),"?"))</f>
        <v/>
      </c>
      <c r="E622" s="29">
        <f>IF($C622="","",IFERROR(INDEX(Deals!$F$2:$F$355,MATCH($C622,Deals!$A$2:$A$355,0)),"?"))</f>
        <v/>
      </c>
      <c r="F622" s="15" t="inlineStr">
        <is>
          <t>Renewable Specialist</t>
        </is>
      </c>
      <c r="G622" s="15" t="inlineStr">
        <is>
          <t>Active</t>
        </is>
      </c>
      <c r="H622" s="27" t="n"/>
      <c r="I622" s="20">
        <f>IF(OR($A622="",$G622&lt;&gt;"Active"),0,IF($H622&lt;&gt;"",$H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</f>
        <v/>
      </c>
      <c r="J622" s="23">
        <f>IF($C622="",0,IFERROR(INDEX(Deals!$H$2:$H$355,MATCH($C622,Deals!$A$2:$A$355,0)),0))</f>
        <v/>
      </c>
      <c r="K622" s="20">
        <f>IF(Settings!$B$4="Yes",$I622*$J622,$I622)</f>
        <v/>
      </c>
      <c r="L622" s="31">
        <f>IF($C622="","",IFERROR(IF(INDEX(Deals!$I$2:$I$355,MATCH($C622,Deals!$A$2:$A$355,0))=0,"",INDEX(Deals!$I$2:$I$355,MATCH($C622,Deals!$A$2:$A$355,0))),""))</f>
        <v/>
      </c>
      <c r="M622" s="31">
        <f>IF($C622="","",IFERROR(IF(INDEX(Deals!$J$2:$J$355,MATCH($C622,Deals!$A$2:$A$355,0))=0,"",INDEX(Deals!$J$2:$J$355,MATCH($C622,Deals!$A$2:$A$355,0))),""))</f>
        <v/>
      </c>
      <c r="N622" s="24">
        <f>IF($L622="",DATE(1900,1,1),$L622)</f>
        <v/>
      </c>
      <c r="O622" s="24">
        <f>IF($M622="",DATE(2100,12,31),$M622)</f>
        <v/>
      </c>
      <c r="P622" s="16" t="inlineStr"/>
      <c r="Q622" s="16" t="inlineStr"/>
      <c r="R622" s="29">
        <f>IF($C622="","",IFERROR(IF(INDEX(Deals!$U$2:$U$355,MATCH($C622,Deals!$A$2:$A$355,0))=0,"",INDEX(Deals!$U$2:$U$355,MATCH($C622,Deals!$A$2:$A$355,0))),""))</f>
        <v/>
      </c>
      <c r="S622" s="22">
        <f>IFERROR(IF($U622="",1,INDEX(Deals!$V$2:$V$355,MATCH($C622,Deals!$A$2:$A$355,0))),1)</f>
        <v/>
      </c>
      <c r="T622" s="22">
        <f>IFERROR(IF($U622="",1,INDEX(Deals!$W$2:$W$355,MATCH($C622,Deals!$A$2:$A$355,0))),1)</f>
        <v/>
      </c>
      <c r="U622" s="31">
        <f>IF($C622="","",IFERROR(IF(INDEX(Deals!$Y$2:$Y$355,MATCH($C622,Deals!$A$2:$A$355,0))=0,"",INDEX(Deals!$Y$2:$Y$355,MATCH($C622,Deals!$A$2:$A$355,0))),""))</f>
        <v/>
      </c>
      <c r="V622" s="24">
        <f>IF($U622="",DATE(1900,1,1),$N622)</f>
        <v/>
      </c>
      <c r="W622" s="24">
        <f>IF($U622="",DATE(2100,12,31),$U622)</f>
        <v/>
      </c>
      <c r="X622" s="20">
        <f>IF($U622="",$K622,$K622*$S622)</f>
        <v/>
      </c>
      <c r="Y622" s="24">
        <f>IF($U622="",DATE(2100,12,31),$U622+1)</f>
        <v/>
      </c>
      <c r="Z622" s="24">
        <f>IF($U622="",DATE(1900,1,1),$O622)</f>
        <v/>
      </c>
      <c r="AA622" s="20">
        <f>IF($U622="",0,$K622*$T622)</f>
        <v/>
      </c>
    </row>
    <row r="623">
      <c r="A623" s="15" t="inlineStr">
        <is>
          <t>Yiyi</t>
        </is>
      </c>
      <c r="B623" s="29">
        <f>IF($A623="","",IFERROR(INDEX(Roster!$B$2:$B$40,MATCH($A623,Roster!$A$2:$A$40,0)),"?"))</f>
        <v/>
      </c>
      <c r="C623" s="15" t="inlineStr">
        <is>
          <t>P2Ninedot_1</t>
        </is>
      </c>
      <c r="D623" s="29">
        <f>IF($C623="","",IFERROR(IF(INDEX(Deals!$C$2:$C$355,MATCH($C623,Deals!$A$2:$A$355,0))=0,"",INDEX(Deals!$C$2:$C$355,MATCH($C623,Deals!$A$2:$A$355,0))),"?"))</f>
        <v/>
      </c>
      <c r="E623" s="29">
        <f>IF($C623="","",IFERROR(INDEX(Deals!$F$2:$F$355,MATCH($C623,Deals!$A$2:$A$355,0)),"?"))</f>
        <v/>
      </c>
      <c r="F623" s="15" t="inlineStr">
        <is>
          <t>Renewable Specialist</t>
        </is>
      </c>
      <c r="G623" s="15" t="inlineStr">
        <is>
          <t>Active</t>
        </is>
      </c>
      <c r="H623" s="27" t="n"/>
      <c r="I623" s="20">
        <f>IF(OR($A623="",$G623&lt;&gt;"Active"),0,IF($H623&lt;&gt;"",$H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</f>
        <v/>
      </c>
      <c r="J623" s="23">
        <f>IF($C623="",0,IFERROR(INDEX(Deals!$H$2:$H$355,MATCH($C623,Deals!$A$2:$A$355,0)),0))</f>
        <v/>
      </c>
      <c r="K623" s="20">
        <f>IF(Settings!$B$4="Yes",$I623*$J623,$I623)</f>
        <v/>
      </c>
      <c r="L623" s="31">
        <f>IF($C623="","",IFERROR(IF(INDEX(Deals!$I$2:$I$355,MATCH($C623,Deals!$A$2:$A$355,0))=0,"",INDEX(Deals!$I$2:$I$355,MATCH($C623,Deals!$A$2:$A$355,0))),""))</f>
        <v/>
      </c>
      <c r="M623" s="31">
        <f>IF($C623="","",IFERROR(IF(INDEX(Deals!$J$2:$J$355,MATCH($C623,Deals!$A$2:$A$355,0))=0,"",INDEX(Deals!$J$2:$J$355,MATCH($C623,Deals!$A$2:$A$355,0))),""))</f>
        <v/>
      </c>
      <c r="N623" s="24">
        <f>IF($L623="",DATE(1900,1,1),$L623)</f>
        <v/>
      </c>
      <c r="O623" s="24">
        <f>IF($M623="",DATE(2100,12,31),$M623)</f>
        <v/>
      </c>
      <c r="P623" s="16" t="inlineStr"/>
      <c r="Q623" s="16" t="inlineStr"/>
      <c r="R623" s="29">
        <f>IF($C623="","",IFERROR(IF(INDEX(Deals!$U$2:$U$355,MATCH($C623,Deals!$A$2:$A$355,0))=0,"",INDEX(Deals!$U$2:$U$355,MATCH($C623,Deals!$A$2:$A$355,0))),""))</f>
        <v/>
      </c>
      <c r="S623" s="22">
        <f>IFERROR(IF($U623="",1,INDEX(Deals!$V$2:$V$355,MATCH($C623,Deals!$A$2:$A$355,0))),1)</f>
        <v/>
      </c>
      <c r="T623" s="22">
        <f>IFERROR(IF($U623="",1,INDEX(Deals!$W$2:$W$355,MATCH($C623,Deals!$A$2:$A$355,0))),1)</f>
        <v/>
      </c>
      <c r="U623" s="31">
        <f>IF($C623="","",IFERROR(IF(INDEX(Deals!$Y$2:$Y$355,MATCH($C623,Deals!$A$2:$A$355,0))=0,"",INDEX(Deals!$Y$2:$Y$355,MATCH($C623,Deals!$A$2:$A$355,0))),""))</f>
        <v/>
      </c>
      <c r="V623" s="24">
        <f>IF($U623="",DATE(1900,1,1),$N623)</f>
        <v/>
      </c>
      <c r="W623" s="24">
        <f>IF($U623="",DATE(2100,12,31),$U623)</f>
        <v/>
      </c>
      <c r="X623" s="20">
        <f>IF($U623="",$K623,$K623*$S623)</f>
        <v/>
      </c>
      <c r="Y623" s="24">
        <f>IF($U623="",DATE(2100,12,31),$U623+1)</f>
        <v/>
      </c>
      <c r="Z623" s="24">
        <f>IF($U623="",DATE(1900,1,1),$O623)</f>
        <v/>
      </c>
      <c r="AA623" s="20">
        <f>IF($U623="",0,$K623*$T623)</f>
        <v/>
      </c>
    </row>
    <row r="624">
      <c r="A624" s="15" t="inlineStr">
        <is>
          <t>Yiyi</t>
        </is>
      </c>
      <c r="B624" s="29">
        <f>IF($A624="","",IFERROR(INDEX(Roster!$B$2:$B$40,MATCH($A624,Roster!$A$2:$A$40,0)),"?"))</f>
        <v/>
      </c>
      <c r="C624" s="15" t="inlineStr">
        <is>
          <t>Palisade_1</t>
        </is>
      </c>
      <c r="D624" s="29">
        <f>IF($C624="","",IFERROR(IF(INDEX(Deals!$C$2:$C$355,MATCH($C624,Deals!$A$2:$A$355,0))=0,"",INDEX(Deals!$C$2:$C$355,MATCH($C624,Deals!$A$2:$A$355,0))),"?"))</f>
        <v/>
      </c>
      <c r="E624" s="29">
        <f>IF($C624="","",IFERROR(INDEX(Deals!$F$2:$F$355,MATCH($C624,Deals!$A$2:$A$355,0)),"?"))</f>
        <v/>
      </c>
      <c r="F624" s="15" t="inlineStr">
        <is>
          <t>Renewable Specialist</t>
        </is>
      </c>
      <c r="G624" s="15" t="inlineStr">
        <is>
          <t>Active</t>
        </is>
      </c>
      <c r="H624" s="27" t="n"/>
      <c r="I624" s="20">
        <f>IF(OR($A624="",$G624&lt;&gt;"Active"),0,IF($H624&lt;&gt;"",$H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</f>
        <v/>
      </c>
      <c r="J624" s="23">
        <f>IF($C624="",0,IFERROR(INDEX(Deals!$H$2:$H$355,MATCH($C624,Deals!$A$2:$A$355,0)),0))</f>
        <v/>
      </c>
      <c r="K624" s="20">
        <f>IF(Settings!$B$4="Yes",$I624*$J624,$I624)</f>
        <v/>
      </c>
      <c r="L624" s="31">
        <f>IF($C624="","",IFERROR(IF(INDEX(Deals!$I$2:$I$355,MATCH($C624,Deals!$A$2:$A$355,0))=0,"",INDEX(Deals!$I$2:$I$355,MATCH($C624,Deals!$A$2:$A$355,0))),""))</f>
        <v/>
      </c>
      <c r="M624" s="31">
        <f>IF($C624="","",IFERROR(IF(INDEX(Deals!$J$2:$J$355,MATCH($C624,Deals!$A$2:$A$355,0))=0,"",INDEX(Deals!$J$2:$J$355,MATCH($C624,Deals!$A$2:$A$355,0))),""))</f>
        <v/>
      </c>
      <c r="N624" s="24">
        <f>IF($L624="",DATE(1900,1,1),$L624)</f>
        <v/>
      </c>
      <c r="O624" s="24">
        <f>IF($M624="",DATE(2100,12,31),$M624)</f>
        <v/>
      </c>
      <c r="P624" s="16" t="inlineStr"/>
      <c r="Q624" s="16" t="inlineStr"/>
      <c r="R624" s="29">
        <f>IF($C624="","",IFERROR(IF(INDEX(Deals!$U$2:$U$355,MATCH($C624,Deals!$A$2:$A$355,0))=0,"",INDEX(Deals!$U$2:$U$355,MATCH($C624,Deals!$A$2:$A$355,0))),""))</f>
        <v/>
      </c>
      <c r="S624" s="22">
        <f>IFERROR(IF($U624="",1,INDEX(Deals!$V$2:$V$355,MATCH($C624,Deals!$A$2:$A$355,0))),1)</f>
        <v/>
      </c>
      <c r="T624" s="22">
        <f>IFERROR(IF($U624="",1,INDEX(Deals!$W$2:$W$355,MATCH($C624,Deals!$A$2:$A$355,0))),1)</f>
        <v/>
      </c>
      <c r="U624" s="31">
        <f>IF($C624="","",IFERROR(IF(INDEX(Deals!$Y$2:$Y$355,MATCH($C624,Deals!$A$2:$A$355,0))=0,"",INDEX(Deals!$Y$2:$Y$355,MATCH($C624,Deals!$A$2:$A$355,0))),""))</f>
        <v/>
      </c>
      <c r="V624" s="24">
        <f>IF($U624="",DATE(1900,1,1),$N624)</f>
        <v/>
      </c>
      <c r="W624" s="24">
        <f>IF($U624="",DATE(2100,12,31),$U624)</f>
        <v/>
      </c>
      <c r="X624" s="20">
        <f>IF($U624="",$K624,$K624*$S624)</f>
        <v/>
      </c>
      <c r="Y624" s="24">
        <f>IF($U624="",DATE(2100,12,31),$U624+1)</f>
        <v/>
      </c>
      <c r="Z624" s="24">
        <f>IF($U624="",DATE(1900,1,1),$O624)</f>
        <v/>
      </c>
      <c r="AA624" s="20">
        <f>IF($U624="",0,$K624*$T624)</f>
        <v/>
      </c>
    </row>
    <row r="625">
      <c r="A625" s="15" t="inlineStr">
        <is>
          <t>Yiyi</t>
        </is>
      </c>
      <c r="B625" s="29">
        <f>IF($A625="","",IFERROR(INDEX(Roster!$B$2:$B$40,MATCH($A625,Roster!$A$2:$A$40,0)),"?"))</f>
        <v/>
      </c>
      <c r="C625" s="15" t="inlineStr">
        <is>
          <t>Palmetto_3</t>
        </is>
      </c>
      <c r="D625" s="29">
        <f>IF($C625="","",IFERROR(IF(INDEX(Deals!$C$2:$C$355,MATCH($C625,Deals!$A$2:$A$355,0))=0,"",INDEX(Deals!$C$2:$C$355,MATCH($C625,Deals!$A$2:$A$355,0))),"?"))</f>
        <v/>
      </c>
      <c r="E625" s="29">
        <f>IF($C625="","",IFERROR(INDEX(Deals!$F$2:$F$355,MATCH($C625,Deals!$A$2:$A$355,0)),"?"))</f>
        <v/>
      </c>
      <c r="F625" s="15" t="inlineStr">
        <is>
          <t>Renewable Specialist</t>
        </is>
      </c>
      <c r="G625" s="15" t="inlineStr">
        <is>
          <t>Active</t>
        </is>
      </c>
      <c r="H625" s="27" t="n"/>
      <c r="I625" s="20">
        <f>IF(OR($A625="",$G625&lt;&gt;"Active"),0,IF($H625&lt;&gt;"",$H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</f>
        <v/>
      </c>
      <c r="J625" s="23">
        <f>IF($C625="",0,IFERROR(INDEX(Deals!$H$2:$H$355,MATCH($C625,Deals!$A$2:$A$355,0)),0))</f>
        <v/>
      </c>
      <c r="K625" s="20">
        <f>IF(Settings!$B$4="Yes",$I625*$J625,$I625)</f>
        <v/>
      </c>
      <c r="L625" s="31">
        <f>IF($C625="","",IFERROR(IF(INDEX(Deals!$I$2:$I$355,MATCH($C625,Deals!$A$2:$A$355,0))=0,"",INDEX(Deals!$I$2:$I$355,MATCH($C625,Deals!$A$2:$A$355,0))),""))</f>
        <v/>
      </c>
      <c r="M625" s="31">
        <f>IF($C625="","",IFERROR(IF(INDEX(Deals!$J$2:$J$355,MATCH($C625,Deals!$A$2:$A$355,0))=0,"",INDEX(Deals!$J$2:$J$355,MATCH($C625,Deals!$A$2:$A$355,0))),""))</f>
        <v/>
      </c>
      <c r="N625" s="24">
        <f>IF($L625="",DATE(1900,1,1),$L625)</f>
        <v/>
      </c>
      <c r="O625" s="24">
        <f>IF($M625="",DATE(2100,12,31),$M625)</f>
        <v/>
      </c>
      <c r="P625" s="16" t="inlineStr"/>
      <c r="Q625" s="16" t="inlineStr"/>
      <c r="R625" s="29">
        <f>IF($C625="","",IFERROR(IF(INDEX(Deals!$U$2:$U$355,MATCH($C625,Deals!$A$2:$A$355,0))=0,"",INDEX(Deals!$U$2:$U$355,MATCH($C625,Deals!$A$2:$A$355,0))),""))</f>
        <v/>
      </c>
      <c r="S625" s="22">
        <f>IFERROR(IF($U625="",1,INDEX(Deals!$V$2:$V$355,MATCH($C625,Deals!$A$2:$A$355,0))),1)</f>
        <v/>
      </c>
      <c r="T625" s="22">
        <f>IFERROR(IF($U625="",1,INDEX(Deals!$W$2:$W$355,MATCH($C625,Deals!$A$2:$A$355,0))),1)</f>
        <v/>
      </c>
      <c r="U625" s="31">
        <f>IF($C625="","",IFERROR(IF(INDEX(Deals!$Y$2:$Y$355,MATCH($C625,Deals!$A$2:$A$355,0))=0,"",INDEX(Deals!$Y$2:$Y$355,MATCH($C625,Deals!$A$2:$A$355,0))),""))</f>
        <v/>
      </c>
      <c r="V625" s="24">
        <f>IF($U625="",DATE(1900,1,1),$N625)</f>
        <v/>
      </c>
      <c r="W625" s="24">
        <f>IF($U625="",DATE(2100,12,31),$U625)</f>
        <v/>
      </c>
      <c r="X625" s="20">
        <f>IF($U625="",$K625,$K625*$S625)</f>
        <v/>
      </c>
      <c r="Y625" s="24">
        <f>IF($U625="",DATE(2100,12,31),$U625+1)</f>
        <v/>
      </c>
      <c r="Z625" s="24">
        <f>IF($U625="",DATE(1900,1,1),$O625)</f>
        <v/>
      </c>
      <c r="AA625" s="20">
        <f>IF($U625="",0,$K625*$T625)</f>
        <v/>
      </c>
    </row>
    <row r="626">
      <c r="A626" s="15" t="inlineStr">
        <is>
          <t>Yiyi</t>
        </is>
      </c>
      <c r="B626" s="29">
        <f>IF($A626="","",IFERROR(INDEX(Roster!$B$2:$B$40,MATCH($A626,Roster!$A$2:$A$40,0)),"?"))</f>
        <v/>
      </c>
      <c r="C626" s="15" t="inlineStr">
        <is>
          <t>Palo_1</t>
        </is>
      </c>
      <c r="D626" s="29">
        <f>IF($C626="","",IFERROR(IF(INDEX(Deals!$C$2:$C$355,MATCH($C626,Deals!$A$2:$A$355,0))=0,"",INDEX(Deals!$C$2:$C$355,MATCH($C626,Deals!$A$2:$A$355,0))),"?"))</f>
        <v/>
      </c>
      <c r="E626" s="29">
        <f>IF($C626="","",IFERROR(INDEX(Deals!$F$2:$F$355,MATCH($C626,Deals!$A$2:$A$355,0)),"?"))</f>
        <v/>
      </c>
      <c r="F626" s="15" t="inlineStr">
        <is>
          <t>Renewable Specialist</t>
        </is>
      </c>
      <c r="G626" s="15" t="inlineStr">
        <is>
          <t>Active</t>
        </is>
      </c>
      <c r="H626" s="27" t="n"/>
      <c r="I626" s="20">
        <f>IF(OR($A626="",$G626&lt;&gt;"Active"),0,IF($H626&lt;&gt;"",$H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</f>
        <v/>
      </c>
      <c r="J626" s="23">
        <f>IF($C626="",0,IFERROR(INDEX(Deals!$H$2:$H$355,MATCH($C626,Deals!$A$2:$A$355,0)),0))</f>
        <v/>
      </c>
      <c r="K626" s="20">
        <f>IF(Settings!$B$4="Yes",$I626*$J626,$I626)</f>
        <v/>
      </c>
      <c r="L626" s="31">
        <f>IF($C626="","",IFERROR(IF(INDEX(Deals!$I$2:$I$355,MATCH($C626,Deals!$A$2:$A$355,0))=0,"",INDEX(Deals!$I$2:$I$355,MATCH($C626,Deals!$A$2:$A$355,0))),""))</f>
        <v/>
      </c>
      <c r="M626" s="31">
        <f>IF($C626="","",IFERROR(IF(INDEX(Deals!$J$2:$J$355,MATCH($C626,Deals!$A$2:$A$355,0))=0,"",INDEX(Deals!$J$2:$J$355,MATCH($C626,Deals!$A$2:$A$355,0))),""))</f>
        <v/>
      </c>
      <c r="N626" s="24">
        <f>IF($L626="",DATE(1900,1,1),$L626)</f>
        <v/>
      </c>
      <c r="O626" s="24">
        <f>IF($M626="",DATE(2100,12,31),$M626)</f>
        <v/>
      </c>
      <c r="P626" s="16" t="inlineStr"/>
      <c r="Q626" s="16" t="inlineStr"/>
      <c r="R626" s="29">
        <f>IF($C626="","",IFERROR(IF(INDEX(Deals!$U$2:$U$355,MATCH($C626,Deals!$A$2:$A$355,0))=0,"",INDEX(Deals!$U$2:$U$355,MATCH($C626,Deals!$A$2:$A$355,0))),""))</f>
        <v/>
      </c>
      <c r="S626" s="22">
        <f>IFERROR(IF($U626="",1,INDEX(Deals!$V$2:$V$355,MATCH($C626,Deals!$A$2:$A$355,0))),1)</f>
        <v/>
      </c>
      <c r="T626" s="22">
        <f>IFERROR(IF($U626="",1,INDEX(Deals!$W$2:$W$355,MATCH($C626,Deals!$A$2:$A$355,0))),1)</f>
        <v/>
      </c>
      <c r="U626" s="31">
        <f>IF($C626="","",IFERROR(IF(INDEX(Deals!$Y$2:$Y$355,MATCH($C626,Deals!$A$2:$A$355,0))=0,"",INDEX(Deals!$Y$2:$Y$355,MATCH($C626,Deals!$A$2:$A$355,0))),""))</f>
        <v/>
      </c>
      <c r="V626" s="24">
        <f>IF($U626="",DATE(1900,1,1),$N626)</f>
        <v/>
      </c>
      <c r="W626" s="24">
        <f>IF($U626="",DATE(2100,12,31),$U626)</f>
        <v/>
      </c>
      <c r="X626" s="20">
        <f>IF($U626="",$K626,$K626*$S626)</f>
        <v/>
      </c>
      <c r="Y626" s="24">
        <f>IF($U626="",DATE(2100,12,31),$U626+1)</f>
        <v/>
      </c>
      <c r="Z626" s="24">
        <f>IF($U626="",DATE(1900,1,1),$O626)</f>
        <v/>
      </c>
      <c r="AA626" s="20">
        <f>IF($U626="",0,$K626*$T626)</f>
        <v/>
      </c>
    </row>
    <row r="627">
      <c r="A627" s="15" t="inlineStr">
        <is>
          <t>Yiyi</t>
        </is>
      </c>
      <c r="B627" s="29">
        <f>IF($A627="","",IFERROR(INDEX(Roster!$B$2:$B$40,MATCH($A627,Roster!$A$2:$A$40,0)),"?"))</f>
        <v/>
      </c>
      <c r="C627" s="15" t="inlineStr">
        <is>
          <t>Papago_1</t>
        </is>
      </c>
      <c r="D627" s="29">
        <f>IF($C627="","",IFERROR(IF(INDEX(Deals!$C$2:$C$355,MATCH($C627,Deals!$A$2:$A$355,0))=0,"",INDEX(Deals!$C$2:$C$355,MATCH($C627,Deals!$A$2:$A$355,0))),"?"))</f>
        <v/>
      </c>
      <c r="E627" s="29">
        <f>IF($C627="","",IFERROR(INDEX(Deals!$F$2:$F$355,MATCH($C627,Deals!$A$2:$A$355,0)),"?"))</f>
        <v/>
      </c>
      <c r="F627" s="15" t="inlineStr">
        <is>
          <t>Renewable Specialist</t>
        </is>
      </c>
      <c r="G627" s="15" t="inlineStr">
        <is>
          <t>Active</t>
        </is>
      </c>
      <c r="H627" s="27" t="n"/>
      <c r="I627" s="20">
        <f>IF(OR($A627="",$G627&lt;&gt;"Active"),0,IF($H627&lt;&gt;"",$H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</f>
        <v/>
      </c>
      <c r="J627" s="23">
        <f>IF($C627="",0,IFERROR(INDEX(Deals!$H$2:$H$355,MATCH($C627,Deals!$A$2:$A$355,0)),0))</f>
        <v/>
      </c>
      <c r="K627" s="20">
        <f>IF(Settings!$B$4="Yes",$I627*$J627,$I627)</f>
        <v/>
      </c>
      <c r="L627" s="31">
        <f>IF($C627="","",IFERROR(IF(INDEX(Deals!$I$2:$I$355,MATCH($C627,Deals!$A$2:$A$355,0))=0,"",INDEX(Deals!$I$2:$I$355,MATCH($C627,Deals!$A$2:$A$355,0))),""))</f>
        <v/>
      </c>
      <c r="M627" s="31">
        <f>IF($C627="","",IFERROR(IF(INDEX(Deals!$J$2:$J$355,MATCH($C627,Deals!$A$2:$A$355,0))=0,"",INDEX(Deals!$J$2:$J$355,MATCH($C627,Deals!$A$2:$A$355,0))),""))</f>
        <v/>
      </c>
      <c r="N627" s="24">
        <f>IF($L627="",DATE(1900,1,1),$L627)</f>
        <v/>
      </c>
      <c r="O627" s="24">
        <f>IF($M627="",DATE(2100,12,31),$M627)</f>
        <v/>
      </c>
      <c r="P627" s="16" t="inlineStr"/>
      <c r="Q627" s="16" t="inlineStr"/>
      <c r="R627" s="29">
        <f>IF($C627="","",IFERROR(IF(INDEX(Deals!$U$2:$U$355,MATCH($C627,Deals!$A$2:$A$355,0))=0,"",INDEX(Deals!$U$2:$U$355,MATCH($C627,Deals!$A$2:$A$355,0))),""))</f>
        <v/>
      </c>
      <c r="S627" s="22">
        <f>IFERROR(IF($U627="",1,INDEX(Deals!$V$2:$V$355,MATCH($C627,Deals!$A$2:$A$355,0))),1)</f>
        <v/>
      </c>
      <c r="T627" s="22">
        <f>IFERROR(IF($U627="",1,INDEX(Deals!$W$2:$W$355,MATCH($C627,Deals!$A$2:$A$355,0))),1)</f>
        <v/>
      </c>
      <c r="U627" s="31">
        <f>IF($C627="","",IFERROR(IF(INDEX(Deals!$Y$2:$Y$355,MATCH($C627,Deals!$A$2:$A$355,0))=0,"",INDEX(Deals!$Y$2:$Y$355,MATCH($C627,Deals!$A$2:$A$355,0))),""))</f>
        <v/>
      </c>
      <c r="V627" s="24">
        <f>IF($U627="",DATE(1900,1,1),$N627)</f>
        <v/>
      </c>
      <c r="W627" s="24">
        <f>IF($U627="",DATE(2100,12,31),$U627)</f>
        <v/>
      </c>
      <c r="X627" s="20">
        <f>IF($U627="",$K627,$K627*$S627)</f>
        <v/>
      </c>
      <c r="Y627" s="24">
        <f>IF($U627="",DATE(2100,12,31),$U627+1)</f>
        <v/>
      </c>
      <c r="Z627" s="24">
        <f>IF($U627="",DATE(1900,1,1),$O627)</f>
        <v/>
      </c>
      <c r="AA627" s="20">
        <f>IF($U627="",0,$K627*$T627)</f>
        <v/>
      </c>
    </row>
    <row r="628">
      <c r="A628" s="15" t="inlineStr">
        <is>
          <t>Yiyi</t>
        </is>
      </c>
      <c r="B628" s="29">
        <f>IF($A628="","",IFERROR(INDEX(Roster!$B$2:$B$40,MATCH($A628,Roster!$A$2:$A$40,0)),"?"))</f>
        <v/>
      </c>
      <c r="C628" s="15" t="inlineStr">
        <is>
          <t>PearlX_1</t>
        </is>
      </c>
      <c r="D628" s="29">
        <f>IF($C628="","",IFERROR(IF(INDEX(Deals!$C$2:$C$355,MATCH($C628,Deals!$A$2:$A$355,0))=0,"",INDEX(Deals!$C$2:$C$355,MATCH($C628,Deals!$A$2:$A$355,0))),"?"))</f>
        <v/>
      </c>
      <c r="E628" s="29">
        <f>IF($C628="","",IFERROR(INDEX(Deals!$F$2:$F$355,MATCH($C628,Deals!$A$2:$A$355,0)),"?"))</f>
        <v/>
      </c>
      <c r="F628" s="15" t="inlineStr">
        <is>
          <t>Renewable Specialist</t>
        </is>
      </c>
      <c r="G628" s="15" t="inlineStr">
        <is>
          <t>Active</t>
        </is>
      </c>
      <c r="H628" s="27" t="n"/>
      <c r="I628" s="20">
        <f>IF(OR($A628="",$G628&lt;&gt;"Active"),0,IF($H628&lt;&gt;"",$H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</f>
        <v/>
      </c>
      <c r="J628" s="23">
        <f>IF($C628="",0,IFERROR(INDEX(Deals!$H$2:$H$355,MATCH($C628,Deals!$A$2:$A$355,0)),0))</f>
        <v/>
      </c>
      <c r="K628" s="20">
        <f>IF(Settings!$B$4="Yes",$I628*$J628,$I628)</f>
        <v/>
      </c>
      <c r="L628" s="31">
        <f>IF($C628="","",IFERROR(IF(INDEX(Deals!$I$2:$I$355,MATCH($C628,Deals!$A$2:$A$355,0))=0,"",INDEX(Deals!$I$2:$I$355,MATCH($C628,Deals!$A$2:$A$355,0))),""))</f>
        <v/>
      </c>
      <c r="M628" s="31">
        <f>IF($C628="","",IFERROR(IF(INDEX(Deals!$J$2:$J$355,MATCH($C628,Deals!$A$2:$A$355,0))=0,"",INDEX(Deals!$J$2:$J$355,MATCH($C628,Deals!$A$2:$A$355,0))),""))</f>
        <v/>
      </c>
      <c r="N628" s="24">
        <f>IF($L628="",DATE(1900,1,1),$L628)</f>
        <v/>
      </c>
      <c r="O628" s="24">
        <f>IF($M628="",DATE(2100,12,31),$M628)</f>
        <v/>
      </c>
      <c r="P628" s="16" t="inlineStr"/>
      <c r="Q628" s="16" t="inlineStr"/>
      <c r="R628" s="29">
        <f>IF($C628="","",IFERROR(IF(INDEX(Deals!$U$2:$U$355,MATCH($C628,Deals!$A$2:$A$355,0))=0,"",INDEX(Deals!$U$2:$U$355,MATCH($C628,Deals!$A$2:$A$355,0))),""))</f>
        <v/>
      </c>
      <c r="S628" s="22">
        <f>IFERROR(IF($U628="",1,INDEX(Deals!$V$2:$V$355,MATCH($C628,Deals!$A$2:$A$355,0))),1)</f>
        <v/>
      </c>
      <c r="T628" s="22">
        <f>IFERROR(IF($U628="",1,INDEX(Deals!$W$2:$W$355,MATCH($C628,Deals!$A$2:$A$355,0))),1)</f>
        <v/>
      </c>
      <c r="U628" s="31">
        <f>IF($C628="","",IFERROR(IF(INDEX(Deals!$Y$2:$Y$355,MATCH($C628,Deals!$A$2:$A$355,0))=0,"",INDEX(Deals!$Y$2:$Y$355,MATCH($C628,Deals!$A$2:$A$355,0))),""))</f>
        <v/>
      </c>
      <c r="V628" s="24">
        <f>IF($U628="",DATE(1900,1,1),$N628)</f>
        <v/>
      </c>
      <c r="W628" s="24">
        <f>IF($U628="",DATE(2100,12,31),$U628)</f>
        <v/>
      </c>
      <c r="X628" s="20">
        <f>IF($U628="",$K628,$K628*$S628)</f>
        <v/>
      </c>
      <c r="Y628" s="24">
        <f>IF($U628="",DATE(2100,12,31),$U628+1)</f>
        <v/>
      </c>
      <c r="Z628" s="24">
        <f>IF($U628="",DATE(1900,1,1),$O628)</f>
        <v/>
      </c>
      <c r="AA628" s="20">
        <f>IF($U628="",0,$K628*$T628)</f>
        <v/>
      </c>
    </row>
    <row r="629">
      <c r="A629" s="15" t="inlineStr">
        <is>
          <t>Yiyi</t>
        </is>
      </c>
      <c r="B629" s="29">
        <f>IF($A629="","",IFERROR(INDEX(Roster!$B$2:$B$40,MATCH($A629,Roster!$A$2:$A$40,0)),"?"))</f>
        <v/>
      </c>
      <c r="C629" s="15" t="inlineStr">
        <is>
          <t>Pine_1</t>
        </is>
      </c>
      <c r="D629" s="29">
        <f>IF($C629="","",IFERROR(IF(INDEX(Deals!$C$2:$C$355,MATCH($C629,Deals!$A$2:$A$355,0))=0,"",INDEX(Deals!$C$2:$C$355,MATCH($C629,Deals!$A$2:$A$355,0))),"?"))</f>
        <v/>
      </c>
      <c r="E629" s="29">
        <f>IF($C629="","",IFERROR(INDEX(Deals!$F$2:$F$355,MATCH($C629,Deals!$A$2:$A$355,0)),"?"))</f>
        <v/>
      </c>
      <c r="F629" s="15" t="inlineStr">
        <is>
          <t>Renewable Specialist</t>
        </is>
      </c>
      <c r="G629" s="15" t="inlineStr">
        <is>
          <t>Active</t>
        </is>
      </c>
      <c r="H629" s="27" t="n"/>
      <c r="I629" s="20">
        <f>IF(OR($A629="",$G629&lt;&gt;"Active"),0,IF($H629&lt;&gt;"",$H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</f>
        <v/>
      </c>
      <c r="J629" s="23">
        <f>IF($C629="",0,IFERROR(INDEX(Deals!$H$2:$H$355,MATCH($C629,Deals!$A$2:$A$355,0)),0))</f>
        <v/>
      </c>
      <c r="K629" s="20">
        <f>IF(Settings!$B$4="Yes",$I629*$J629,$I629)</f>
        <v/>
      </c>
      <c r="L629" s="31">
        <f>IF($C629="","",IFERROR(IF(INDEX(Deals!$I$2:$I$355,MATCH($C629,Deals!$A$2:$A$355,0))=0,"",INDEX(Deals!$I$2:$I$355,MATCH($C629,Deals!$A$2:$A$355,0))),""))</f>
        <v/>
      </c>
      <c r="M629" s="31">
        <f>IF($C629="","",IFERROR(IF(INDEX(Deals!$J$2:$J$355,MATCH($C629,Deals!$A$2:$A$355,0))=0,"",INDEX(Deals!$J$2:$J$355,MATCH($C629,Deals!$A$2:$A$355,0))),""))</f>
        <v/>
      </c>
      <c r="N629" s="24">
        <f>IF($L629="",DATE(1900,1,1),$L629)</f>
        <v/>
      </c>
      <c r="O629" s="24">
        <f>IF($M629="",DATE(2100,12,31),$M629)</f>
        <v/>
      </c>
      <c r="P629" s="16" t="inlineStr"/>
      <c r="Q629" s="16" t="inlineStr"/>
      <c r="R629" s="29">
        <f>IF($C629="","",IFERROR(IF(INDEX(Deals!$U$2:$U$355,MATCH($C629,Deals!$A$2:$A$355,0))=0,"",INDEX(Deals!$U$2:$U$355,MATCH($C629,Deals!$A$2:$A$355,0))),""))</f>
        <v/>
      </c>
      <c r="S629" s="22">
        <f>IFERROR(IF($U629="",1,INDEX(Deals!$V$2:$V$355,MATCH($C629,Deals!$A$2:$A$355,0))),1)</f>
        <v/>
      </c>
      <c r="T629" s="22">
        <f>IFERROR(IF($U629="",1,INDEX(Deals!$W$2:$W$355,MATCH($C629,Deals!$A$2:$A$355,0))),1)</f>
        <v/>
      </c>
      <c r="U629" s="31">
        <f>IF($C629="","",IFERROR(IF(INDEX(Deals!$Y$2:$Y$355,MATCH($C629,Deals!$A$2:$A$355,0))=0,"",INDEX(Deals!$Y$2:$Y$355,MATCH($C629,Deals!$A$2:$A$355,0))),""))</f>
        <v/>
      </c>
      <c r="V629" s="24">
        <f>IF($U629="",DATE(1900,1,1),$N629)</f>
        <v/>
      </c>
      <c r="W629" s="24">
        <f>IF($U629="",DATE(2100,12,31),$U629)</f>
        <v/>
      </c>
      <c r="X629" s="20">
        <f>IF($U629="",$K629,$K629*$S629)</f>
        <v/>
      </c>
      <c r="Y629" s="24">
        <f>IF($U629="",DATE(2100,12,31),$U629+1)</f>
        <v/>
      </c>
      <c r="Z629" s="24">
        <f>IF($U629="",DATE(1900,1,1),$O629)</f>
        <v/>
      </c>
      <c r="AA629" s="20">
        <f>IF($U629="",0,$K629*$T629)</f>
        <v/>
      </c>
    </row>
    <row r="630">
      <c r="A630" s="15" t="inlineStr">
        <is>
          <t>Yiyi</t>
        </is>
      </c>
      <c r="B630" s="29">
        <f>IF($A630="","",IFERROR(INDEX(Roster!$B$2:$B$40,MATCH($A630,Roster!$A$2:$A$40,0)),"?"))</f>
        <v/>
      </c>
      <c r="C630" s="15" t="inlineStr">
        <is>
          <t>Pinecreek_1</t>
        </is>
      </c>
      <c r="D630" s="29">
        <f>IF($C630="","",IFERROR(IF(INDEX(Deals!$C$2:$C$355,MATCH($C630,Deals!$A$2:$A$355,0))=0,"",INDEX(Deals!$C$2:$C$355,MATCH($C630,Deals!$A$2:$A$355,0))),"?"))</f>
        <v/>
      </c>
      <c r="E630" s="29">
        <f>IF($C630="","",IFERROR(INDEX(Deals!$F$2:$F$355,MATCH($C630,Deals!$A$2:$A$355,0)),"?"))</f>
        <v/>
      </c>
      <c r="F630" s="15" t="inlineStr">
        <is>
          <t>Renewable Specialist</t>
        </is>
      </c>
      <c r="G630" s="15" t="inlineStr">
        <is>
          <t>Active</t>
        </is>
      </c>
      <c r="H630" s="27" t="n"/>
      <c r="I630" s="20">
        <f>IF(OR($A630="",$G630&lt;&gt;"Active"),0,IF($H630&lt;&gt;"",$H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</f>
        <v/>
      </c>
      <c r="J630" s="23">
        <f>IF($C630="",0,IFERROR(INDEX(Deals!$H$2:$H$355,MATCH($C630,Deals!$A$2:$A$355,0)),0))</f>
        <v/>
      </c>
      <c r="K630" s="20">
        <f>IF(Settings!$B$4="Yes",$I630*$J630,$I630)</f>
        <v/>
      </c>
      <c r="L630" s="31">
        <f>IF($C630="","",IFERROR(IF(INDEX(Deals!$I$2:$I$355,MATCH($C630,Deals!$A$2:$A$355,0))=0,"",INDEX(Deals!$I$2:$I$355,MATCH($C630,Deals!$A$2:$A$355,0))),""))</f>
        <v/>
      </c>
      <c r="M630" s="31">
        <f>IF($C630="","",IFERROR(IF(INDEX(Deals!$J$2:$J$355,MATCH($C630,Deals!$A$2:$A$355,0))=0,"",INDEX(Deals!$J$2:$J$355,MATCH($C630,Deals!$A$2:$A$355,0))),""))</f>
        <v/>
      </c>
      <c r="N630" s="24">
        <f>IF($L630="",DATE(1900,1,1),$L630)</f>
        <v/>
      </c>
      <c r="O630" s="24">
        <f>IF($M630="",DATE(2100,12,31),$M630)</f>
        <v/>
      </c>
      <c r="P630" s="16" t="inlineStr"/>
      <c r="Q630" s="16" t="inlineStr"/>
      <c r="R630" s="29">
        <f>IF($C630="","",IFERROR(IF(INDEX(Deals!$U$2:$U$355,MATCH($C630,Deals!$A$2:$A$355,0))=0,"",INDEX(Deals!$U$2:$U$355,MATCH($C630,Deals!$A$2:$A$355,0))),""))</f>
        <v/>
      </c>
      <c r="S630" s="22">
        <f>IFERROR(IF($U630="",1,INDEX(Deals!$V$2:$V$355,MATCH($C630,Deals!$A$2:$A$355,0))),1)</f>
        <v/>
      </c>
      <c r="T630" s="22">
        <f>IFERROR(IF($U630="",1,INDEX(Deals!$W$2:$W$355,MATCH($C630,Deals!$A$2:$A$355,0))),1)</f>
        <v/>
      </c>
      <c r="U630" s="31">
        <f>IF($C630="","",IFERROR(IF(INDEX(Deals!$Y$2:$Y$355,MATCH($C630,Deals!$A$2:$A$355,0))=0,"",INDEX(Deals!$Y$2:$Y$355,MATCH($C630,Deals!$A$2:$A$355,0))),""))</f>
        <v/>
      </c>
      <c r="V630" s="24">
        <f>IF($U630="",DATE(1900,1,1),$N630)</f>
        <v/>
      </c>
      <c r="W630" s="24">
        <f>IF($U630="",DATE(2100,12,31),$U630)</f>
        <v/>
      </c>
      <c r="X630" s="20">
        <f>IF($U630="",$K630,$K630*$S630)</f>
        <v/>
      </c>
      <c r="Y630" s="24">
        <f>IF($U630="",DATE(2100,12,31),$U630+1)</f>
        <v/>
      </c>
      <c r="Z630" s="24">
        <f>IF($U630="",DATE(1900,1,1),$O630)</f>
        <v/>
      </c>
      <c r="AA630" s="20">
        <f>IF($U630="",0,$K630*$T630)</f>
        <v/>
      </c>
    </row>
    <row r="631">
      <c r="A631" s="15" t="inlineStr">
        <is>
          <t>Yiyi</t>
        </is>
      </c>
      <c r="B631" s="29">
        <f>IF($A631="","",IFERROR(INDEX(Roster!$B$2:$B$40,MATCH($A631,Roster!$A$2:$A$40,0)),"?"))</f>
        <v/>
      </c>
      <c r="C631" s="15" t="inlineStr">
        <is>
          <t>Realty_1</t>
        </is>
      </c>
      <c r="D631" s="29">
        <f>IF($C631="","",IFERROR(IF(INDEX(Deals!$C$2:$C$355,MATCH($C631,Deals!$A$2:$A$355,0))=0,"",INDEX(Deals!$C$2:$C$355,MATCH($C631,Deals!$A$2:$A$355,0))),"?"))</f>
        <v/>
      </c>
      <c r="E631" s="29">
        <f>IF($C631="","",IFERROR(INDEX(Deals!$F$2:$F$355,MATCH($C631,Deals!$A$2:$A$355,0)),"?"))</f>
        <v/>
      </c>
      <c r="F631" s="15" t="inlineStr">
        <is>
          <t>Renewable Specialist</t>
        </is>
      </c>
      <c r="G631" s="15" t="inlineStr">
        <is>
          <t>Active</t>
        </is>
      </c>
      <c r="H631" s="27" t="n"/>
      <c r="I631" s="20">
        <f>IF(OR($A631="",$G631&lt;&gt;"Active"),0,IF($H631&lt;&gt;"",$H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</f>
        <v/>
      </c>
      <c r="J631" s="23">
        <f>IF($C631="",0,IFERROR(INDEX(Deals!$H$2:$H$355,MATCH($C631,Deals!$A$2:$A$355,0)),0))</f>
        <v/>
      </c>
      <c r="K631" s="20">
        <f>IF(Settings!$B$4="Yes",$I631*$J631,$I631)</f>
        <v/>
      </c>
      <c r="L631" s="31">
        <f>IF($C631="","",IFERROR(IF(INDEX(Deals!$I$2:$I$355,MATCH($C631,Deals!$A$2:$A$355,0))=0,"",INDEX(Deals!$I$2:$I$355,MATCH($C631,Deals!$A$2:$A$355,0))),""))</f>
        <v/>
      </c>
      <c r="M631" s="31">
        <f>IF($C631="","",IFERROR(IF(INDEX(Deals!$J$2:$J$355,MATCH($C631,Deals!$A$2:$A$355,0))=0,"",INDEX(Deals!$J$2:$J$355,MATCH($C631,Deals!$A$2:$A$355,0))),""))</f>
        <v/>
      </c>
      <c r="N631" s="24">
        <f>IF($L631="",DATE(1900,1,1),$L631)</f>
        <v/>
      </c>
      <c r="O631" s="24">
        <f>IF($M631="",DATE(2100,12,31),$M631)</f>
        <v/>
      </c>
      <c r="P631" s="16" t="inlineStr"/>
      <c r="Q631" s="16" t="inlineStr"/>
      <c r="R631" s="29">
        <f>IF($C631="","",IFERROR(IF(INDEX(Deals!$U$2:$U$355,MATCH($C631,Deals!$A$2:$A$355,0))=0,"",INDEX(Deals!$U$2:$U$355,MATCH($C631,Deals!$A$2:$A$355,0))),""))</f>
        <v/>
      </c>
      <c r="S631" s="22">
        <f>IFERROR(IF($U631="",1,INDEX(Deals!$V$2:$V$355,MATCH($C631,Deals!$A$2:$A$355,0))),1)</f>
        <v/>
      </c>
      <c r="T631" s="22">
        <f>IFERROR(IF($U631="",1,INDEX(Deals!$W$2:$W$355,MATCH($C631,Deals!$A$2:$A$355,0))),1)</f>
        <v/>
      </c>
      <c r="U631" s="31">
        <f>IF($C631="","",IFERROR(IF(INDEX(Deals!$Y$2:$Y$355,MATCH($C631,Deals!$A$2:$A$355,0))=0,"",INDEX(Deals!$Y$2:$Y$355,MATCH($C631,Deals!$A$2:$A$355,0))),""))</f>
        <v/>
      </c>
      <c r="V631" s="24">
        <f>IF($U631="",DATE(1900,1,1),$N631)</f>
        <v/>
      </c>
      <c r="W631" s="24">
        <f>IF($U631="",DATE(2100,12,31),$U631)</f>
        <v/>
      </c>
      <c r="X631" s="20">
        <f>IF($U631="",$K631,$K631*$S631)</f>
        <v/>
      </c>
      <c r="Y631" s="24">
        <f>IF($U631="",DATE(2100,12,31),$U631+1)</f>
        <v/>
      </c>
      <c r="Z631" s="24">
        <f>IF($U631="",DATE(1900,1,1),$O631)</f>
        <v/>
      </c>
      <c r="AA631" s="20">
        <f>IF($U631="",0,$K631*$T631)</f>
        <v/>
      </c>
    </row>
    <row r="632">
      <c r="A632" s="15" t="inlineStr">
        <is>
          <t>Yiyi</t>
        </is>
      </c>
      <c r="B632" s="29">
        <f>IF($A632="","",IFERROR(INDEX(Roster!$B$2:$B$40,MATCH($A632,Roster!$A$2:$A$40,0)),"?"))</f>
        <v/>
      </c>
      <c r="C632" s="15" t="inlineStr">
        <is>
          <t>Rocky_1</t>
        </is>
      </c>
      <c r="D632" s="29">
        <f>IF($C632="","",IFERROR(IF(INDEX(Deals!$C$2:$C$355,MATCH($C632,Deals!$A$2:$A$355,0))=0,"",INDEX(Deals!$C$2:$C$355,MATCH($C632,Deals!$A$2:$A$355,0))),"?"))</f>
        <v/>
      </c>
      <c r="E632" s="29">
        <f>IF($C632="","",IFERROR(INDEX(Deals!$F$2:$F$355,MATCH($C632,Deals!$A$2:$A$355,0)),"?"))</f>
        <v/>
      </c>
      <c r="F632" s="15" t="inlineStr">
        <is>
          <t>Renewable Specialist</t>
        </is>
      </c>
      <c r="G632" s="15" t="inlineStr">
        <is>
          <t>Active</t>
        </is>
      </c>
      <c r="H632" s="27" t="n"/>
      <c r="I632" s="20">
        <f>IF(OR($A632="",$G632&lt;&gt;"Active"),0,IF($H632&lt;&gt;"",$H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</f>
        <v/>
      </c>
      <c r="J632" s="23">
        <f>IF($C632="",0,IFERROR(INDEX(Deals!$H$2:$H$355,MATCH($C632,Deals!$A$2:$A$355,0)),0))</f>
        <v/>
      </c>
      <c r="K632" s="20">
        <f>IF(Settings!$B$4="Yes",$I632*$J632,$I632)</f>
        <v/>
      </c>
      <c r="L632" s="31">
        <f>IF($C632="","",IFERROR(IF(INDEX(Deals!$I$2:$I$355,MATCH($C632,Deals!$A$2:$A$355,0))=0,"",INDEX(Deals!$I$2:$I$355,MATCH($C632,Deals!$A$2:$A$355,0))),""))</f>
        <v/>
      </c>
      <c r="M632" s="31">
        <f>IF($C632="","",IFERROR(IF(INDEX(Deals!$J$2:$J$355,MATCH($C632,Deals!$A$2:$A$355,0))=0,"",INDEX(Deals!$J$2:$J$355,MATCH($C632,Deals!$A$2:$A$355,0))),""))</f>
        <v/>
      </c>
      <c r="N632" s="24">
        <f>IF($L632="",DATE(1900,1,1),$L632)</f>
        <v/>
      </c>
      <c r="O632" s="24">
        <f>IF($M632="",DATE(2100,12,31),$M632)</f>
        <v/>
      </c>
      <c r="P632" s="16" t="inlineStr"/>
      <c r="Q632" s="16" t="inlineStr"/>
      <c r="R632" s="29">
        <f>IF($C632="","",IFERROR(IF(INDEX(Deals!$U$2:$U$355,MATCH($C632,Deals!$A$2:$A$355,0))=0,"",INDEX(Deals!$U$2:$U$355,MATCH($C632,Deals!$A$2:$A$355,0))),""))</f>
        <v/>
      </c>
      <c r="S632" s="22">
        <f>IFERROR(IF($U632="",1,INDEX(Deals!$V$2:$V$355,MATCH($C632,Deals!$A$2:$A$355,0))),1)</f>
        <v/>
      </c>
      <c r="T632" s="22">
        <f>IFERROR(IF($U632="",1,INDEX(Deals!$W$2:$W$355,MATCH($C632,Deals!$A$2:$A$355,0))),1)</f>
        <v/>
      </c>
      <c r="U632" s="31">
        <f>IF($C632="","",IFERROR(IF(INDEX(Deals!$Y$2:$Y$355,MATCH($C632,Deals!$A$2:$A$355,0))=0,"",INDEX(Deals!$Y$2:$Y$355,MATCH($C632,Deals!$A$2:$A$355,0))),""))</f>
        <v/>
      </c>
      <c r="V632" s="24">
        <f>IF($U632="",DATE(1900,1,1),$N632)</f>
        <v/>
      </c>
      <c r="W632" s="24">
        <f>IF($U632="",DATE(2100,12,31),$U632)</f>
        <v/>
      </c>
      <c r="X632" s="20">
        <f>IF($U632="",$K632,$K632*$S632)</f>
        <v/>
      </c>
      <c r="Y632" s="24">
        <f>IF($U632="",DATE(2100,12,31),$U632+1)</f>
        <v/>
      </c>
      <c r="Z632" s="24">
        <f>IF($U632="",DATE(1900,1,1),$O632)</f>
        <v/>
      </c>
      <c r="AA632" s="20">
        <f>IF($U632="",0,$K632*$T632)</f>
        <v/>
      </c>
    </row>
    <row r="633">
      <c r="A633" s="15" t="inlineStr">
        <is>
          <t>Yiyi</t>
        </is>
      </c>
      <c r="B633" s="29">
        <f>IF($A633="","",IFERROR(INDEX(Roster!$B$2:$B$40,MATCH($A633,Roster!$A$2:$A$40,0)),"?"))</f>
        <v/>
      </c>
      <c r="C633" s="15" t="inlineStr">
        <is>
          <t>Sierra_3</t>
        </is>
      </c>
      <c r="D633" s="29">
        <f>IF($C633="","",IFERROR(IF(INDEX(Deals!$C$2:$C$355,MATCH($C633,Deals!$A$2:$A$355,0))=0,"",INDEX(Deals!$C$2:$C$355,MATCH($C633,Deals!$A$2:$A$355,0))),"?"))</f>
        <v/>
      </c>
      <c r="E633" s="29">
        <f>IF($C633="","",IFERROR(INDEX(Deals!$F$2:$F$355,MATCH($C633,Deals!$A$2:$A$355,0)),"?"))</f>
        <v/>
      </c>
      <c r="F633" s="15" t="inlineStr">
        <is>
          <t>Renewable Specialist</t>
        </is>
      </c>
      <c r="G633" s="15" t="inlineStr">
        <is>
          <t>Active</t>
        </is>
      </c>
      <c r="H633" s="27" t="n"/>
      <c r="I633" s="20">
        <f>IF(OR($A633="",$G633&lt;&gt;"Active"),0,IF($H633&lt;&gt;"",$H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</f>
        <v/>
      </c>
      <c r="J633" s="23">
        <f>IF($C633="",0,IFERROR(INDEX(Deals!$H$2:$H$355,MATCH($C633,Deals!$A$2:$A$355,0)),0))</f>
        <v/>
      </c>
      <c r="K633" s="20">
        <f>IF(Settings!$B$4="Yes",$I633*$J633,$I633)</f>
        <v/>
      </c>
      <c r="L633" s="31">
        <f>IF($C633="","",IFERROR(IF(INDEX(Deals!$I$2:$I$355,MATCH($C633,Deals!$A$2:$A$355,0))=0,"",INDEX(Deals!$I$2:$I$355,MATCH($C633,Deals!$A$2:$A$355,0))),""))</f>
        <v/>
      </c>
      <c r="M633" s="31">
        <f>IF($C633="","",IFERROR(IF(INDEX(Deals!$J$2:$J$355,MATCH($C633,Deals!$A$2:$A$355,0))=0,"",INDEX(Deals!$J$2:$J$355,MATCH($C633,Deals!$A$2:$A$355,0))),""))</f>
        <v/>
      </c>
      <c r="N633" s="24">
        <f>IF($L633="",DATE(1900,1,1),$L633)</f>
        <v/>
      </c>
      <c r="O633" s="24">
        <f>IF($M633="",DATE(2100,12,31),$M633)</f>
        <v/>
      </c>
      <c r="P633" s="16" t="inlineStr"/>
      <c r="Q633" s="16" t="inlineStr"/>
      <c r="R633" s="29">
        <f>IF($C633="","",IFERROR(IF(INDEX(Deals!$U$2:$U$355,MATCH($C633,Deals!$A$2:$A$355,0))=0,"",INDEX(Deals!$U$2:$U$355,MATCH($C633,Deals!$A$2:$A$355,0))),""))</f>
        <v/>
      </c>
      <c r="S633" s="22">
        <f>IFERROR(IF($U633="",1,INDEX(Deals!$V$2:$V$355,MATCH($C633,Deals!$A$2:$A$355,0))),1)</f>
        <v/>
      </c>
      <c r="T633" s="22">
        <f>IFERROR(IF($U633="",1,INDEX(Deals!$W$2:$W$355,MATCH($C633,Deals!$A$2:$A$355,0))),1)</f>
        <v/>
      </c>
      <c r="U633" s="31">
        <f>IF($C633="","",IFERROR(IF(INDEX(Deals!$Y$2:$Y$355,MATCH($C633,Deals!$A$2:$A$355,0))=0,"",INDEX(Deals!$Y$2:$Y$355,MATCH($C633,Deals!$A$2:$A$355,0))),""))</f>
        <v/>
      </c>
      <c r="V633" s="24">
        <f>IF($U633="",DATE(1900,1,1),$N633)</f>
        <v/>
      </c>
      <c r="W633" s="24">
        <f>IF($U633="",DATE(2100,12,31),$U633)</f>
        <v/>
      </c>
      <c r="X633" s="20">
        <f>IF($U633="",$K633,$K633*$S633)</f>
        <v/>
      </c>
      <c r="Y633" s="24">
        <f>IF($U633="",DATE(2100,12,31),$U633+1)</f>
        <v/>
      </c>
      <c r="Z633" s="24">
        <f>IF($U633="",DATE(1900,1,1),$O633)</f>
        <v/>
      </c>
      <c r="AA633" s="20">
        <f>IF($U633="",0,$K633*$T633)</f>
        <v/>
      </c>
    </row>
    <row r="634">
      <c r="A634" s="15" t="inlineStr">
        <is>
          <t>Yiyi</t>
        </is>
      </c>
      <c r="B634" s="29">
        <f>IF($A634="","",IFERROR(INDEX(Roster!$B$2:$B$40,MATCH($A634,Roster!$A$2:$A$40,0)),"?"))</f>
        <v/>
      </c>
      <c r="C634" s="15" t="inlineStr">
        <is>
          <t>SolarEdge DC Adder_1</t>
        </is>
      </c>
      <c r="D634" s="29">
        <f>IF($C634="","",IFERROR(IF(INDEX(Deals!$C$2:$C$355,MATCH($C634,Deals!$A$2:$A$355,0))=0,"",INDEX(Deals!$C$2:$C$355,MATCH($C634,Deals!$A$2:$A$355,0))),"?"))</f>
        <v/>
      </c>
      <c r="E634" s="29">
        <f>IF($C634="","",IFERROR(INDEX(Deals!$F$2:$F$355,MATCH($C634,Deals!$A$2:$A$355,0)),"?"))</f>
        <v/>
      </c>
      <c r="F634" s="15" t="inlineStr">
        <is>
          <t>Renewable Specialist</t>
        </is>
      </c>
      <c r="G634" s="15" t="inlineStr">
        <is>
          <t>Active</t>
        </is>
      </c>
      <c r="H634" s="27" t="n"/>
      <c r="I634" s="20">
        <f>IF(OR($A634="",$G634&lt;&gt;"Active"),0,IF($H634&lt;&gt;"",$H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</f>
        <v/>
      </c>
      <c r="J634" s="23">
        <f>IF($C634="",0,IFERROR(INDEX(Deals!$H$2:$H$355,MATCH($C634,Deals!$A$2:$A$355,0)),0))</f>
        <v/>
      </c>
      <c r="K634" s="20">
        <f>IF(Settings!$B$4="Yes",$I634*$J634,$I634)</f>
        <v/>
      </c>
      <c r="L634" s="31">
        <f>IF($C634="","",IFERROR(IF(INDEX(Deals!$I$2:$I$355,MATCH($C634,Deals!$A$2:$A$355,0))=0,"",INDEX(Deals!$I$2:$I$355,MATCH($C634,Deals!$A$2:$A$355,0))),""))</f>
        <v/>
      </c>
      <c r="M634" s="31">
        <f>IF($C634="","",IFERROR(IF(INDEX(Deals!$J$2:$J$355,MATCH($C634,Deals!$A$2:$A$355,0))=0,"",INDEX(Deals!$J$2:$J$355,MATCH($C634,Deals!$A$2:$A$355,0))),""))</f>
        <v/>
      </c>
      <c r="N634" s="24">
        <f>IF($L634="",DATE(1900,1,1),$L634)</f>
        <v/>
      </c>
      <c r="O634" s="24">
        <f>IF($M634="",DATE(2100,12,31),$M634)</f>
        <v/>
      </c>
      <c r="P634" s="16" t="inlineStr"/>
      <c r="Q634" s="16" t="inlineStr"/>
      <c r="R634" s="29">
        <f>IF($C634="","",IFERROR(IF(INDEX(Deals!$U$2:$U$355,MATCH($C634,Deals!$A$2:$A$355,0))=0,"",INDEX(Deals!$U$2:$U$355,MATCH($C634,Deals!$A$2:$A$355,0))),""))</f>
        <v/>
      </c>
      <c r="S634" s="22">
        <f>IFERROR(IF($U634="",1,INDEX(Deals!$V$2:$V$355,MATCH($C634,Deals!$A$2:$A$355,0))),1)</f>
        <v/>
      </c>
      <c r="T634" s="22">
        <f>IFERROR(IF($U634="",1,INDEX(Deals!$W$2:$W$355,MATCH($C634,Deals!$A$2:$A$355,0))),1)</f>
        <v/>
      </c>
      <c r="U634" s="31">
        <f>IF($C634="","",IFERROR(IF(INDEX(Deals!$Y$2:$Y$355,MATCH($C634,Deals!$A$2:$A$355,0))=0,"",INDEX(Deals!$Y$2:$Y$355,MATCH($C634,Deals!$A$2:$A$355,0))),""))</f>
        <v/>
      </c>
      <c r="V634" s="24">
        <f>IF($U634="",DATE(1900,1,1),$N634)</f>
        <v/>
      </c>
      <c r="W634" s="24">
        <f>IF($U634="",DATE(2100,12,31),$U634)</f>
        <v/>
      </c>
      <c r="X634" s="20">
        <f>IF($U634="",$K634,$K634*$S634)</f>
        <v/>
      </c>
      <c r="Y634" s="24">
        <f>IF($U634="",DATE(2100,12,31),$U634+1)</f>
        <v/>
      </c>
      <c r="Z634" s="24">
        <f>IF($U634="",DATE(1900,1,1),$O634)</f>
        <v/>
      </c>
      <c r="AA634" s="20">
        <f>IF($U634="",0,$K634*$T634)</f>
        <v/>
      </c>
    </row>
    <row r="635">
      <c r="A635" s="15" t="inlineStr">
        <is>
          <t>Yiyi</t>
        </is>
      </c>
      <c r="B635" s="29">
        <f>IF($A635="","",IFERROR(INDEX(Roster!$B$2:$B$40,MATCH($A635,Roster!$A$2:$A$40,0)),"?"))</f>
        <v/>
      </c>
      <c r="C635" s="15" t="inlineStr">
        <is>
          <t>SolRite_1</t>
        </is>
      </c>
      <c r="D635" s="29">
        <f>IF($C635="","",IFERROR(IF(INDEX(Deals!$C$2:$C$355,MATCH($C635,Deals!$A$2:$A$355,0))=0,"",INDEX(Deals!$C$2:$C$355,MATCH($C635,Deals!$A$2:$A$355,0))),"?"))</f>
        <v/>
      </c>
      <c r="E635" s="29">
        <f>IF($C635="","",IFERROR(INDEX(Deals!$F$2:$F$355,MATCH($C635,Deals!$A$2:$A$355,0)),"?"))</f>
        <v/>
      </c>
      <c r="F635" s="15" t="inlineStr">
        <is>
          <t>Renewable Specialist</t>
        </is>
      </c>
      <c r="G635" s="15" t="inlineStr">
        <is>
          <t>Active</t>
        </is>
      </c>
      <c r="H635" s="27" t="n"/>
      <c r="I635" s="20">
        <f>IF(OR($A635="",$G635&lt;&gt;"Active"),0,IF($H635&lt;&gt;"",$H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</f>
        <v/>
      </c>
      <c r="J635" s="23">
        <f>IF($C635="",0,IFERROR(INDEX(Deals!$H$2:$H$355,MATCH($C635,Deals!$A$2:$A$355,0)),0))</f>
        <v/>
      </c>
      <c r="K635" s="20">
        <f>IF(Settings!$B$4="Yes",$I635*$J635,$I635)</f>
        <v/>
      </c>
      <c r="L635" s="31">
        <f>IF($C635="","",IFERROR(IF(INDEX(Deals!$I$2:$I$355,MATCH($C635,Deals!$A$2:$A$355,0))=0,"",INDEX(Deals!$I$2:$I$355,MATCH($C635,Deals!$A$2:$A$355,0))),""))</f>
        <v/>
      </c>
      <c r="M635" s="31">
        <f>IF($C635="","",IFERROR(IF(INDEX(Deals!$J$2:$J$355,MATCH($C635,Deals!$A$2:$A$355,0))=0,"",INDEX(Deals!$J$2:$J$355,MATCH($C635,Deals!$A$2:$A$355,0))),""))</f>
        <v/>
      </c>
      <c r="N635" s="24">
        <f>IF($L635="",DATE(1900,1,1),$L635)</f>
        <v/>
      </c>
      <c r="O635" s="24">
        <f>IF($M635="",DATE(2100,12,31),$M635)</f>
        <v/>
      </c>
      <c r="P635" s="16" t="inlineStr"/>
      <c r="Q635" s="16" t="inlineStr"/>
      <c r="R635" s="29">
        <f>IF($C635="","",IFERROR(IF(INDEX(Deals!$U$2:$U$355,MATCH($C635,Deals!$A$2:$A$355,0))=0,"",INDEX(Deals!$U$2:$U$355,MATCH($C635,Deals!$A$2:$A$355,0))),""))</f>
        <v/>
      </c>
      <c r="S635" s="22">
        <f>IFERROR(IF($U635="",1,INDEX(Deals!$V$2:$V$355,MATCH($C635,Deals!$A$2:$A$355,0))),1)</f>
        <v/>
      </c>
      <c r="T635" s="22">
        <f>IFERROR(IF($U635="",1,INDEX(Deals!$W$2:$W$355,MATCH($C635,Deals!$A$2:$A$355,0))),1)</f>
        <v/>
      </c>
      <c r="U635" s="31">
        <f>IF($C635="","",IFERROR(IF(INDEX(Deals!$Y$2:$Y$355,MATCH($C635,Deals!$A$2:$A$355,0))=0,"",INDEX(Deals!$Y$2:$Y$355,MATCH($C635,Deals!$A$2:$A$355,0))),""))</f>
        <v/>
      </c>
      <c r="V635" s="24">
        <f>IF($U635="",DATE(1900,1,1),$N635)</f>
        <v/>
      </c>
      <c r="W635" s="24">
        <f>IF($U635="",DATE(2100,12,31),$U635)</f>
        <v/>
      </c>
      <c r="X635" s="20">
        <f>IF($U635="",$K635,$K635*$S635)</f>
        <v/>
      </c>
      <c r="Y635" s="24">
        <f>IF($U635="",DATE(2100,12,31),$U635+1)</f>
        <v/>
      </c>
      <c r="Z635" s="24">
        <f>IF($U635="",DATE(1900,1,1),$O635)</f>
        <v/>
      </c>
      <c r="AA635" s="20">
        <f>IF($U635="",0,$K635*$T635)</f>
        <v/>
      </c>
    </row>
    <row r="636">
      <c r="A636" s="15" t="inlineStr">
        <is>
          <t>Yiyi</t>
        </is>
      </c>
      <c r="B636" s="29">
        <f>IF($A636="","",IFERROR(INDEX(Roster!$B$2:$B$40,MATCH($A636,Roster!$A$2:$A$40,0)),"?"))</f>
        <v/>
      </c>
      <c r="C636" s="15" t="inlineStr">
        <is>
          <t>Spring_6</t>
        </is>
      </c>
      <c r="D636" s="29">
        <f>IF($C636="","",IFERROR(IF(INDEX(Deals!$C$2:$C$355,MATCH($C636,Deals!$A$2:$A$355,0))=0,"",INDEX(Deals!$C$2:$C$355,MATCH($C636,Deals!$A$2:$A$355,0))),"?"))</f>
        <v/>
      </c>
      <c r="E636" s="29">
        <f>IF($C636="","",IFERROR(INDEX(Deals!$F$2:$F$355,MATCH($C636,Deals!$A$2:$A$355,0)),"?"))</f>
        <v/>
      </c>
      <c r="F636" s="15" t="inlineStr">
        <is>
          <t>Renewable Specialist</t>
        </is>
      </c>
      <c r="G636" s="15" t="inlineStr">
        <is>
          <t>Active</t>
        </is>
      </c>
      <c r="H636" s="27" t="n"/>
      <c r="I636" s="20">
        <f>IF(OR($A636="",$G636&lt;&gt;"Active"),0,IF($H636&lt;&gt;"",$H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</f>
        <v/>
      </c>
      <c r="J636" s="23">
        <f>IF($C636="",0,IFERROR(INDEX(Deals!$H$2:$H$355,MATCH($C636,Deals!$A$2:$A$355,0)),0))</f>
        <v/>
      </c>
      <c r="K636" s="20">
        <f>IF(Settings!$B$4="Yes",$I636*$J636,$I636)</f>
        <v/>
      </c>
      <c r="L636" s="31">
        <f>IF($C636="","",IFERROR(IF(INDEX(Deals!$I$2:$I$355,MATCH($C636,Deals!$A$2:$A$355,0))=0,"",INDEX(Deals!$I$2:$I$355,MATCH($C636,Deals!$A$2:$A$355,0))),""))</f>
        <v/>
      </c>
      <c r="M636" s="31">
        <f>IF($C636="","",IFERROR(IF(INDEX(Deals!$J$2:$J$355,MATCH($C636,Deals!$A$2:$A$355,0))=0,"",INDEX(Deals!$J$2:$J$355,MATCH($C636,Deals!$A$2:$A$355,0))),""))</f>
        <v/>
      </c>
      <c r="N636" s="24">
        <f>IF($L636="",DATE(1900,1,1),$L636)</f>
        <v/>
      </c>
      <c r="O636" s="24">
        <f>IF($M636="",DATE(2100,12,31),$M636)</f>
        <v/>
      </c>
      <c r="P636" s="16" t="inlineStr"/>
      <c r="Q636" s="16" t="inlineStr"/>
      <c r="R636" s="29">
        <f>IF($C636="","",IFERROR(IF(INDEX(Deals!$U$2:$U$355,MATCH($C636,Deals!$A$2:$A$355,0))=0,"",INDEX(Deals!$U$2:$U$355,MATCH($C636,Deals!$A$2:$A$355,0))),""))</f>
        <v/>
      </c>
      <c r="S636" s="22">
        <f>IFERROR(IF($U636="",1,INDEX(Deals!$V$2:$V$355,MATCH($C636,Deals!$A$2:$A$355,0))),1)</f>
        <v/>
      </c>
      <c r="T636" s="22">
        <f>IFERROR(IF($U636="",1,INDEX(Deals!$W$2:$W$355,MATCH($C636,Deals!$A$2:$A$355,0))),1)</f>
        <v/>
      </c>
      <c r="U636" s="31">
        <f>IF($C636="","",IFERROR(IF(INDEX(Deals!$Y$2:$Y$355,MATCH($C636,Deals!$A$2:$A$355,0))=0,"",INDEX(Deals!$Y$2:$Y$355,MATCH($C636,Deals!$A$2:$A$355,0))),""))</f>
        <v/>
      </c>
      <c r="V636" s="24">
        <f>IF($U636="",DATE(1900,1,1),$N636)</f>
        <v/>
      </c>
      <c r="W636" s="24">
        <f>IF($U636="",DATE(2100,12,31),$U636)</f>
        <v/>
      </c>
      <c r="X636" s="20">
        <f>IF($U636="",$K636,$K636*$S636)</f>
        <v/>
      </c>
      <c r="Y636" s="24">
        <f>IF($U636="",DATE(2100,12,31),$U636+1)</f>
        <v/>
      </c>
      <c r="Z636" s="24">
        <f>IF($U636="",DATE(1900,1,1),$O636)</f>
        <v/>
      </c>
      <c r="AA636" s="20">
        <f>IF($U636="",0,$K636*$T636)</f>
        <v/>
      </c>
    </row>
    <row r="637">
      <c r="A637" s="15" t="inlineStr">
        <is>
          <t>Yiyi</t>
        </is>
      </c>
      <c r="B637" s="29">
        <f>IF($A637="","",IFERROR(INDEX(Roster!$B$2:$B$40,MATCH($A637,Roster!$A$2:$A$40,0)),"?"))</f>
        <v/>
      </c>
      <c r="C637" s="15" t="inlineStr">
        <is>
          <t>Starshade and Radar_1</t>
        </is>
      </c>
      <c r="D637" s="29">
        <f>IF($C637="","",IFERROR(IF(INDEX(Deals!$C$2:$C$355,MATCH($C637,Deals!$A$2:$A$355,0))=0,"",INDEX(Deals!$C$2:$C$355,MATCH($C637,Deals!$A$2:$A$355,0))),"?"))</f>
        <v/>
      </c>
      <c r="E637" s="29">
        <f>IF($C637="","",IFERROR(INDEX(Deals!$F$2:$F$355,MATCH($C637,Deals!$A$2:$A$355,0)),"?"))</f>
        <v/>
      </c>
      <c r="F637" s="15" t="inlineStr">
        <is>
          <t>Renewable Specialist</t>
        </is>
      </c>
      <c r="G637" s="15" t="inlineStr">
        <is>
          <t>Active</t>
        </is>
      </c>
      <c r="H637" s="27" t="n"/>
      <c r="I637" s="20">
        <f>IF(OR($A637="",$G637&lt;&gt;"Active"),0,IF($H637&lt;&gt;"",$H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</f>
        <v/>
      </c>
      <c r="J637" s="23">
        <f>IF($C637="",0,IFERROR(INDEX(Deals!$H$2:$H$355,MATCH($C637,Deals!$A$2:$A$355,0)),0))</f>
        <v/>
      </c>
      <c r="K637" s="20">
        <f>IF(Settings!$B$4="Yes",$I637*$J637,$I637)</f>
        <v/>
      </c>
      <c r="L637" s="31">
        <f>IF($C637="","",IFERROR(IF(INDEX(Deals!$I$2:$I$355,MATCH($C637,Deals!$A$2:$A$355,0))=0,"",INDEX(Deals!$I$2:$I$355,MATCH($C637,Deals!$A$2:$A$355,0))),""))</f>
        <v/>
      </c>
      <c r="M637" s="31">
        <f>IF($C637="","",IFERROR(IF(INDEX(Deals!$J$2:$J$355,MATCH($C637,Deals!$A$2:$A$355,0))=0,"",INDEX(Deals!$J$2:$J$355,MATCH($C637,Deals!$A$2:$A$355,0))),""))</f>
        <v/>
      </c>
      <c r="N637" s="24">
        <f>IF($L637="",DATE(1900,1,1),$L637)</f>
        <v/>
      </c>
      <c r="O637" s="24">
        <f>IF($M637="",DATE(2100,12,31),$M637)</f>
        <v/>
      </c>
      <c r="P637" s="16" t="inlineStr"/>
      <c r="Q637" s="16" t="inlineStr"/>
      <c r="R637" s="29">
        <f>IF($C637="","",IFERROR(IF(INDEX(Deals!$U$2:$U$355,MATCH($C637,Deals!$A$2:$A$355,0))=0,"",INDEX(Deals!$U$2:$U$355,MATCH($C637,Deals!$A$2:$A$355,0))),""))</f>
        <v/>
      </c>
      <c r="S637" s="22">
        <f>IFERROR(IF($U637="",1,INDEX(Deals!$V$2:$V$355,MATCH($C637,Deals!$A$2:$A$355,0))),1)</f>
        <v/>
      </c>
      <c r="T637" s="22">
        <f>IFERROR(IF($U637="",1,INDEX(Deals!$W$2:$W$355,MATCH($C637,Deals!$A$2:$A$355,0))),1)</f>
        <v/>
      </c>
      <c r="U637" s="31">
        <f>IF($C637="","",IFERROR(IF(INDEX(Deals!$Y$2:$Y$355,MATCH($C637,Deals!$A$2:$A$355,0))=0,"",INDEX(Deals!$Y$2:$Y$355,MATCH($C637,Deals!$A$2:$A$355,0))),""))</f>
        <v/>
      </c>
      <c r="V637" s="24">
        <f>IF($U637="",DATE(1900,1,1),$N637)</f>
        <v/>
      </c>
      <c r="W637" s="24">
        <f>IF($U637="",DATE(2100,12,31),$U637)</f>
        <v/>
      </c>
      <c r="X637" s="20">
        <f>IF($U637="",$K637,$K637*$S637)</f>
        <v/>
      </c>
      <c r="Y637" s="24">
        <f>IF($U637="",DATE(2100,12,31),$U637+1)</f>
        <v/>
      </c>
      <c r="Z637" s="24">
        <f>IF($U637="",DATE(1900,1,1),$O637)</f>
        <v/>
      </c>
      <c r="AA637" s="20">
        <f>IF($U637="",0,$K637*$T637)</f>
        <v/>
      </c>
    </row>
    <row r="638">
      <c r="A638" s="15" t="inlineStr">
        <is>
          <t>Yiyi</t>
        </is>
      </c>
      <c r="B638" s="29">
        <f>IF($A638="","",IFERROR(INDEX(Roster!$B$2:$B$40,MATCH($A638,Roster!$A$2:$A$40,0)),"?"))</f>
        <v/>
      </c>
      <c r="C638" s="15" t="inlineStr">
        <is>
          <t>Sunnova - TEP 8-H_1</t>
        </is>
      </c>
      <c r="D638" s="29">
        <f>IF($C638="","",IFERROR(IF(INDEX(Deals!$C$2:$C$355,MATCH($C638,Deals!$A$2:$A$355,0))=0,"",INDEX(Deals!$C$2:$C$355,MATCH($C638,Deals!$A$2:$A$355,0))),"?"))</f>
        <v/>
      </c>
      <c r="E638" s="29">
        <f>IF($C638="","",IFERROR(INDEX(Deals!$F$2:$F$355,MATCH($C638,Deals!$A$2:$A$355,0)),"?"))</f>
        <v/>
      </c>
      <c r="F638" s="15" t="inlineStr">
        <is>
          <t>Renewable Specialist</t>
        </is>
      </c>
      <c r="G638" s="15" t="inlineStr">
        <is>
          <t>Active</t>
        </is>
      </c>
      <c r="H638" s="27" t="n"/>
      <c r="I638" s="20">
        <f>IF(OR($A638="",$G638&lt;&gt;"Active"),0,IF($H638&lt;&gt;"",$H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</f>
        <v/>
      </c>
      <c r="J638" s="23">
        <f>IF($C638="",0,IFERROR(INDEX(Deals!$H$2:$H$355,MATCH($C638,Deals!$A$2:$A$355,0)),0))</f>
        <v/>
      </c>
      <c r="K638" s="20">
        <f>IF(Settings!$B$4="Yes",$I638*$J638,$I638)</f>
        <v/>
      </c>
      <c r="L638" s="31">
        <f>IF($C638="","",IFERROR(IF(INDEX(Deals!$I$2:$I$355,MATCH($C638,Deals!$A$2:$A$355,0))=0,"",INDEX(Deals!$I$2:$I$355,MATCH($C638,Deals!$A$2:$A$355,0))),""))</f>
        <v/>
      </c>
      <c r="M638" s="31">
        <f>IF($C638="","",IFERROR(IF(INDEX(Deals!$J$2:$J$355,MATCH($C638,Deals!$A$2:$A$355,0))=0,"",INDEX(Deals!$J$2:$J$355,MATCH($C638,Deals!$A$2:$A$355,0))),""))</f>
        <v/>
      </c>
      <c r="N638" s="24">
        <f>IF($L638="",DATE(1900,1,1),$L638)</f>
        <v/>
      </c>
      <c r="O638" s="24">
        <f>IF($M638="",DATE(2100,12,31),$M638)</f>
        <v/>
      </c>
      <c r="P638" s="16" t="inlineStr"/>
      <c r="Q638" s="16" t="inlineStr"/>
      <c r="R638" s="29">
        <f>IF($C638="","",IFERROR(IF(INDEX(Deals!$U$2:$U$355,MATCH($C638,Deals!$A$2:$A$355,0))=0,"",INDEX(Deals!$U$2:$U$355,MATCH($C638,Deals!$A$2:$A$355,0))),""))</f>
        <v/>
      </c>
      <c r="S638" s="22">
        <f>IFERROR(IF($U638="",1,INDEX(Deals!$V$2:$V$355,MATCH($C638,Deals!$A$2:$A$355,0))),1)</f>
        <v/>
      </c>
      <c r="T638" s="22">
        <f>IFERROR(IF($U638="",1,INDEX(Deals!$W$2:$W$355,MATCH($C638,Deals!$A$2:$A$355,0))),1)</f>
        <v/>
      </c>
      <c r="U638" s="31">
        <f>IF($C638="","",IFERROR(IF(INDEX(Deals!$Y$2:$Y$355,MATCH($C638,Deals!$A$2:$A$355,0))=0,"",INDEX(Deals!$Y$2:$Y$355,MATCH($C638,Deals!$A$2:$A$355,0))),""))</f>
        <v/>
      </c>
      <c r="V638" s="24">
        <f>IF($U638="",DATE(1900,1,1),$N638)</f>
        <v/>
      </c>
      <c r="W638" s="24">
        <f>IF($U638="",DATE(2100,12,31),$U638)</f>
        <v/>
      </c>
      <c r="X638" s="20">
        <f>IF($U638="",$K638,$K638*$S638)</f>
        <v/>
      </c>
      <c r="Y638" s="24">
        <f>IF($U638="",DATE(2100,12,31),$U638+1)</f>
        <v/>
      </c>
      <c r="Z638" s="24">
        <f>IF($U638="",DATE(1900,1,1),$O638)</f>
        <v/>
      </c>
      <c r="AA638" s="20">
        <f>IF($U638="",0,$K638*$T638)</f>
        <v/>
      </c>
    </row>
    <row r="639">
      <c r="A639" s="15" t="inlineStr">
        <is>
          <t>Yiyi</t>
        </is>
      </c>
      <c r="B639" s="29">
        <f>IF($A639="","",IFERROR(INDEX(Roster!$B$2:$B$40,MATCH($A639,Roster!$A$2:$A$40,0)),"?"))</f>
        <v/>
      </c>
      <c r="C639" s="15" t="inlineStr">
        <is>
          <t>Sunnova TEP 8-I - Homebuilder_1</t>
        </is>
      </c>
      <c r="D639" s="29">
        <f>IF($C639="","",IFERROR(IF(INDEX(Deals!$C$2:$C$355,MATCH($C639,Deals!$A$2:$A$355,0))=0,"",INDEX(Deals!$C$2:$C$355,MATCH($C639,Deals!$A$2:$A$355,0))),"?"))</f>
        <v/>
      </c>
      <c r="E639" s="29">
        <f>IF($C639="","",IFERROR(INDEX(Deals!$F$2:$F$355,MATCH($C639,Deals!$A$2:$A$355,0)),"?"))</f>
        <v/>
      </c>
      <c r="F639" s="15" t="inlineStr">
        <is>
          <t>Renewable Specialist</t>
        </is>
      </c>
      <c r="G639" s="15" t="inlineStr">
        <is>
          <t>Active</t>
        </is>
      </c>
      <c r="H639" s="27" t="n"/>
      <c r="I639" s="20">
        <f>IF(OR($A639="",$G639&lt;&gt;"Active"),0,IF($H639&lt;&gt;"",$H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</f>
        <v/>
      </c>
      <c r="J639" s="23">
        <f>IF($C639="",0,IFERROR(INDEX(Deals!$H$2:$H$355,MATCH($C639,Deals!$A$2:$A$355,0)),0))</f>
        <v/>
      </c>
      <c r="K639" s="20">
        <f>IF(Settings!$B$4="Yes",$I639*$J639,$I639)</f>
        <v/>
      </c>
      <c r="L639" s="31">
        <f>IF($C639="","",IFERROR(IF(INDEX(Deals!$I$2:$I$355,MATCH($C639,Deals!$A$2:$A$355,0))=0,"",INDEX(Deals!$I$2:$I$355,MATCH($C639,Deals!$A$2:$A$355,0))),""))</f>
        <v/>
      </c>
      <c r="M639" s="31">
        <f>IF($C639="","",IFERROR(IF(INDEX(Deals!$J$2:$J$355,MATCH($C639,Deals!$A$2:$A$355,0))=0,"",INDEX(Deals!$J$2:$J$355,MATCH($C639,Deals!$A$2:$A$355,0))),""))</f>
        <v/>
      </c>
      <c r="N639" s="24">
        <f>IF($L639="",DATE(1900,1,1),$L639)</f>
        <v/>
      </c>
      <c r="O639" s="24">
        <f>IF($M639="",DATE(2100,12,31),$M639)</f>
        <v/>
      </c>
      <c r="P639" s="16" t="inlineStr"/>
      <c r="Q639" s="16" t="inlineStr"/>
      <c r="R639" s="29">
        <f>IF($C639="","",IFERROR(IF(INDEX(Deals!$U$2:$U$355,MATCH($C639,Deals!$A$2:$A$355,0))=0,"",INDEX(Deals!$U$2:$U$355,MATCH($C639,Deals!$A$2:$A$355,0))),""))</f>
        <v/>
      </c>
      <c r="S639" s="22">
        <f>IFERROR(IF($U639="",1,INDEX(Deals!$V$2:$V$355,MATCH($C639,Deals!$A$2:$A$355,0))),1)</f>
        <v/>
      </c>
      <c r="T639" s="22">
        <f>IFERROR(IF($U639="",1,INDEX(Deals!$W$2:$W$355,MATCH($C639,Deals!$A$2:$A$355,0))),1)</f>
        <v/>
      </c>
      <c r="U639" s="31">
        <f>IF($C639="","",IFERROR(IF(INDEX(Deals!$Y$2:$Y$355,MATCH($C639,Deals!$A$2:$A$355,0))=0,"",INDEX(Deals!$Y$2:$Y$355,MATCH($C639,Deals!$A$2:$A$355,0))),""))</f>
        <v/>
      </c>
      <c r="V639" s="24">
        <f>IF($U639="",DATE(1900,1,1),$N639)</f>
        <v/>
      </c>
      <c r="W639" s="24">
        <f>IF($U639="",DATE(2100,12,31),$U639)</f>
        <v/>
      </c>
      <c r="X639" s="20">
        <f>IF($U639="",$K639,$K639*$S639)</f>
        <v/>
      </c>
      <c r="Y639" s="24">
        <f>IF($U639="",DATE(2100,12,31),$U639+1)</f>
        <v/>
      </c>
      <c r="Z639" s="24">
        <f>IF($U639="",DATE(1900,1,1),$O639)</f>
        <v/>
      </c>
      <c r="AA639" s="20">
        <f>IF($U639="",0,$K639*$T639)</f>
        <v/>
      </c>
    </row>
    <row r="640">
      <c r="A640" s="15" t="inlineStr">
        <is>
          <t>Yiyi</t>
        </is>
      </c>
      <c r="B640" s="29">
        <f>IF($A640="","",IFERROR(INDEX(Roster!$B$2:$B$40,MATCH($A640,Roster!$A$2:$A$40,0)),"?"))</f>
        <v/>
      </c>
      <c r="C640" s="15" t="inlineStr">
        <is>
          <t>Sunrise_5</t>
        </is>
      </c>
      <c r="D640" s="29">
        <f>IF($C640="","",IFERROR(IF(INDEX(Deals!$C$2:$C$355,MATCH($C640,Deals!$A$2:$A$355,0))=0,"",INDEX(Deals!$C$2:$C$355,MATCH($C640,Deals!$A$2:$A$355,0))),"?"))</f>
        <v/>
      </c>
      <c r="E640" s="29">
        <f>IF($C640="","",IFERROR(INDEX(Deals!$F$2:$F$355,MATCH($C640,Deals!$A$2:$A$355,0)),"?"))</f>
        <v/>
      </c>
      <c r="F640" s="15" t="inlineStr">
        <is>
          <t>Renewable Specialist</t>
        </is>
      </c>
      <c r="G640" s="15" t="inlineStr">
        <is>
          <t>Active</t>
        </is>
      </c>
      <c r="H640" s="27" t="n"/>
      <c r="I640" s="20">
        <f>IF(OR($A640="",$G640&lt;&gt;"Active"),0,IF($H640&lt;&gt;"",$H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</f>
        <v/>
      </c>
      <c r="J640" s="23">
        <f>IF($C640="",0,IFERROR(INDEX(Deals!$H$2:$H$355,MATCH($C640,Deals!$A$2:$A$355,0)),0))</f>
        <v/>
      </c>
      <c r="K640" s="20">
        <f>IF(Settings!$B$4="Yes",$I640*$J640,$I640)</f>
        <v/>
      </c>
      <c r="L640" s="31">
        <f>IF($C640="","",IFERROR(IF(INDEX(Deals!$I$2:$I$355,MATCH($C640,Deals!$A$2:$A$355,0))=0,"",INDEX(Deals!$I$2:$I$355,MATCH($C640,Deals!$A$2:$A$355,0))),""))</f>
        <v/>
      </c>
      <c r="M640" s="31">
        <f>IF($C640="","",IFERROR(IF(INDEX(Deals!$J$2:$J$355,MATCH($C640,Deals!$A$2:$A$355,0))=0,"",INDEX(Deals!$J$2:$J$355,MATCH($C640,Deals!$A$2:$A$355,0))),""))</f>
        <v/>
      </c>
      <c r="N640" s="24">
        <f>IF($L640="",DATE(1900,1,1),$L640)</f>
        <v/>
      </c>
      <c r="O640" s="24">
        <f>IF($M640="",DATE(2100,12,31),$M640)</f>
        <v/>
      </c>
      <c r="P640" s="16" t="inlineStr"/>
      <c r="Q640" s="16" t="inlineStr"/>
      <c r="R640" s="29">
        <f>IF($C640="","",IFERROR(IF(INDEX(Deals!$U$2:$U$355,MATCH($C640,Deals!$A$2:$A$355,0))=0,"",INDEX(Deals!$U$2:$U$355,MATCH($C640,Deals!$A$2:$A$355,0))),""))</f>
        <v/>
      </c>
      <c r="S640" s="22">
        <f>IFERROR(IF($U640="",1,INDEX(Deals!$V$2:$V$355,MATCH($C640,Deals!$A$2:$A$355,0))),1)</f>
        <v/>
      </c>
      <c r="T640" s="22">
        <f>IFERROR(IF($U640="",1,INDEX(Deals!$W$2:$W$355,MATCH($C640,Deals!$A$2:$A$355,0))),1)</f>
        <v/>
      </c>
      <c r="U640" s="31">
        <f>IF($C640="","",IFERROR(IF(INDEX(Deals!$Y$2:$Y$355,MATCH($C640,Deals!$A$2:$A$355,0))=0,"",INDEX(Deals!$Y$2:$Y$355,MATCH($C640,Deals!$A$2:$A$355,0))),""))</f>
        <v/>
      </c>
      <c r="V640" s="24">
        <f>IF($U640="",DATE(1900,1,1),$N640)</f>
        <v/>
      </c>
      <c r="W640" s="24">
        <f>IF($U640="",DATE(2100,12,31),$U640)</f>
        <v/>
      </c>
      <c r="X640" s="20">
        <f>IF($U640="",$K640,$K640*$S640)</f>
        <v/>
      </c>
      <c r="Y640" s="24">
        <f>IF($U640="",DATE(2100,12,31),$U640+1)</f>
        <v/>
      </c>
      <c r="Z640" s="24">
        <f>IF($U640="",DATE(1900,1,1),$O640)</f>
        <v/>
      </c>
      <c r="AA640" s="20">
        <f>IF($U640="",0,$K640*$T640)</f>
        <v/>
      </c>
    </row>
    <row r="641">
      <c r="A641" s="15" t="inlineStr">
        <is>
          <t>Yiyi</t>
        </is>
      </c>
      <c r="B641" s="29">
        <f>IF($A641="","",IFERROR(INDEX(Roster!$B$2:$B$40,MATCH($A641,Roster!$A$2:$A$40,0)),"?"))</f>
        <v/>
      </c>
      <c r="C641" s="15" t="inlineStr">
        <is>
          <t>Sunset_1</t>
        </is>
      </c>
      <c r="D641" s="29">
        <f>IF($C641="","",IFERROR(IF(INDEX(Deals!$C$2:$C$355,MATCH($C641,Deals!$A$2:$A$355,0))=0,"",INDEX(Deals!$C$2:$C$355,MATCH($C641,Deals!$A$2:$A$355,0))),"?"))</f>
        <v/>
      </c>
      <c r="E641" s="29">
        <f>IF($C641="","",IFERROR(INDEX(Deals!$F$2:$F$355,MATCH($C641,Deals!$A$2:$A$355,0)),"?"))</f>
        <v/>
      </c>
      <c r="F641" s="15" t="inlineStr">
        <is>
          <t>Renewable Specialist</t>
        </is>
      </c>
      <c r="G641" s="15" t="inlineStr">
        <is>
          <t>Active</t>
        </is>
      </c>
      <c r="H641" s="27" t="n"/>
      <c r="I641" s="20">
        <f>IF(OR($A641="",$G641&lt;&gt;"Active"),0,IF($H641&lt;&gt;"",$H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</f>
        <v/>
      </c>
      <c r="J641" s="23">
        <f>IF($C641="",0,IFERROR(INDEX(Deals!$H$2:$H$355,MATCH($C641,Deals!$A$2:$A$355,0)),0))</f>
        <v/>
      </c>
      <c r="K641" s="20">
        <f>IF(Settings!$B$4="Yes",$I641*$J641,$I641)</f>
        <v/>
      </c>
      <c r="L641" s="31">
        <f>IF($C641="","",IFERROR(IF(INDEX(Deals!$I$2:$I$355,MATCH($C641,Deals!$A$2:$A$355,0))=0,"",INDEX(Deals!$I$2:$I$355,MATCH($C641,Deals!$A$2:$A$355,0))),""))</f>
        <v/>
      </c>
      <c r="M641" s="31">
        <f>IF($C641="","",IFERROR(IF(INDEX(Deals!$J$2:$J$355,MATCH($C641,Deals!$A$2:$A$355,0))=0,"",INDEX(Deals!$J$2:$J$355,MATCH($C641,Deals!$A$2:$A$355,0))),""))</f>
        <v/>
      </c>
      <c r="N641" s="24">
        <f>IF($L641="",DATE(1900,1,1),$L641)</f>
        <v/>
      </c>
      <c r="O641" s="24">
        <f>IF($M641="",DATE(2100,12,31),$M641)</f>
        <v/>
      </c>
      <c r="P641" s="16" t="inlineStr"/>
      <c r="Q641" s="16" t="inlineStr"/>
      <c r="R641" s="29">
        <f>IF($C641="","",IFERROR(IF(INDEX(Deals!$U$2:$U$355,MATCH($C641,Deals!$A$2:$A$355,0))=0,"",INDEX(Deals!$U$2:$U$355,MATCH($C641,Deals!$A$2:$A$355,0))),""))</f>
        <v/>
      </c>
      <c r="S641" s="22">
        <f>IFERROR(IF($U641="",1,INDEX(Deals!$V$2:$V$355,MATCH($C641,Deals!$A$2:$A$355,0))),1)</f>
        <v/>
      </c>
      <c r="T641" s="22">
        <f>IFERROR(IF($U641="",1,INDEX(Deals!$W$2:$W$355,MATCH($C641,Deals!$A$2:$A$355,0))),1)</f>
        <v/>
      </c>
      <c r="U641" s="31">
        <f>IF($C641="","",IFERROR(IF(INDEX(Deals!$Y$2:$Y$355,MATCH($C641,Deals!$A$2:$A$355,0))=0,"",INDEX(Deals!$Y$2:$Y$355,MATCH($C641,Deals!$A$2:$A$355,0))),""))</f>
        <v/>
      </c>
      <c r="V641" s="24">
        <f>IF($U641="",DATE(1900,1,1),$N641)</f>
        <v/>
      </c>
      <c r="W641" s="24">
        <f>IF($U641="",DATE(2100,12,31),$U641)</f>
        <v/>
      </c>
      <c r="X641" s="20">
        <f>IF($U641="",$K641,$K641*$S641)</f>
        <v/>
      </c>
      <c r="Y641" s="24">
        <f>IF($U641="",DATE(2100,12,31),$U641+1)</f>
        <v/>
      </c>
      <c r="Z641" s="24">
        <f>IF($U641="",DATE(1900,1,1),$O641)</f>
        <v/>
      </c>
      <c r="AA641" s="20">
        <f>IF($U641="",0,$K641*$T641)</f>
        <v/>
      </c>
    </row>
    <row r="642">
      <c r="A642" s="15" t="inlineStr">
        <is>
          <t>Yiyi</t>
        </is>
      </c>
      <c r="B642" s="29">
        <f>IF($A642="","",IFERROR(INDEX(Roster!$B$2:$B$40,MATCH($A642,Roster!$A$2:$A$40,0)),"?"))</f>
        <v/>
      </c>
      <c r="C642" s="15" t="inlineStr">
        <is>
          <t>Sunshine_4</t>
        </is>
      </c>
      <c r="D642" s="29">
        <f>IF($C642="","",IFERROR(IF(INDEX(Deals!$C$2:$C$355,MATCH($C642,Deals!$A$2:$A$355,0))=0,"",INDEX(Deals!$C$2:$C$355,MATCH($C642,Deals!$A$2:$A$355,0))),"?"))</f>
        <v/>
      </c>
      <c r="E642" s="29">
        <f>IF($C642="","",IFERROR(INDEX(Deals!$F$2:$F$355,MATCH($C642,Deals!$A$2:$A$355,0)),"?"))</f>
        <v/>
      </c>
      <c r="F642" s="15" t="inlineStr">
        <is>
          <t>Renewable Specialist</t>
        </is>
      </c>
      <c r="G642" s="15" t="inlineStr">
        <is>
          <t>Active</t>
        </is>
      </c>
      <c r="H642" s="27" t="n"/>
      <c r="I642" s="20">
        <f>IF(OR($A642="",$G642&lt;&gt;"Active"),0,IF($H642&lt;&gt;"",$H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</f>
        <v/>
      </c>
      <c r="J642" s="23">
        <f>IF($C642="",0,IFERROR(INDEX(Deals!$H$2:$H$355,MATCH($C642,Deals!$A$2:$A$355,0)),0))</f>
        <v/>
      </c>
      <c r="K642" s="20">
        <f>IF(Settings!$B$4="Yes",$I642*$J642,$I642)</f>
        <v/>
      </c>
      <c r="L642" s="31">
        <f>IF($C642="","",IFERROR(IF(INDEX(Deals!$I$2:$I$355,MATCH($C642,Deals!$A$2:$A$355,0))=0,"",INDEX(Deals!$I$2:$I$355,MATCH($C642,Deals!$A$2:$A$355,0))),""))</f>
        <v/>
      </c>
      <c r="M642" s="31">
        <f>IF($C642="","",IFERROR(IF(INDEX(Deals!$J$2:$J$355,MATCH($C642,Deals!$A$2:$A$355,0))=0,"",INDEX(Deals!$J$2:$J$355,MATCH($C642,Deals!$A$2:$A$355,0))),""))</f>
        <v/>
      </c>
      <c r="N642" s="24">
        <f>IF($L642="",DATE(1900,1,1),$L642)</f>
        <v/>
      </c>
      <c r="O642" s="24">
        <f>IF($M642="",DATE(2100,12,31),$M642)</f>
        <v/>
      </c>
      <c r="P642" s="16" t="inlineStr"/>
      <c r="Q642" s="16" t="inlineStr"/>
      <c r="R642" s="29">
        <f>IF($C642="","",IFERROR(IF(INDEX(Deals!$U$2:$U$355,MATCH($C642,Deals!$A$2:$A$355,0))=0,"",INDEX(Deals!$U$2:$U$355,MATCH($C642,Deals!$A$2:$A$355,0))),""))</f>
        <v/>
      </c>
      <c r="S642" s="22">
        <f>IFERROR(IF($U642="",1,INDEX(Deals!$V$2:$V$355,MATCH($C642,Deals!$A$2:$A$355,0))),1)</f>
        <v/>
      </c>
      <c r="T642" s="22">
        <f>IFERROR(IF($U642="",1,INDEX(Deals!$W$2:$W$355,MATCH($C642,Deals!$A$2:$A$355,0))),1)</f>
        <v/>
      </c>
      <c r="U642" s="31">
        <f>IF($C642="","",IFERROR(IF(INDEX(Deals!$Y$2:$Y$355,MATCH($C642,Deals!$A$2:$A$355,0))=0,"",INDEX(Deals!$Y$2:$Y$355,MATCH($C642,Deals!$A$2:$A$355,0))),""))</f>
        <v/>
      </c>
      <c r="V642" s="24">
        <f>IF($U642="",DATE(1900,1,1),$N642)</f>
        <v/>
      </c>
      <c r="W642" s="24">
        <f>IF($U642="",DATE(2100,12,31),$U642)</f>
        <v/>
      </c>
      <c r="X642" s="20">
        <f>IF($U642="",$K642,$K642*$S642)</f>
        <v/>
      </c>
      <c r="Y642" s="24">
        <f>IF($U642="",DATE(2100,12,31),$U642+1)</f>
        <v/>
      </c>
      <c r="Z642" s="24">
        <f>IF($U642="",DATE(1900,1,1),$O642)</f>
        <v/>
      </c>
      <c r="AA642" s="20">
        <f>IF($U642="",0,$K642*$T642)</f>
        <v/>
      </c>
    </row>
    <row r="643">
      <c r="A643" s="15" t="inlineStr">
        <is>
          <t>Yiyi</t>
        </is>
      </c>
      <c r="B643" s="29">
        <f>IF($A643="","",IFERROR(INDEX(Roster!$B$2:$B$40,MATCH($A643,Roster!$A$2:$A$40,0)),"?"))</f>
        <v/>
      </c>
      <c r="C643" s="15" t="inlineStr">
        <is>
          <t>Sunzia_3</t>
        </is>
      </c>
      <c r="D643" s="29">
        <f>IF($C643="","",IFERROR(IF(INDEX(Deals!$C$2:$C$355,MATCH($C643,Deals!$A$2:$A$355,0))=0,"",INDEX(Deals!$C$2:$C$355,MATCH($C643,Deals!$A$2:$A$355,0))),"?"))</f>
        <v/>
      </c>
      <c r="E643" s="29">
        <f>IF($C643="","",IFERROR(INDEX(Deals!$F$2:$F$355,MATCH($C643,Deals!$A$2:$A$355,0)),"?"))</f>
        <v/>
      </c>
      <c r="F643" s="15" t="inlineStr">
        <is>
          <t>Renewable Specialist</t>
        </is>
      </c>
      <c r="G643" s="15" t="inlineStr">
        <is>
          <t>Active</t>
        </is>
      </c>
      <c r="H643" s="27" t="n"/>
      <c r="I643" s="20">
        <f>IF(OR($A643="",$G643&lt;&gt;"Active"),0,IF($H643&lt;&gt;"",$H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</f>
        <v/>
      </c>
      <c r="J643" s="23">
        <f>IF($C643="",0,IFERROR(INDEX(Deals!$H$2:$H$355,MATCH($C643,Deals!$A$2:$A$355,0)),0))</f>
        <v/>
      </c>
      <c r="K643" s="20">
        <f>IF(Settings!$B$4="Yes",$I643*$J643,$I643)</f>
        <v/>
      </c>
      <c r="L643" s="31">
        <f>IF($C643="","",IFERROR(IF(INDEX(Deals!$I$2:$I$355,MATCH($C643,Deals!$A$2:$A$355,0))=0,"",INDEX(Deals!$I$2:$I$355,MATCH($C643,Deals!$A$2:$A$355,0))),""))</f>
        <v/>
      </c>
      <c r="M643" s="31">
        <f>IF($C643="","",IFERROR(IF(INDEX(Deals!$J$2:$J$355,MATCH($C643,Deals!$A$2:$A$355,0))=0,"",INDEX(Deals!$J$2:$J$355,MATCH($C643,Deals!$A$2:$A$355,0))),""))</f>
        <v/>
      </c>
      <c r="N643" s="24">
        <f>IF($L643="",DATE(1900,1,1),$L643)</f>
        <v/>
      </c>
      <c r="O643" s="24">
        <f>IF($M643="",DATE(2100,12,31),$M643)</f>
        <v/>
      </c>
      <c r="P643" s="16" t="inlineStr"/>
      <c r="Q643" s="16" t="inlineStr"/>
      <c r="R643" s="29">
        <f>IF($C643="","",IFERROR(IF(INDEX(Deals!$U$2:$U$355,MATCH($C643,Deals!$A$2:$A$355,0))=0,"",INDEX(Deals!$U$2:$U$355,MATCH($C643,Deals!$A$2:$A$355,0))),""))</f>
        <v/>
      </c>
      <c r="S643" s="22">
        <f>IFERROR(IF($U643="",1,INDEX(Deals!$V$2:$V$355,MATCH($C643,Deals!$A$2:$A$355,0))),1)</f>
        <v/>
      </c>
      <c r="T643" s="22">
        <f>IFERROR(IF($U643="",1,INDEX(Deals!$W$2:$W$355,MATCH($C643,Deals!$A$2:$A$355,0))),1)</f>
        <v/>
      </c>
      <c r="U643" s="31">
        <f>IF($C643="","",IFERROR(IF(INDEX(Deals!$Y$2:$Y$355,MATCH($C643,Deals!$A$2:$A$355,0))=0,"",INDEX(Deals!$Y$2:$Y$355,MATCH($C643,Deals!$A$2:$A$355,0))),""))</f>
        <v/>
      </c>
      <c r="V643" s="24">
        <f>IF($U643="",DATE(1900,1,1),$N643)</f>
        <v/>
      </c>
      <c r="W643" s="24">
        <f>IF($U643="",DATE(2100,12,31),$U643)</f>
        <v/>
      </c>
      <c r="X643" s="20">
        <f>IF($U643="",$K643,$K643*$S643)</f>
        <v/>
      </c>
      <c r="Y643" s="24">
        <f>IF($U643="",DATE(2100,12,31),$U643+1)</f>
        <v/>
      </c>
      <c r="Z643" s="24">
        <f>IF($U643="",DATE(1900,1,1),$O643)</f>
        <v/>
      </c>
      <c r="AA643" s="20">
        <f>IF($U643="",0,$K643*$T643)</f>
        <v/>
      </c>
    </row>
    <row r="644">
      <c r="A644" s="15" t="inlineStr">
        <is>
          <t>Yiyi</t>
        </is>
      </c>
      <c r="B644" s="29">
        <f>IF($A644="","",IFERROR(INDEX(Roster!$B$2:$B$40,MATCH($A644,Roster!$A$2:$A$40,0)),"?"))</f>
        <v/>
      </c>
      <c r="C644" s="15" t="inlineStr">
        <is>
          <t>Tax_7</t>
        </is>
      </c>
      <c r="D644" s="29">
        <f>IF($C644="","",IFERROR(IF(INDEX(Deals!$C$2:$C$355,MATCH($C644,Deals!$A$2:$A$355,0))=0,"",INDEX(Deals!$C$2:$C$355,MATCH($C644,Deals!$A$2:$A$355,0))),"?"))</f>
        <v/>
      </c>
      <c r="E644" s="29">
        <f>IF($C644="","",IFERROR(INDEX(Deals!$F$2:$F$355,MATCH($C644,Deals!$A$2:$A$355,0)),"?"))</f>
        <v/>
      </c>
      <c r="F644" s="15" t="inlineStr">
        <is>
          <t>Renewable Specialist</t>
        </is>
      </c>
      <c r="G644" s="15" t="inlineStr">
        <is>
          <t>Active</t>
        </is>
      </c>
      <c r="H644" s="27" t="n"/>
      <c r="I644" s="20">
        <f>IF(OR($A644="",$G644&lt;&gt;"Active"),0,IF($H644&lt;&gt;"",$H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</f>
        <v/>
      </c>
      <c r="J644" s="23">
        <f>IF($C644="",0,IFERROR(INDEX(Deals!$H$2:$H$355,MATCH($C644,Deals!$A$2:$A$355,0)),0))</f>
        <v/>
      </c>
      <c r="K644" s="20">
        <f>IF(Settings!$B$4="Yes",$I644*$J644,$I644)</f>
        <v/>
      </c>
      <c r="L644" s="31">
        <f>IF($C644="","",IFERROR(IF(INDEX(Deals!$I$2:$I$355,MATCH($C644,Deals!$A$2:$A$355,0))=0,"",INDEX(Deals!$I$2:$I$355,MATCH($C644,Deals!$A$2:$A$355,0))),""))</f>
        <v/>
      </c>
      <c r="M644" s="31">
        <f>IF($C644="","",IFERROR(IF(INDEX(Deals!$J$2:$J$355,MATCH($C644,Deals!$A$2:$A$355,0))=0,"",INDEX(Deals!$J$2:$J$355,MATCH($C644,Deals!$A$2:$A$355,0))),""))</f>
        <v/>
      </c>
      <c r="N644" s="24">
        <f>IF($L644="",DATE(1900,1,1),$L644)</f>
        <v/>
      </c>
      <c r="O644" s="24">
        <f>IF($M644="",DATE(2100,12,31),$M644)</f>
        <v/>
      </c>
      <c r="P644" s="16" t="inlineStr"/>
      <c r="Q644" s="16" t="inlineStr"/>
      <c r="R644" s="29">
        <f>IF($C644="","",IFERROR(IF(INDEX(Deals!$U$2:$U$355,MATCH($C644,Deals!$A$2:$A$355,0))=0,"",INDEX(Deals!$U$2:$U$355,MATCH($C644,Deals!$A$2:$A$355,0))),""))</f>
        <v/>
      </c>
      <c r="S644" s="22">
        <f>IFERROR(IF($U644="",1,INDEX(Deals!$V$2:$V$355,MATCH($C644,Deals!$A$2:$A$355,0))),1)</f>
        <v/>
      </c>
      <c r="T644" s="22">
        <f>IFERROR(IF($U644="",1,INDEX(Deals!$W$2:$W$355,MATCH($C644,Deals!$A$2:$A$355,0))),1)</f>
        <v/>
      </c>
      <c r="U644" s="31">
        <f>IF($C644="","",IFERROR(IF(INDEX(Deals!$Y$2:$Y$355,MATCH($C644,Deals!$A$2:$A$355,0))=0,"",INDEX(Deals!$Y$2:$Y$355,MATCH($C644,Deals!$A$2:$A$355,0))),""))</f>
        <v/>
      </c>
      <c r="V644" s="24">
        <f>IF($U644="",DATE(1900,1,1),$N644)</f>
        <v/>
      </c>
      <c r="W644" s="24">
        <f>IF($U644="",DATE(2100,12,31),$U644)</f>
        <v/>
      </c>
      <c r="X644" s="20">
        <f>IF($U644="",$K644,$K644*$S644)</f>
        <v/>
      </c>
      <c r="Y644" s="24">
        <f>IF($U644="",DATE(2100,12,31),$U644+1)</f>
        <v/>
      </c>
      <c r="Z644" s="24">
        <f>IF($U644="",DATE(1900,1,1),$O644)</f>
        <v/>
      </c>
      <c r="AA644" s="20">
        <f>IF($U644="",0,$K644*$T644)</f>
        <v/>
      </c>
    </row>
    <row r="645">
      <c r="A645" s="15" t="inlineStr">
        <is>
          <t>Yiyi</t>
        </is>
      </c>
      <c r="B645" s="29">
        <f>IF($A645="","",IFERROR(INDEX(Roster!$B$2:$B$40,MATCH($A645,Roster!$A$2:$A$40,0)),"?"))</f>
        <v/>
      </c>
      <c r="C645" s="15" t="inlineStr">
        <is>
          <t>TEP Tax_1</t>
        </is>
      </c>
      <c r="D645" s="29">
        <f>IF($C645="","",IFERROR(IF(INDEX(Deals!$C$2:$C$355,MATCH($C645,Deals!$A$2:$A$355,0))=0,"",INDEX(Deals!$C$2:$C$355,MATCH($C645,Deals!$A$2:$A$355,0))),"?"))</f>
        <v/>
      </c>
      <c r="E645" s="29">
        <f>IF($C645="","",IFERROR(INDEX(Deals!$F$2:$F$355,MATCH($C645,Deals!$A$2:$A$355,0)),"?"))</f>
        <v/>
      </c>
      <c r="F645" s="15" t="inlineStr">
        <is>
          <t>Renewable Specialist</t>
        </is>
      </c>
      <c r="G645" s="15" t="inlineStr">
        <is>
          <t>Active</t>
        </is>
      </c>
      <c r="H645" s="27" t="n"/>
      <c r="I645" s="20">
        <f>IF(OR($A645="",$G645&lt;&gt;"Active"),0,IF($H645&lt;&gt;"",$H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</f>
        <v/>
      </c>
      <c r="J645" s="23">
        <f>IF($C645="",0,IFERROR(INDEX(Deals!$H$2:$H$355,MATCH($C645,Deals!$A$2:$A$355,0)),0))</f>
        <v/>
      </c>
      <c r="K645" s="20">
        <f>IF(Settings!$B$4="Yes",$I645*$J645,$I645)</f>
        <v/>
      </c>
      <c r="L645" s="31">
        <f>IF($C645="","",IFERROR(IF(INDEX(Deals!$I$2:$I$355,MATCH($C645,Deals!$A$2:$A$355,0))=0,"",INDEX(Deals!$I$2:$I$355,MATCH($C645,Deals!$A$2:$A$355,0))),""))</f>
        <v/>
      </c>
      <c r="M645" s="31">
        <f>IF($C645="","",IFERROR(IF(INDEX(Deals!$J$2:$J$355,MATCH($C645,Deals!$A$2:$A$355,0))=0,"",INDEX(Deals!$J$2:$J$355,MATCH($C645,Deals!$A$2:$A$355,0))),""))</f>
        <v/>
      </c>
      <c r="N645" s="24">
        <f>IF($L645="",DATE(1900,1,1),$L645)</f>
        <v/>
      </c>
      <c r="O645" s="24">
        <f>IF($M645="",DATE(2100,12,31),$M645)</f>
        <v/>
      </c>
      <c r="P645" s="16" t="inlineStr"/>
      <c r="Q645" s="16" t="inlineStr"/>
      <c r="R645" s="29">
        <f>IF($C645="","",IFERROR(IF(INDEX(Deals!$U$2:$U$355,MATCH($C645,Deals!$A$2:$A$355,0))=0,"",INDEX(Deals!$U$2:$U$355,MATCH($C645,Deals!$A$2:$A$355,0))),""))</f>
        <v/>
      </c>
      <c r="S645" s="22">
        <f>IFERROR(IF($U645="",1,INDEX(Deals!$V$2:$V$355,MATCH($C645,Deals!$A$2:$A$355,0))),1)</f>
        <v/>
      </c>
      <c r="T645" s="22">
        <f>IFERROR(IF($U645="",1,INDEX(Deals!$W$2:$W$355,MATCH($C645,Deals!$A$2:$A$355,0))),1)</f>
        <v/>
      </c>
      <c r="U645" s="31">
        <f>IF($C645="","",IFERROR(IF(INDEX(Deals!$Y$2:$Y$355,MATCH($C645,Deals!$A$2:$A$355,0))=0,"",INDEX(Deals!$Y$2:$Y$355,MATCH($C645,Deals!$A$2:$A$355,0))),""))</f>
        <v/>
      </c>
      <c r="V645" s="24">
        <f>IF($U645="",DATE(1900,1,1),$N645)</f>
        <v/>
      </c>
      <c r="W645" s="24">
        <f>IF($U645="",DATE(2100,12,31),$U645)</f>
        <v/>
      </c>
      <c r="X645" s="20">
        <f>IF($U645="",$K645,$K645*$S645)</f>
        <v/>
      </c>
      <c r="Y645" s="24">
        <f>IF($U645="",DATE(2100,12,31),$U645+1)</f>
        <v/>
      </c>
      <c r="Z645" s="24">
        <f>IF($U645="",DATE(1900,1,1),$O645)</f>
        <v/>
      </c>
      <c r="AA645" s="20">
        <f>IF($U645="",0,$K645*$T645)</f>
        <v/>
      </c>
    </row>
    <row r="646">
      <c r="A646" s="15" t="inlineStr">
        <is>
          <t>Yiyi</t>
        </is>
      </c>
      <c r="B646" s="29">
        <f>IF($A646="","",IFERROR(INDEX(Roster!$B$2:$B$40,MATCH($A646,Roster!$A$2:$A$40,0)),"?"))</f>
        <v/>
      </c>
      <c r="C646" s="15" t="inlineStr">
        <is>
          <t>Turtle_1</t>
        </is>
      </c>
      <c r="D646" s="29">
        <f>IF($C646="","",IFERROR(IF(INDEX(Deals!$C$2:$C$355,MATCH($C646,Deals!$A$2:$A$355,0))=0,"",INDEX(Deals!$C$2:$C$355,MATCH($C646,Deals!$A$2:$A$355,0))),"?"))</f>
        <v/>
      </c>
      <c r="E646" s="29">
        <f>IF($C646="","",IFERROR(INDEX(Deals!$F$2:$F$355,MATCH($C646,Deals!$A$2:$A$355,0)),"?"))</f>
        <v/>
      </c>
      <c r="F646" s="15" t="inlineStr">
        <is>
          <t>Renewable Specialist</t>
        </is>
      </c>
      <c r="G646" s="15" t="inlineStr">
        <is>
          <t>Active</t>
        </is>
      </c>
      <c r="H646" s="27" t="n"/>
      <c r="I646" s="20">
        <f>IF(OR($A646="",$G646&lt;&gt;"Active"),0,IF($H646&lt;&gt;"",$H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</f>
        <v/>
      </c>
      <c r="J646" s="23">
        <f>IF($C646="",0,IFERROR(INDEX(Deals!$H$2:$H$355,MATCH($C646,Deals!$A$2:$A$355,0)),0))</f>
        <v/>
      </c>
      <c r="K646" s="20">
        <f>IF(Settings!$B$4="Yes",$I646*$J646,$I646)</f>
        <v/>
      </c>
      <c r="L646" s="31">
        <f>IF($C646="","",IFERROR(IF(INDEX(Deals!$I$2:$I$355,MATCH($C646,Deals!$A$2:$A$355,0))=0,"",INDEX(Deals!$I$2:$I$355,MATCH($C646,Deals!$A$2:$A$355,0))),""))</f>
        <v/>
      </c>
      <c r="M646" s="31">
        <f>IF($C646="","",IFERROR(IF(INDEX(Deals!$J$2:$J$355,MATCH($C646,Deals!$A$2:$A$355,0))=0,"",INDEX(Deals!$J$2:$J$355,MATCH($C646,Deals!$A$2:$A$355,0))),""))</f>
        <v/>
      </c>
      <c r="N646" s="24">
        <f>IF($L646="",DATE(1900,1,1),$L646)</f>
        <v/>
      </c>
      <c r="O646" s="24">
        <f>IF($M646="",DATE(2100,12,31),$M646)</f>
        <v/>
      </c>
      <c r="P646" s="16" t="inlineStr"/>
      <c r="Q646" s="16" t="inlineStr"/>
      <c r="R646" s="29">
        <f>IF($C646="","",IFERROR(IF(INDEX(Deals!$U$2:$U$355,MATCH($C646,Deals!$A$2:$A$355,0))=0,"",INDEX(Deals!$U$2:$U$355,MATCH($C646,Deals!$A$2:$A$355,0))),""))</f>
        <v/>
      </c>
      <c r="S646" s="22">
        <f>IFERROR(IF($U646="",1,INDEX(Deals!$V$2:$V$355,MATCH($C646,Deals!$A$2:$A$355,0))),1)</f>
        <v/>
      </c>
      <c r="T646" s="22">
        <f>IFERROR(IF($U646="",1,INDEX(Deals!$W$2:$W$355,MATCH($C646,Deals!$A$2:$A$355,0))),1)</f>
        <v/>
      </c>
      <c r="U646" s="31">
        <f>IF($C646="","",IFERROR(IF(INDEX(Deals!$Y$2:$Y$355,MATCH($C646,Deals!$A$2:$A$355,0))=0,"",INDEX(Deals!$Y$2:$Y$355,MATCH($C646,Deals!$A$2:$A$355,0))),""))</f>
        <v/>
      </c>
      <c r="V646" s="24">
        <f>IF($U646="",DATE(1900,1,1),$N646)</f>
        <v/>
      </c>
      <c r="W646" s="24">
        <f>IF($U646="",DATE(2100,12,31),$U646)</f>
        <v/>
      </c>
      <c r="X646" s="20">
        <f>IF($U646="",$K646,$K646*$S646)</f>
        <v/>
      </c>
      <c r="Y646" s="24">
        <f>IF($U646="",DATE(2100,12,31),$U646+1)</f>
        <v/>
      </c>
      <c r="Z646" s="24">
        <f>IF($U646="",DATE(1900,1,1),$O646)</f>
        <v/>
      </c>
      <c r="AA646" s="20">
        <f>IF($U646="",0,$K646*$T646)</f>
        <v/>
      </c>
    </row>
    <row r="647">
      <c r="A647" s="15" t="inlineStr">
        <is>
          <t>Yiyi</t>
        </is>
      </c>
      <c r="B647" s="29">
        <f>IF($A647="","",IFERROR(INDEX(Roster!$B$2:$B$40,MATCH($A647,Roster!$A$2:$A$40,0)),"?"))</f>
        <v/>
      </c>
      <c r="C647" s="15" t="inlineStr">
        <is>
          <t>Ulysses_2</t>
        </is>
      </c>
      <c r="D647" s="29">
        <f>IF($C647="","",IFERROR(IF(INDEX(Deals!$C$2:$C$355,MATCH($C647,Deals!$A$2:$A$355,0))=0,"",INDEX(Deals!$C$2:$C$355,MATCH($C647,Deals!$A$2:$A$355,0))),"?"))</f>
        <v/>
      </c>
      <c r="E647" s="29">
        <f>IF($C647="","",IFERROR(INDEX(Deals!$F$2:$F$355,MATCH($C647,Deals!$A$2:$A$355,0)),"?"))</f>
        <v/>
      </c>
      <c r="F647" s="15" t="inlineStr">
        <is>
          <t>Renewable Specialist</t>
        </is>
      </c>
      <c r="G647" s="15" t="inlineStr">
        <is>
          <t>Active</t>
        </is>
      </c>
      <c r="H647" s="27" t="n"/>
      <c r="I647" s="20">
        <f>IF(OR($A647="",$G647&lt;&gt;"Active"),0,IF($H647&lt;&gt;"",$H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</f>
        <v/>
      </c>
      <c r="J647" s="23">
        <f>IF($C647="",0,IFERROR(INDEX(Deals!$H$2:$H$355,MATCH($C647,Deals!$A$2:$A$355,0)),0))</f>
        <v/>
      </c>
      <c r="K647" s="20">
        <f>IF(Settings!$B$4="Yes",$I647*$J647,$I647)</f>
        <v/>
      </c>
      <c r="L647" s="31">
        <f>IF($C647="","",IFERROR(IF(INDEX(Deals!$I$2:$I$355,MATCH($C647,Deals!$A$2:$A$355,0))=0,"",INDEX(Deals!$I$2:$I$355,MATCH($C647,Deals!$A$2:$A$355,0))),""))</f>
        <v/>
      </c>
      <c r="M647" s="31">
        <f>IF($C647="","",IFERROR(IF(INDEX(Deals!$J$2:$J$355,MATCH($C647,Deals!$A$2:$A$355,0))=0,"",INDEX(Deals!$J$2:$J$355,MATCH($C647,Deals!$A$2:$A$355,0))),""))</f>
        <v/>
      </c>
      <c r="N647" s="24">
        <f>IF($L647="",DATE(1900,1,1),$L647)</f>
        <v/>
      </c>
      <c r="O647" s="24">
        <f>IF($M647="",DATE(2100,12,31),$M647)</f>
        <v/>
      </c>
      <c r="P647" s="16" t="inlineStr"/>
      <c r="Q647" s="16" t="inlineStr"/>
      <c r="R647" s="29">
        <f>IF($C647="","",IFERROR(IF(INDEX(Deals!$U$2:$U$355,MATCH($C647,Deals!$A$2:$A$355,0))=0,"",INDEX(Deals!$U$2:$U$355,MATCH($C647,Deals!$A$2:$A$355,0))),""))</f>
        <v/>
      </c>
      <c r="S647" s="22">
        <f>IFERROR(IF($U647="",1,INDEX(Deals!$V$2:$V$355,MATCH($C647,Deals!$A$2:$A$355,0))),1)</f>
        <v/>
      </c>
      <c r="T647" s="22">
        <f>IFERROR(IF($U647="",1,INDEX(Deals!$W$2:$W$355,MATCH($C647,Deals!$A$2:$A$355,0))),1)</f>
        <v/>
      </c>
      <c r="U647" s="31">
        <f>IF($C647="","",IFERROR(IF(INDEX(Deals!$Y$2:$Y$355,MATCH($C647,Deals!$A$2:$A$355,0))=0,"",INDEX(Deals!$Y$2:$Y$355,MATCH($C647,Deals!$A$2:$A$355,0))),""))</f>
        <v/>
      </c>
      <c r="V647" s="24">
        <f>IF($U647="",DATE(1900,1,1),$N647)</f>
        <v/>
      </c>
      <c r="W647" s="24">
        <f>IF($U647="",DATE(2100,12,31),$U647)</f>
        <v/>
      </c>
      <c r="X647" s="20">
        <f>IF($U647="",$K647,$K647*$S647)</f>
        <v/>
      </c>
      <c r="Y647" s="24">
        <f>IF($U647="",DATE(2100,12,31),$U647+1)</f>
        <v/>
      </c>
      <c r="Z647" s="24">
        <f>IF($U647="",DATE(1900,1,1),$O647)</f>
        <v/>
      </c>
      <c r="AA647" s="20">
        <f>IF($U647="",0,$K647*$T647)</f>
        <v/>
      </c>
    </row>
    <row r="648">
      <c r="A648" s="15" t="inlineStr">
        <is>
          <t>Yiyi</t>
        </is>
      </c>
      <c r="B648" s="29">
        <f>IF($A648="","",IFERROR(INDEX(Roster!$B$2:$B$40,MATCH($A648,Roster!$A$2:$A$40,0)),"?"))</f>
        <v/>
      </c>
      <c r="C648" s="15" t="inlineStr">
        <is>
          <t>Upstream_3</t>
        </is>
      </c>
      <c r="D648" s="29">
        <f>IF($C648="","",IFERROR(IF(INDEX(Deals!$C$2:$C$355,MATCH($C648,Deals!$A$2:$A$355,0))=0,"",INDEX(Deals!$C$2:$C$355,MATCH($C648,Deals!$A$2:$A$355,0))),"?"))</f>
        <v/>
      </c>
      <c r="E648" s="29">
        <f>IF($C648="","",IFERROR(INDEX(Deals!$F$2:$F$355,MATCH($C648,Deals!$A$2:$A$355,0)),"?"))</f>
        <v/>
      </c>
      <c r="F648" s="15" t="inlineStr">
        <is>
          <t>Renewable Specialist</t>
        </is>
      </c>
      <c r="G648" s="15" t="inlineStr">
        <is>
          <t>Active</t>
        </is>
      </c>
      <c r="H648" s="27" t="n"/>
      <c r="I648" s="20">
        <f>IF(OR($A648="",$G648&lt;&gt;"Active"),0,IF($H648&lt;&gt;"",$H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</f>
        <v/>
      </c>
      <c r="J648" s="23">
        <f>IF($C648="",0,IFERROR(INDEX(Deals!$H$2:$H$355,MATCH($C648,Deals!$A$2:$A$355,0)),0))</f>
        <v/>
      </c>
      <c r="K648" s="20">
        <f>IF(Settings!$B$4="Yes",$I648*$J648,$I648)</f>
        <v/>
      </c>
      <c r="L648" s="31">
        <f>IF($C648="","",IFERROR(IF(INDEX(Deals!$I$2:$I$355,MATCH($C648,Deals!$A$2:$A$355,0))=0,"",INDEX(Deals!$I$2:$I$355,MATCH($C648,Deals!$A$2:$A$355,0))),""))</f>
        <v/>
      </c>
      <c r="M648" s="31">
        <f>IF($C648="","",IFERROR(IF(INDEX(Deals!$J$2:$J$355,MATCH($C648,Deals!$A$2:$A$355,0))=0,"",INDEX(Deals!$J$2:$J$355,MATCH($C648,Deals!$A$2:$A$355,0))),""))</f>
        <v/>
      </c>
      <c r="N648" s="24">
        <f>IF($L648="",DATE(1900,1,1),$L648)</f>
        <v/>
      </c>
      <c r="O648" s="24">
        <f>IF($M648="",DATE(2100,12,31),$M648)</f>
        <v/>
      </c>
      <c r="P648" s="16" t="inlineStr"/>
      <c r="Q648" s="16" t="inlineStr"/>
      <c r="R648" s="29">
        <f>IF($C648="","",IFERROR(IF(INDEX(Deals!$U$2:$U$355,MATCH($C648,Deals!$A$2:$A$355,0))=0,"",INDEX(Deals!$U$2:$U$355,MATCH($C648,Deals!$A$2:$A$355,0))),""))</f>
        <v/>
      </c>
      <c r="S648" s="22">
        <f>IFERROR(IF($U648="",1,INDEX(Deals!$V$2:$V$355,MATCH($C648,Deals!$A$2:$A$355,0))),1)</f>
        <v/>
      </c>
      <c r="T648" s="22">
        <f>IFERROR(IF($U648="",1,INDEX(Deals!$W$2:$W$355,MATCH($C648,Deals!$A$2:$A$355,0))),1)</f>
        <v/>
      </c>
      <c r="U648" s="31">
        <f>IF($C648="","",IFERROR(IF(INDEX(Deals!$Y$2:$Y$355,MATCH($C648,Deals!$A$2:$A$355,0))=0,"",INDEX(Deals!$Y$2:$Y$355,MATCH($C648,Deals!$A$2:$A$355,0))),""))</f>
        <v/>
      </c>
      <c r="V648" s="24">
        <f>IF($U648="",DATE(1900,1,1),$N648)</f>
        <v/>
      </c>
      <c r="W648" s="24">
        <f>IF($U648="",DATE(2100,12,31),$U648)</f>
        <v/>
      </c>
      <c r="X648" s="20">
        <f>IF($U648="",$K648,$K648*$S648)</f>
        <v/>
      </c>
      <c r="Y648" s="24">
        <f>IF($U648="",DATE(2100,12,31),$U648+1)</f>
        <v/>
      </c>
      <c r="Z648" s="24">
        <f>IF($U648="",DATE(1900,1,1),$O648)</f>
        <v/>
      </c>
      <c r="AA648" s="20">
        <f>IF($U648="",0,$K648*$T648)</f>
        <v/>
      </c>
    </row>
    <row r="649">
      <c r="A649" s="15" t="inlineStr">
        <is>
          <t>Yiyi</t>
        </is>
      </c>
      <c r="B649" s="29">
        <f>IF($A649="","",IFERROR(INDEX(Roster!$B$2:$B$40,MATCH($A649,Roster!$A$2:$A$40,0)),"?"))</f>
        <v/>
      </c>
      <c r="C649" s="15" t="inlineStr">
        <is>
          <t>Vega_1</t>
        </is>
      </c>
      <c r="D649" s="29">
        <f>IF($C649="","",IFERROR(IF(INDEX(Deals!$C$2:$C$355,MATCH($C649,Deals!$A$2:$A$355,0))=0,"",INDEX(Deals!$C$2:$C$355,MATCH($C649,Deals!$A$2:$A$355,0))),"?"))</f>
        <v/>
      </c>
      <c r="E649" s="29">
        <f>IF($C649="","",IFERROR(INDEX(Deals!$F$2:$F$355,MATCH($C649,Deals!$A$2:$A$355,0)),"?"))</f>
        <v/>
      </c>
      <c r="F649" s="15" t="inlineStr">
        <is>
          <t>Renewable Specialist</t>
        </is>
      </c>
      <c r="G649" s="15" t="inlineStr">
        <is>
          <t>Active</t>
        </is>
      </c>
      <c r="H649" s="27" t="n"/>
      <c r="I649" s="20">
        <f>IF(OR($A649="",$G649&lt;&gt;"Active"),0,IF($H649&lt;&gt;"",$H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</f>
        <v/>
      </c>
      <c r="J649" s="23">
        <f>IF($C649="",0,IFERROR(INDEX(Deals!$H$2:$H$355,MATCH($C649,Deals!$A$2:$A$355,0)),0))</f>
        <v/>
      </c>
      <c r="K649" s="20">
        <f>IF(Settings!$B$4="Yes",$I649*$J649,$I649)</f>
        <v/>
      </c>
      <c r="L649" s="31">
        <f>IF($C649="","",IFERROR(IF(INDEX(Deals!$I$2:$I$355,MATCH($C649,Deals!$A$2:$A$355,0))=0,"",INDEX(Deals!$I$2:$I$355,MATCH($C649,Deals!$A$2:$A$355,0))),""))</f>
        <v/>
      </c>
      <c r="M649" s="31">
        <f>IF($C649="","",IFERROR(IF(INDEX(Deals!$J$2:$J$355,MATCH($C649,Deals!$A$2:$A$355,0))=0,"",INDEX(Deals!$J$2:$J$355,MATCH($C649,Deals!$A$2:$A$355,0))),""))</f>
        <v/>
      </c>
      <c r="N649" s="24">
        <f>IF($L649="",DATE(1900,1,1),$L649)</f>
        <v/>
      </c>
      <c r="O649" s="24">
        <f>IF($M649="",DATE(2100,12,31),$M649)</f>
        <v/>
      </c>
      <c r="P649" s="16" t="inlineStr"/>
      <c r="Q649" s="16" t="inlineStr"/>
      <c r="R649" s="29">
        <f>IF($C649="","",IFERROR(IF(INDEX(Deals!$U$2:$U$355,MATCH($C649,Deals!$A$2:$A$355,0))=0,"",INDEX(Deals!$U$2:$U$355,MATCH($C649,Deals!$A$2:$A$355,0))),""))</f>
        <v/>
      </c>
      <c r="S649" s="22">
        <f>IFERROR(IF($U649="",1,INDEX(Deals!$V$2:$V$355,MATCH($C649,Deals!$A$2:$A$355,0))),1)</f>
        <v/>
      </c>
      <c r="T649" s="22">
        <f>IFERROR(IF($U649="",1,INDEX(Deals!$W$2:$W$355,MATCH($C649,Deals!$A$2:$A$355,0))),1)</f>
        <v/>
      </c>
      <c r="U649" s="31">
        <f>IF($C649="","",IFERROR(IF(INDEX(Deals!$Y$2:$Y$355,MATCH($C649,Deals!$A$2:$A$355,0))=0,"",INDEX(Deals!$Y$2:$Y$355,MATCH($C649,Deals!$A$2:$A$355,0))),""))</f>
        <v/>
      </c>
      <c r="V649" s="24">
        <f>IF($U649="",DATE(1900,1,1),$N649)</f>
        <v/>
      </c>
      <c r="W649" s="24">
        <f>IF($U649="",DATE(2100,12,31),$U649)</f>
        <v/>
      </c>
      <c r="X649" s="20">
        <f>IF($U649="",$K649,$K649*$S649)</f>
        <v/>
      </c>
      <c r="Y649" s="24">
        <f>IF($U649="",DATE(2100,12,31),$U649+1)</f>
        <v/>
      </c>
      <c r="Z649" s="24">
        <f>IF($U649="",DATE(1900,1,1),$O649)</f>
        <v/>
      </c>
      <c r="AA649" s="20">
        <f>IF($U649="",0,$K649*$T649)</f>
        <v/>
      </c>
    </row>
    <row r="650">
      <c r="A650" s="15" t="inlineStr">
        <is>
          <t>Yiyi</t>
        </is>
      </c>
      <c r="B650" s="29">
        <f>IF($A650="","",IFERROR(INDEX(Roster!$B$2:$B$40,MATCH($A650,Roster!$A$2:$A$40,0)),"?"))</f>
        <v/>
      </c>
      <c r="C650" s="15" t="inlineStr">
        <is>
          <t>Victoria_2</t>
        </is>
      </c>
      <c r="D650" s="29">
        <f>IF($C650="","",IFERROR(IF(INDEX(Deals!$C$2:$C$355,MATCH($C650,Deals!$A$2:$A$355,0))=0,"",INDEX(Deals!$C$2:$C$355,MATCH($C650,Deals!$A$2:$A$355,0))),"?"))</f>
        <v/>
      </c>
      <c r="E650" s="29">
        <f>IF($C650="","",IFERROR(INDEX(Deals!$F$2:$F$355,MATCH($C650,Deals!$A$2:$A$355,0)),"?"))</f>
        <v/>
      </c>
      <c r="F650" s="15" t="inlineStr">
        <is>
          <t>Renewable Specialist</t>
        </is>
      </c>
      <c r="G650" s="15" t="inlineStr">
        <is>
          <t>Active</t>
        </is>
      </c>
      <c r="H650" s="27" t="n"/>
      <c r="I650" s="20">
        <f>IF(OR($A650="",$G650&lt;&gt;"Active"),0,IF($H650&lt;&gt;"",$H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</f>
        <v/>
      </c>
      <c r="J650" s="23">
        <f>IF($C650="",0,IFERROR(INDEX(Deals!$H$2:$H$355,MATCH($C650,Deals!$A$2:$A$355,0)),0))</f>
        <v/>
      </c>
      <c r="K650" s="20">
        <f>IF(Settings!$B$4="Yes",$I650*$J650,$I650)</f>
        <v/>
      </c>
      <c r="L650" s="31">
        <f>IF($C650="","",IFERROR(IF(INDEX(Deals!$I$2:$I$355,MATCH($C650,Deals!$A$2:$A$355,0))=0,"",INDEX(Deals!$I$2:$I$355,MATCH($C650,Deals!$A$2:$A$355,0))),""))</f>
        <v/>
      </c>
      <c r="M650" s="31">
        <f>IF($C650="","",IFERROR(IF(INDEX(Deals!$J$2:$J$355,MATCH($C650,Deals!$A$2:$A$355,0))=0,"",INDEX(Deals!$J$2:$J$355,MATCH($C650,Deals!$A$2:$A$355,0))),""))</f>
        <v/>
      </c>
      <c r="N650" s="24">
        <f>IF($L650="",DATE(1900,1,1),$L650)</f>
        <v/>
      </c>
      <c r="O650" s="24">
        <f>IF($M650="",DATE(2100,12,31),$M650)</f>
        <v/>
      </c>
      <c r="P650" s="16" t="inlineStr"/>
      <c r="Q650" s="16" t="inlineStr"/>
      <c r="R650" s="29">
        <f>IF($C650="","",IFERROR(IF(INDEX(Deals!$U$2:$U$355,MATCH($C650,Deals!$A$2:$A$355,0))=0,"",INDEX(Deals!$U$2:$U$355,MATCH($C650,Deals!$A$2:$A$355,0))),""))</f>
        <v/>
      </c>
      <c r="S650" s="22">
        <f>IFERROR(IF($U650="",1,INDEX(Deals!$V$2:$V$355,MATCH($C650,Deals!$A$2:$A$355,0))),1)</f>
        <v/>
      </c>
      <c r="T650" s="22">
        <f>IFERROR(IF($U650="",1,INDEX(Deals!$W$2:$W$355,MATCH($C650,Deals!$A$2:$A$355,0))),1)</f>
        <v/>
      </c>
      <c r="U650" s="31">
        <f>IF($C650="","",IFERROR(IF(INDEX(Deals!$Y$2:$Y$355,MATCH($C650,Deals!$A$2:$A$355,0))=0,"",INDEX(Deals!$Y$2:$Y$355,MATCH($C650,Deals!$A$2:$A$355,0))),""))</f>
        <v/>
      </c>
      <c r="V650" s="24">
        <f>IF($U650="",DATE(1900,1,1),$N650)</f>
        <v/>
      </c>
      <c r="W650" s="24">
        <f>IF($U650="",DATE(2100,12,31),$U650)</f>
        <v/>
      </c>
      <c r="X650" s="20">
        <f>IF($U650="",$K650,$K650*$S650)</f>
        <v/>
      </c>
      <c r="Y650" s="24">
        <f>IF($U650="",DATE(2100,12,31),$U650+1)</f>
        <v/>
      </c>
      <c r="Z650" s="24">
        <f>IF($U650="",DATE(1900,1,1),$O650)</f>
        <v/>
      </c>
      <c r="AA650" s="20">
        <f>IF($U650="",0,$K650*$T650)</f>
        <v/>
      </c>
    </row>
    <row r="651">
      <c r="A651" s="15" t="inlineStr">
        <is>
          <t>Yiyi</t>
        </is>
      </c>
      <c r="B651" s="29">
        <f>IF($A651="","",IFERROR(INDEX(Roster!$B$2:$B$40,MATCH($A651,Roster!$A$2:$A$40,0)),"?"))</f>
        <v/>
      </c>
      <c r="C651" s="15" t="inlineStr">
        <is>
          <t>VW1_1</t>
        </is>
      </c>
      <c r="D651" s="29">
        <f>IF($C651="","",IFERROR(IF(INDEX(Deals!$C$2:$C$355,MATCH($C651,Deals!$A$2:$A$355,0))=0,"",INDEX(Deals!$C$2:$C$355,MATCH($C651,Deals!$A$2:$A$355,0))),"?"))</f>
        <v/>
      </c>
      <c r="E651" s="29">
        <f>IF($C651="","",IFERROR(INDEX(Deals!$F$2:$F$355,MATCH($C651,Deals!$A$2:$A$355,0)),"?"))</f>
        <v/>
      </c>
      <c r="F651" s="15" t="inlineStr">
        <is>
          <t>Renewable Specialist</t>
        </is>
      </c>
      <c r="G651" s="15" t="inlineStr">
        <is>
          <t>Active</t>
        </is>
      </c>
      <c r="H651" s="27" t="n"/>
      <c r="I651" s="20">
        <f>IF(OR($A651="",$G651&lt;&gt;"Active"),0,IF($H651&lt;&gt;"",$H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</f>
        <v/>
      </c>
      <c r="J651" s="23">
        <f>IF($C651="",0,IFERROR(INDEX(Deals!$H$2:$H$355,MATCH($C651,Deals!$A$2:$A$355,0)),0))</f>
        <v/>
      </c>
      <c r="K651" s="20">
        <f>IF(Settings!$B$4="Yes",$I651*$J651,$I651)</f>
        <v/>
      </c>
      <c r="L651" s="31">
        <f>IF($C651="","",IFERROR(IF(INDEX(Deals!$I$2:$I$355,MATCH($C651,Deals!$A$2:$A$355,0))=0,"",INDEX(Deals!$I$2:$I$355,MATCH($C651,Deals!$A$2:$A$355,0))),""))</f>
        <v/>
      </c>
      <c r="M651" s="31">
        <f>IF($C651="","",IFERROR(IF(INDEX(Deals!$J$2:$J$355,MATCH($C651,Deals!$A$2:$A$355,0))=0,"",INDEX(Deals!$J$2:$J$355,MATCH($C651,Deals!$A$2:$A$355,0))),""))</f>
        <v/>
      </c>
      <c r="N651" s="24">
        <f>IF($L651="",DATE(1900,1,1),$L651)</f>
        <v/>
      </c>
      <c r="O651" s="24">
        <f>IF($M651="",DATE(2100,12,31),$M651)</f>
        <v/>
      </c>
      <c r="P651" s="16" t="inlineStr"/>
      <c r="Q651" s="16" t="inlineStr"/>
      <c r="R651" s="29">
        <f>IF($C651="","",IFERROR(IF(INDEX(Deals!$U$2:$U$355,MATCH($C651,Deals!$A$2:$A$355,0))=0,"",INDEX(Deals!$U$2:$U$355,MATCH($C651,Deals!$A$2:$A$355,0))),""))</f>
        <v/>
      </c>
      <c r="S651" s="22">
        <f>IFERROR(IF($U651="",1,INDEX(Deals!$V$2:$V$355,MATCH($C651,Deals!$A$2:$A$355,0))),1)</f>
        <v/>
      </c>
      <c r="T651" s="22">
        <f>IFERROR(IF($U651="",1,INDEX(Deals!$W$2:$W$355,MATCH($C651,Deals!$A$2:$A$355,0))),1)</f>
        <v/>
      </c>
      <c r="U651" s="31">
        <f>IF($C651="","",IFERROR(IF(INDEX(Deals!$Y$2:$Y$355,MATCH($C651,Deals!$A$2:$A$355,0))=0,"",INDEX(Deals!$Y$2:$Y$355,MATCH($C651,Deals!$A$2:$A$355,0))),""))</f>
        <v/>
      </c>
      <c r="V651" s="24">
        <f>IF($U651="",DATE(1900,1,1),$N651)</f>
        <v/>
      </c>
      <c r="W651" s="24">
        <f>IF($U651="",DATE(2100,12,31),$U651)</f>
        <v/>
      </c>
      <c r="X651" s="20">
        <f>IF($U651="",$K651,$K651*$S651)</f>
        <v/>
      </c>
      <c r="Y651" s="24">
        <f>IF($U651="",DATE(2100,12,31),$U651+1)</f>
        <v/>
      </c>
      <c r="Z651" s="24">
        <f>IF($U651="",DATE(1900,1,1),$O651)</f>
        <v/>
      </c>
      <c r="AA651" s="20">
        <f>IF($U651="",0,$K651*$T651)</f>
        <v/>
      </c>
    </row>
    <row r="652">
      <c r="A652" s="15" t="inlineStr">
        <is>
          <t>Yiyi</t>
        </is>
      </c>
      <c r="B652" s="29">
        <f>IF($A652="","",IFERROR(INDEX(Roster!$B$2:$B$40,MATCH($A652,Roster!$A$2:$A$40,0)),"?"))</f>
        <v/>
      </c>
      <c r="C652" s="15" t="inlineStr">
        <is>
          <t>Walnut_1</t>
        </is>
      </c>
      <c r="D652" s="29">
        <f>IF($C652="","",IFERROR(IF(INDEX(Deals!$C$2:$C$355,MATCH($C652,Deals!$A$2:$A$355,0))=0,"",INDEX(Deals!$C$2:$C$355,MATCH($C652,Deals!$A$2:$A$355,0))),"?"))</f>
        <v/>
      </c>
      <c r="E652" s="29">
        <f>IF($C652="","",IFERROR(INDEX(Deals!$F$2:$F$355,MATCH($C652,Deals!$A$2:$A$355,0)),"?"))</f>
        <v/>
      </c>
      <c r="F652" s="15" t="inlineStr">
        <is>
          <t>Renewable Specialist</t>
        </is>
      </c>
      <c r="G652" s="15" t="inlineStr">
        <is>
          <t>Active</t>
        </is>
      </c>
      <c r="H652" s="27" t="n"/>
      <c r="I652" s="20">
        <f>IF(OR($A652="",$G652&lt;&gt;"Active"),0,IF($H652&lt;&gt;"",$H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</f>
        <v/>
      </c>
      <c r="J652" s="23">
        <f>IF($C652="",0,IFERROR(INDEX(Deals!$H$2:$H$355,MATCH($C652,Deals!$A$2:$A$355,0)),0))</f>
        <v/>
      </c>
      <c r="K652" s="20">
        <f>IF(Settings!$B$4="Yes",$I652*$J652,$I652)</f>
        <v/>
      </c>
      <c r="L652" s="31">
        <f>IF($C652="","",IFERROR(IF(INDEX(Deals!$I$2:$I$355,MATCH($C652,Deals!$A$2:$A$355,0))=0,"",INDEX(Deals!$I$2:$I$355,MATCH($C652,Deals!$A$2:$A$355,0))),""))</f>
        <v/>
      </c>
      <c r="M652" s="31">
        <f>IF($C652="","",IFERROR(IF(INDEX(Deals!$J$2:$J$355,MATCH($C652,Deals!$A$2:$A$355,0))=0,"",INDEX(Deals!$J$2:$J$355,MATCH($C652,Deals!$A$2:$A$355,0))),""))</f>
        <v/>
      </c>
      <c r="N652" s="24">
        <f>IF($L652="",DATE(1900,1,1),$L652)</f>
        <v/>
      </c>
      <c r="O652" s="24">
        <f>IF($M652="",DATE(2100,12,31),$M652)</f>
        <v/>
      </c>
      <c r="P652" s="16" t="inlineStr"/>
      <c r="Q652" s="16" t="inlineStr"/>
      <c r="R652" s="29">
        <f>IF($C652="","",IFERROR(IF(INDEX(Deals!$U$2:$U$355,MATCH($C652,Deals!$A$2:$A$355,0))=0,"",INDEX(Deals!$U$2:$U$355,MATCH($C652,Deals!$A$2:$A$355,0))),""))</f>
        <v/>
      </c>
      <c r="S652" s="22">
        <f>IFERROR(IF($U652="",1,INDEX(Deals!$V$2:$V$355,MATCH($C652,Deals!$A$2:$A$355,0))),1)</f>
        <v/>
      </c>
      <c r="T652" s="22">
        <f>IFERROR(IF($U652="",1,INDEX(Deals!$W$2:$W$355,MATCH($C652,Deals!$A$2:$A$355,0))),1)</f>
        <v/>
      </c>
      <c r="U652" s="31">
        <f>IF($C652="","",IFERROR(IF(INDEX(Deals!$Y$2:$Y$355,MATCH($C652,Deals!$A$2:$A$355,0))=0,"",INDEX(Deals!$Y$2:$Y$355,MATCH($C652,Deals!$A$2:$A$355,0))),""))</f>
        <v/>
      </c>
      <c r="V652" s="24">
        <f>IF($U652="",DATE(1900,1,1),$N652)</f>
        <v/>
      </c>
      <c r="W652" s="24">
        <f>IF($U652="",DATE(2100,12,31),$U652)</f>
        <v/>
      </c>
      <c r="X652" s="20">
        <f>IF($U652="",$K652,$K652*$S652)</f>
        <v/>
      </c>
      <c r="Y652" s="24">
        <f>IF($U652="",DATE(2100,12,31),$U652+1)</f>
        <v/>
      </c>
      <c r="Z652" s="24">
        <f>IF($U652="",DATE(1900,1,1),$O652)</f>
        <v/>
      </c>
      <c r="AA652" s="20">
        <f>IF($U652="",0,$K652*$T652)</f>
        <v/>
      </c>
    </row>
    <row r="653">
      <c r="A653" s="15" t="inlineStr">
        <is>
          <t>Yiyi</t>
        </is>
      </c>
      <c r="B653" s="29">
        <f>IF($A653="","",IFERROR(INDEX(Roster!$B$2:$B$40,MATCH($A653,Roster!$A$2:$A$40,0)),"?"))</f>
        <v/>
      </c>
      <c r="C653" s="15" t="inlineStr">
        <is>
          <t>Whale_3</t>
        </is>
      </c>
      <c r="D653" s="29">
        <f>IF($C653="","",IFERROR(IF(INDEX(Deals!$C$2:$C$355,MATCH($C653,Deals!$A$2:$A$355,0))=0,"",INDEX(Deals!$C$2:$C$355,MATCH($C653,Deals!$A$2:$A$355,0))),"?"))</f>
        <v/>
      </c>
      <c r="E653" s="29">
        <f>IF($C653="","",IFERROR(INDEX(Deals!$F$2:$F$355,MATCH($C653,Deals!$A$2:$A$355,0)),"?"))</f>
        <v/>
      </c>
      <c r="F653" s="15" t="inlineStr">
        <is>
          <t>Renewable Specialist</t>
        </is>
      </c>
      <c r="G653" s="15" t="inlineStr">
        <is>
          <t>Active</t>
        </is>
      </c>
      <c r="H653" s="27" t="n"/>
      <c r="I653" s="20">
        <f>IF(OR($A653="",$G653&lt;&gt;"Active"),0,IF($H653&lt;&gt;"",$H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</f>
        <v/>
      </c>
      <c r="J653" s="23">
        <f>IF($C653="",0,IFERROR(INDEX(Deals!$H$2:$H$355,MATCH($C653,Deals!$A$2:$A$355,0)),0))</f>
        <v/>
      </c>
      <c r="K653" s="20">
        <f>IF(Settings!$B$4="Yes",$I653*$J653,$I653)</f>
        <v/>
      </c>
      <c r="L653" s="31">
        <f>IF($C653="","",IFERROR(IF(INDEX(Deals!$I$2:$I$355,MATCH($C653,Deals!$A$2:$A$355,0))=0,"",INDEX(Deals!$I$2:$I$355,MATCH($C653,Deals!$A$2:$A$355,0))),""))</f>
        <v/>
      </c>
      <c r="M653" s="31">
        <f>IF($C653="","",IFERROR(IF(INDEX(Deals!$J$2:$J$355,MATCH($C653,Deals!$A$2:$A$355,0))=0,"",INDEX(Deals!$J$2:$J$355,MATCH($C653,Deals!$A$2:$A$355,0))),""))</f>
        <v/>
      </c>
      <c r="N653" s="24">
        <f>IF($L653="",DATE(1900,1,1),$L653)</f>
        <v/>
      </c>
      <c r="O653" s="24">
        <f>IF($M653="",DATE(2100,12,31),$M653)</f>
        <v/>
      </c>
      <c r="P653" s="16" t="inlineStr"/>
      <c r="Q653" s="16" t="inlineStr"/>
      <c r="R653" s="29">
        <f>IF($C653="","",IFERROR(IF(INDEX(Deals!$U$2:$U$355,MATCH($C653,Deals!$A$2:$A$355,0))=0,"",INDEX(Deals!$U$2:$U$355,MATCH($C653,Deals!$A$2:$A$355,0))),""))</f>
        <v/>
      </c>
      <c r="S653" s="22">
        <f>IFERROR(IF($U653="",1,INDEX(Deals!$V$2:$V$355,MATCH($C653,Deals!$A$2:$A$355,0))),1)</f>
        <v/>
      </c>
      <c r="T653" s="22">
        <f>IFERROR(IF($U653="",1,INDEX(Deals!$W$2:$W$355,MATCH($C653,Deals!$A$2:$A$355,0))),1)</f>
        <v/>
      </c>
      <c r="U653" s="31">
        <f>IF($C653="","",IFERROR(IF(INDEX(Deals!$Y$2:$Y$355,MATCH($C653,Deals!$A$2:$A$355,0))=0,"",INDEX(Deals!$Y$2:$Y$355,MATCH($C653,Deals!$A$2:$A$355,0))),""))</f>
        <v/>
      </c>
      <c r="V653" s="24">
        <f>IF($U653="",DATE(1900,1,1),$N653)</f>
        <v/>
      </c>
      <c r="W653" s="24">
        <f>IF($U653="",DATE(2100,12,31),$U653)</f>
        <v/>
      </c>
      <c r="X653" s="20">
        <f>IF($U653="",$K653,$K653*$S653)</f>
        <v/>
      </c>
      <c r="Y653" s="24">
        <f>IF($U653="",DATE(2100,12,31),$U653+1)</f>
        <v/>
      </c>
      <c r="Z653" s="24">
        <f>IF($U653="",DATE(1900,1,1),$O653)</f>
        <v/>
      </c>
      <c r="AA653" s="20">
        <f>IF($U653="",0,$K653*$T653)</f>
        <v/>
      </c>
    </row>
    <row r="654">
      <c r="A654" s="15" t="inlineStr">
        <is>
          <t>Yiyi</t>
        </is>
      </c>
      <c r="B654" s="29">
        <f>IF($A654="","",IFERROR(INDEX(Roster!$B$2:$B$40,MATCH($A654,Roster!$A$2:$A$40,0)),"?"))</f>
        <v/>
      </c>
      <c r="C654" s="15" t="inlineStr">
        <is>
          <t>WIE_1</t>
        </is>
      </c>
      <c r="D654" s="29">
        <f>IF($C654="","",IFERROR(IF(INDEX(Deals!$C$2:$C$355,MATCH($C654,Deals!$A$2:$A$355,0))=0,"",INDEX(Deals!$C$2:$C$355,MATCH($C654,Deals!$A$2:$A$355,0))),"?"))</f>
        <v/>
      </c>
      <c r="E654" s="29">
        <f>IF($C654="","",IFERROR(INDEX(Deals!$F$2:$F$355,MATCH($C654,Deals!$A$2:$A$355,0)),"?"))</f>
        <v/>
      </c>
      <c r="F654" s="15" t="inlineStr">
        <is>
          <t>Renewable Specialist</t>
        </is>
      </c>
      <c r="G654" s="15" t="inlineStr">
        <is>
          <t>Active</t>
        </is>
      </c>
      <c r="H654" s="27" t="n"/>
      <c r="I654" s="20">
        <f>IF(OR($A654="",$G654&lt;&gt;"Active"),0,IF($H654&lt;&gt;"",$H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</f>
        <v/>
      </c>
      <c r="J654" s="23">
        <f>IF($C654="",0,IFERROR(INDEX(Deals!$H$2:$H$355,MATCH($C654,Deals!$A$2:$A$355,0)),0))</f>
        <v/>
      </c>
      <c r="K654" s="20">
        <f>IF(Settings!$B$4="Yes",$I654*$J654,$I654)</f>
        <v/>
      </c>
      <c r="L654" s="31">
        <f>IF($C654="","",IFERROR(IF(INDEX(Deals!$I$2:$I$355,MATCH($C654,Deals!$A$2:$A$355,0))=0,"",INDEX(Deals!$I$2:$I$355,MATCH($C654,Deals!$A$2:$A$355,0))),""))</f>
        <v/>
      </c>
      <c r="M654" s="31">
        <f>IF($C654="","",IFERROR(IF(INDEX(Deals!$J$2:$J$355,MATCH($C654,Deals!$A$2:$A$355,0))=0,"",INDEX(Deals!$J$2:$J$355,MATCH($C654,Deals!$A$2:$A$355,0))),""))</f>
        <v/>
      </c>
      <c r="N654" s="24">
        <f>IF($L654="",DATE(1900,1,1),$L654)</f>
        <v/>
      </c>
      <c r="O654" s="24">
        <f>IF($M654="",DATE(2100,12,31),$M654)</f>
        <v/>
      </c>
      <c r="P654" s="16" t="inlineStr"/>
      <c r="Q654" s="16" t="inlineStr"/>
      <c r="R654" s="29">
        <f>IF($C654="","",IFERROR(IF(INDEX(Deals!$U$2:$U$355,MATCH($C654,Deals!$A$2:$A$355,0))=0,"",INDEX(Deals!$U$2:$U$355,MATCH($C654,Deals!$A$2:$A$355,0))),""))</f>
        <v/>
      </c>
      <c r="S654" s="22">
        <f>IFERROR(IF($U654="",1,INDEX(Deals!$V$2:$V$355,MATCH($C654,Deals!$A$2:$A$355,0))),1)</f>
        <v/>
      </c>
      <c r="T654" s="22">
        <f>IFERROR(IF($U654="",1,INDEX(Deals!$W$2:$W$355,MATCH($C654,Deals!$A$2:$A$355,0))),1)</f>
        <v/>
      </c>
      <c r="U654" s="31">
        <f>IF($C654="","",IFERROR(IF(INDEX(Deals!$Y$2:$Y$355,MATCH($C654,Deals!$A$2:$A$355,0))=0,"",INDEX(Deals!$Y$2:$Y$355,MATCH($C654,Deals!$A$2:$A$355,0))),""))</f>
        <v/>
      </c>
      <c r="V654" s="24">
        <f>IF($U654="",DATE(1900,1,1),$N654)</f>
        <v/>
      </c>
      <c r="W654" s="24">
        <f>IF($U654="",DATE(2100,12,31),$U654)</f>
        <v/>
      </c>
      <c r="X654" s="20">
        <f>IF($U654="",$K654,$K654*$S654)</f>
        <v/>
      </c>
      <c r="Y654" s="24">
        <f>IF($U654="",DATE(2100,12,31),$U654+1)</f>
        <v/>
      </c>
      <c r="Z654" s="24">
        <f>IF($U654="",DATE(1900,1,1),$O654)</f>
        <v/>
      </c>
      <c r="AA654" s="20">
        <f>IF($U654="",0,$K654*$T654)</f>
        <v/>
      </c>
    </row>
    <row r="655">
      <c r="A655" s="15" t="inlineStr">
        <is>
          <t>Yiyi</t>
        </is>
      </c>
      <c r="B655" s="29">
        <f>IF($A655="","",IFERROR(INDEX(Roster!$B$2:$B$40,MATCH($A655,Roster!$A$2:$A$40,0)),"?"))</f>
        <v/>
      </c>
      <c r="C655" s="15" t="inlineStr">
        <is>
          <t>Winchester_1</t>
        </is>
      </c>
      <c r="D655" s="29">
        <f>IF($C655="","",IFERROR(IF(INDEX(Deals!$C$2:$C$355,MATCH($C655,Deals!$A$2:$A$355,0))=0,"",INDEX(Deals!$C$2:$C$355,MATCH($C655,Deals!$A$2:$A$355,0))),"?"))</f>
        <v/>
      </c>
      <c r="E655" s="29">
        <f>IF($C655="","",IFERROR(INDEX(Deals!$F$2:$F$355,MATCH($C655,Deals!$A$2:$A$355,0)),"?"))</f>
        <v/>
      </c>
      <c r="F655" s="15" t="inlineStr">
        <is>
          <t>Renewable Specialist</t>
        </is>
      </c>
      <c r="G655" s="15" t="inlineStr">
        <is>
          <t>Active</t>
        </is>
      </c>
      <c r="H655" s="27" t="n"/>
      <c r="I655" s="20">
        <f>IF(OR($A655="",$G655&lt;&gt;"Active"),0,IF($H655&lt;&gt;"",$H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</f>
        <v/>
      </c>
      <c r="J655" s="23">
        <f>IF($C655="",0,IFERROR(INDEX(Deals!$H$2:$H$355,MATCH($C655,Deals!$A$2:$A$355,0)),0))</f>
        <v/>
      </c>
      <c r="K655" s="20">
        <f>IF(Settings!$B$4="Yes",$I655*$J655,$I655)</f>
        <v/>
      </c>
      <c r="L655" s="31">
        <f>IF($C655="","",IFERROR(IF(INDEX(Deals!$I$2:$I$355,MATCH($C655,Deals!$A$2:$A$355,0))=0,"",INDEX(Deals!$I$2:$I$355,MATCH($C655,Deals!$A$2:$A$355,0))),""))</f>
        <v/>
      </c>
      <c r="M655" s="31">
        <f>IF($C655="","",IFERROR(IF(INDEX(Deals!$J$2:$J$355,MATCH($C655,Deals!$A$2:$A$355,0))=0,"",INDEX(Deals!$J$2:$J$355,MATCH($C655,Deals!$A$2:$A$355,0))),""))</f>
        <v/>
      </c>
      <c r="N655" s="24">
        <f>IF($L655="",DATE(1900,1,1),$L655)</f>
        <v/>
      </c>
      <c r="O655" s="24">
        <f>IF($M655="",DATE(2100,12,31),$M655)</f>
        <v/>
      </c>
      <c r="P655" s="16" t="inlineStr"/>
      <c r="Q655" s="16" t="inlineStr"/>
      <c r="R655" s="29">
        <f>IF($C655="","",IFERROR(IF(INDEX(Deals!$U$2:$U$355,MATCH($C655,Deals!$A$2:$A$355,0))=0,"",INDEX(Deals!$U$2:$U$355,MATCH($C655,Deals!$A$2:$A$355,0))),""))</f>
        <v/>
      </c>
      <c r="S655" s="22">
        <f>IFERROR(IF($U655="",1,INDEX(Deals!$V$2:$V$355,MATCH($C655,Deals!$A$2:$A$355,0))),1)</f>
        <v/>
      </c>
      <c r="T655" s="22">
        <f>IFERROR(IF($U655="",1,INDEX(Deals!$W$2:$W$355,MATCH($C655,Deals!$A$2:$A$355,0))),1)</f>
        <v/>
      </c>
      <c r="U655" s="31">
        <f>IF($C655="","",IFERROR(IF(INDEX(Deals!$Y$2:$Y$355,MATCH($C655,Deals!$A$2:$A$355,0))=0,"",INDEX(Deals!$Y$2:$Y$355,MATCH($C655,Deals!$A$2:$A$355,0))),""))</f>
        <v/>
      </c>
      <c r="V655" s="24">
        <f>IF($U655="",DATE(1900,1,1),$N655)</f>
        <v/>
      </c>
      <c r="W655" s="24">
        <f>IF($U655="",DATE(2100,12,31),$U655)</f>
        <v/>
      </c>
      <c r="X655" s="20">
        <f>IF($U655="",$K655,$K655*$S655)</f>
        <v/>
      </c>
      <c r="Y655" s="24">
        <f>IF($U655="",DATE(2100,12,31),$U655+1)</f>
        <v/>
      </c>
      <c r="Z655" s="24">
        <f>IF($U655="",DATE(1900,1,1),$O655)</f>
        <v/>
      </c>
      <c r="AA655" s="20">
        <f>IF($U655="",0,$K655*$T655)</f>
        <v/>
      </c>
    </row>
    <row r="656">
      <c r="A656" s="15" t="inlineStr">
        <is>
          <t>Yiyi</t>
        </is>
      </c>
      <c r="B656" s="29">
        <f>IF($A656="","",IFERROR(INDEX(Roster!$B$2:$B$40,MATCH($A656,Roster!$A$2:$A$40,0)),"?"))</f>
        <v/>
      </c>
      <c r="C656" s="15" t="inlineStr">
        <is>
          <t>Yellowstone_2</t>
        </is>
      </c>
      <c r="D656" s="29">
        <f>IF($C656="","",IFERROR(IF(INDEX(Deals!$C$2:$C$355,MATCH($C656,Deals!$A$2:$A$355,0))=0,"",INDEX(Deals!$C$2:$C$355,MATCH($C656,Deals!$A$2:$A$355,0))),"?"))</f>
        <v/>
      </c>
      <c r="E656" s="29">
        <f>IF($C656="","",IFERROR(INDEX(Deals!$F$2:$F$355,MATCH($C656,Deals!$A$2:$A$355,0)),"?"))</f>
        <v/>
      </c>
      <c r="F656" s="15" t="inlineStr">
        <is>
          <t>Renewable Specialist</t>
        </is>
      </c>
      <c r="G656" s="15" t="inlineStr">
        <is>
          <t>Active</t>
        </is>
      </c>
      <c r="H656" s="27" t="n"/>
      <c r="I656" s="20">
        <f>IF(OR($A656="",$G656&lt;&gt;"Active"),0,IF($H656&lt;&gt;"",$H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</f>
        <v/>
      </c>
      <c r="J656" s="23">
        <f>IF($C656="",0,IFERROR(INDEX(Deals!$H$2:$H$355,MATCH($C656,Deals!$A$2:$A$355,0)),0))</f>
        <v/>
      </c>
      <c r="K656" s="20">
        <f>IF(Settings!$B$4="Yes",$I656*$J656,$I656)</f>
        <v/>
      </c>
      <c r="L656" s="31">
        <f>IF($C656="","",IFERROR(IF(INDEX(Deals!$I$2:$I$355,MATCH($C656,Deals!$A$2:$A$355,0))=0,"",INDEX(Deals!$I$2:$I$355,MATCH($C656,Deals!$A$2:$A$355,0))),""))</f>
        <v/>
      </c>
      <c r="M656" s="31">
        <f>IF($C656="","",IFERROR(IF(INDEX(Deals!$J$2:$J$355,MATCH($C656,Deals!$A$2:$A$355,0))=0,"",INDEX(Deals!$J$2:$J$355,MATCH($C656,Deals!$A$2:$A$355,0))),""))</f>
        <v/>
      </c>
      <c r="N656" s="24">
        <f>IF($L656="",DATE(1900,1,1),$L656)</f>
        <v/>
      </c>
      <c r="O656" s="24">
        <f>IF($M656="",DATE(2100,12,31),$M656)</f>
        <v/>
      </c>
      <c r="P656" s="16" t="inlineStr"/>
      <c r="Q656" s="16" t="inlineStr"/>
      <c r="R656" s="29">
        <f>IF($C656="","",IFERROR(IF(INDEX(Deals!$U$2:$U$355,MATCH($C656,Deals!$A$2:$A$355,0))=0,"",INDEX(Deals!$U$2:$U$355,MATCH($C656,Deals!$A$2:$A$355,0))),""))</f>
        <v/>
      </c>
      <c r="S656" s="22">
        <f>IFERROR(IF($U656="",1,INDEX(Deals!$V$2:$V$355,MATCH($C656,Deals!$A$2:$A$355,0))),1)</f>
        <v/>
      </c>
      <c r="T656" s="22">
        <f>IFERROR(IF($U656="",1,INDEX(Deals!$W$2:$W$355,MATCH($C656,Deals!$A$2:$A$355,0))),1)</f>
        <v/>
      </c>
      <c r="U656" s="31">
        <f>IF($C656="","",IFERROR(IF(INDEX(Deals!$Y$2:$Y$355,MATCH($C656,Deals!$A$2:$A$355,0))=0,"",INDEX(Deals!$Y$2:$Y$355,MATCH($C656,Deals!$A$2:$A$355,0))),""))</f>
        <v/>
      </c>
      <c r="V656" s="24">
        <f>IF($U656="",DATE(1900,1,1),$N656)</f>
        <v/>
      </c>
      <c r="W656" s="24">
        <f>IF($U656="",DATE(2100,12,31),$U656)</f>
        <v/>
      </c>
      <c r="X656" s="20">
        <f>IF($U656="",$K656,$K656*$S656)</f>
        <v/>
      </c>
      <c r="Y656" s="24">
        <f>IF($U656="",DATE(2100,12,31),$U656+1)</f>
        <v/>
      </c>
      <c r="Z656" s="24">
        <f>IF($U656="",DATE(1900,1,1),$O656)</f>
        <v/>
      </c>
      <c r="AA656" s="20">
        <f>IF($U656="",0,$K656*$T656)</f>
        <v/>
      </c>
    </row>
    <row r="657">
      <c r="A657" s="15" t="inlineStr">
        <is>
          <t>Yiyi</t>
        </is>
      </c>
      <c r="B657" s="29">
        <f>IF($A657="","",IFERROR(INDEX(Roster!$B$2:$B$40,MATCH($A657,Roster!$A$2:$A$40,0)),"?"))</f>
        <v/>
      </c>
      <c r="C657" s="15" t="inlineStr">
        <is>
          <t>Zora_1</t>
        </is>
      </c>
      <c r="D657" s="29">
        <f>IF($C657="","",IFERROR(IF(INDEX(Deals!$C$2:$C$355,MATCH($C657,Deals!$A$2:$A$355,0))=0,"",INDEX(Deals!$C$2:$C$355,MATCH($C657,Deals!$A$2:$A$355,0))),"?"))</f>
        <v/>
      </c>
      <c r="E657" s="29">
        <f>IF($C657="","",IFERROR(INDEX(Deals!$F$2:$F$355,MATCH($C657,Deals!$A$2:$A$355,0)),"?"))</f>
        <v/>
      </c>
      <c r="F657" s="15" t="inlineStr">
        <is>
          <t>Renewable Specialist</t>
        </is>
      </c>
      <c r="G657" s="15" t="inlineStr">
        <is>
          <t>Active</t>
        </is>
      </c>
      <c r="H657" s="27" t="n"/>
      <c r="I657" s="20">
        <f>IF(OR($A657="",$G657&lt;&gt;"Active"),0,IF($H657&lt;&gt;"",$H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</f>
        <v/>
      </c>
      <c r="J657" s="23">
        <f>IF($C657="",0,IFERROR(INDEX(Deals!$H$2:$H$355,MATCH($C657,Deals!$A$2:$A$355,0)),0))</f>
        <v/>
      </c>
      <c r="K657" s="20">
        <f>IF(Settings!$B$4="Yes",$I657*$J657,$I657)</f>
        <v/>
      </c>
      <c r="L657" s="31">
        <f>IF($C657="","",IFERROR(IF(INDEX(Deals!$I$2:$I$355,MATCH($C657,Deals!$A$2:$A$355,0))=0,"",INDEX(Deals!$I$2:$I$355,MATCH($C657,Deals!$A$2:$A$355,0))),""))</f>
        <v/>
      </c>
      <c r="M657" s="31">
        <f>IF($C657="","",IFERROR(IF(INDEX(Deals!$J$2:$J$355,MATCH($C657,Deals!$A$2:$A$355,0))=0,"",INDEX(Deals!$J$2:$J$355,MATCH($C657,Deals!$A$2:$A$355,0))),""))</f>
        <v/>
      </c>
      <c r="N657" s="24">
        <f>IF($L657="",DATE(1900,1,1),$L657)</f>
        <v/>
      </c>
      <c r="O657" s="24">
        <f>IF($M657="",DATE(2100,12,31),$M657)</f>
        <v/>
      </c>
      <c r="P657" s="16" t="inlineStr"/>
      <c r="Q657" s="16" t="inlineStr"/>
      <c r="R657" s="29">
        <f>IF($C657="","",IFERROR(IF(INDEX(Deals!$U$2:$U$355,MATCH($C657,Deals!$A$2:$A$355,0))=0,"",INDEX(Deals!$U$2:$U$355,MATCH($C657,Deals!$A$2:$A$355,0))),""))</f>
        <v/>
      </c>
      <c r="S657" s="22">
        <f>IFERROR(IF($U657="",1,INDEX(Deals!$V$2:$V$355,MATCH($C657,Deals!$A$2:$A$355,0))),1)</f>
        <v/>
      </c>
      <c r="T657" s="22">
        <f>IFERROR(IF($U657="",1,INDEX(Deals!$W$2:$W$355,MATCH($C657,Deals!$A$2:$A$355,0))),1)</f>
        <v/>
      </c>
      <c r="U657" s="31">
        <f>IF($C657="","",IFERROR(IF(INDEX(Deals!$Y$2:$Y$355,MATCH($C657,Deals!$A$2:$A$355,0))=0,"",INDEX(Deals!$Y$2:$Y$355,MATCH($C657,Deals!$A$2:$A$355,0))),""))</f>
        <v/>
      </c>
      <c r="V657" s="24">
        <f>IF($U657="",DATE(1900,1,1),$N657)</f>
        <v/>
      </c>
      <c r="W657" s="24">
        <f>IF($U657="",DATE(2100,12,31),$U657)</f>
        <v/>
      </c>
      <c r="X657" s="20">
        <f>IF($U657="",$K657,$K657*$S657)</f>
        <v/>
      </c>
      <c r="Y657" s="24">
        <f>IF($U657="",DATE(2100,12,31),$U657+1)</f>
        <v/>
      </c>
      <c r="Z657" s="24">
        <f>IF($U657="",DATE(1900,1,1),$O657)</f>
        <v/>
      </c>
      <c r="AA657" s="20">
        <f>IF($U657="",0,$K657*$T657)</f>
        <v/>
      </c>
    </row>
    <row r="658">
      <c r="A658" s="15" t="inlineStr">
        <is>
          <t>Eric</t>
        </is>
      </c>
      <c r="B658" s="29">
        <f>IF($A658="","",IFERROR(INDEX(Roster!$B$2:$B$40,MATCH($A658,Roster!$A$2:$A$40,0)),"?"))</f>
        <v/>
      </c>
      <c r="C658" s="15" t="inlineStr">
        <is>
          <t>AZ BESS_1</t>
        </is>
      </c>
      <c r="D658" s="29">
        <f>IF($C658="","",IFERROR(IF(INDEX(Deals!$C$2:$C$355,MATCH($C658,Deals!$A$2:$A$355,0))=0,"",INDEX(Deals!$C$2:$C$355,MATCH($C658,Deals!$A$2:$A$355,0))),"?"))</f>
        <v/>
      </c>
      <c r="E658" s="29">
        <f>IF($C658="","",IFERROR(INDEX(Deals!$F$2:$F$355,MATCH($C658,Deals!$A$2:$A$355,0)),"?"))</f>
        <v/>
      </c>
      <c r="F658" s="15" t="inlineStr">
        <is>
          <t>Renewable Specialist</t>
        </is>
      </c>
      <c r="G658" s="15" t="inlineStr">
        <is>
          <t>Active</t>
        </is>
      </c>
      <c r="H658" s="27" t="n"/>
      <c r="I658" s="20">
        <f>IF(OR($A658="",$G658&lt;&gt;"Active"),0,IF($H658&lt;&gt;"",$H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</f>
        <v/>
      </c>
      <c r="J658" s="23">
        <f>IF($C658="",0,IFERROR(INDEX(Deals!$H$2:$H$355,MATCH($C658,Deals!$A$2:$A$355,0)),0))</f>
        <v/>
      </c>
      <c r="K658" s="20">
        <f>IF(Settings!$B$4="Yes",$I658*$J658,$I658)</f>
        <v/>
      </c>
      <c r="L658" s="31">
        <f>IF($C658="","",IFERROR(IF(INDEX(Deals!$I$2:$I$355,MATCH($C658,Deals!$A$2:$A$355,0))=0,"",INDEX(Deals!$I$2:$I$355,MATCH($C658,Deals!$A$2:$A$355,0))),""))</f>
        <v/>
      </c>
      <c r="M658" s="31">
        <f>IF($C658="","",IFERROR(IF(INDEX(Deals!$J$2:$J$355,MATCH($C658,Deals!$A$2:$A$355,0))=0,"",INDEX(Deals!$J$2:$J$355,MATCH($C658,Deals!$A$2:$A$355,0))),""))</f>
        <v/>
      </c>
      <c r="N658" s="24">
        <f>IF($L658="",DATE(1900,1,1),$L658)</f>
        <v/>
      </c>
      <c r="O658" s="24">
        <f>IF($M658="",DATE(2100,12,31),$M658)</f>
        <v/>
      </c>
      <c r="P658" s="16" t="inlineStr"/>
      <c r="Q658" s="16" t="inlineStr"/>
      <c r="R658" s="29">
        <f>IF($C658="","",IFERROR(IF(INDEX(Deals!$U$2:$U$355,MATCH($C658,Deals!$A$2:$A$355,0))=0,"",INDEX(Deals!$U$2:$U$355,MATCH($C658,Deals!$A$2:$A$355,0))),""))</f>
        <v/>
      </c>
      <c r="S658" s="22">
        <f>IFERROR(IF($U658="",1,INDEX(Deals!$V$2:$V$355,MATCH($C658,Deals!$A$2:$A$355,0))),1)</f>
        <v/>
      </c>
      <c r="T658" s="22">
        <f>IFERROR(IF($U658="",1,INDEX(Deals!$W$2:$W$355,MATCH($C658,Deals!$A$2:$A$355,0))),1)</f>
        <v/>
      </c>
      <c r="U658" s="31">
        <f>IF($C658="","",IFERROR(IF(INDEX(Deals!$Y$2:$Y$355,MATCH($C658,Deals!$A$2:$A$355,0))=0,"",INDEX(Deals!$Y$2:$Y$355,MATCH($C658,Deals!$A$2:$A$355,0))),""))</f>
        <v/>
      </c>
      <c r="V658" s="24">
        <f>IF($U658="",DATE(1900,1,1),$N658)</f>
        <v/>
      </c>
      <c r="W658" s="24">
        <f>IF($U658="",DATE(2100,12,31),$U658)</f>
        <v/>
      </c>
      <c r="X658" s="20">
        <f>IF($U658="",$K658,$K658*$S658)</f>
        <v/>
      </c>
      <c r="Y658" s="24">
        <f>IF($U658="",DATE(2100,12,31),$U658+1)</f>
        <v/>
      </c>
      <c r="Z658" s="24">
        <f>IF($U658="",DATE(1900,1,1),$O658)</f>
        <v/>
      </c>
      <c r="AA658" s="20">
        <f>IF($U658="",0,$K658*$T658)</f>
        <v/>
      </c>
    </row>
    <row r="659">
      <c r="A659" s="15" t="inlineStr">
        <is>
          <t>Eric</t>
        </is>
      </c>
      <c r="B659" s="29">
        <f>IF($A659="","",IFERROR(INDEX(Roster!$B$2:$B$40,MATCH($A659,Roster!$A$2:$A$40,0)),"?"))</f>
        <v/>
      </c>
      <c r="C659" s="15" t="inlineStr">
        <is>
          <t>Canyon_2</t>
        </is>
      </c>
      <c r="D659" s="29">
        <f>IF($C659="","",IFERROR(IF(INDEX(Deals!$C$2:$C$355,MATCH($C659,Deals!$A$2:$A$355,0))=0,"",INDEX(Deals!$C$2:$C$355,MATCH($C659,Deals!$A$2:$A$355,0))),"?"))</f>
        <v/>
      </c>
      <c r="E659" s="29">
        <f>IF($C659="","",IFERROR(INDEX(Deals!$F$2:$F$355,MATCH($C659,Deals!$A$2:$A$355,0)),"?"))</f>
        <v/>
      </c>
      <c r="F659" s="15" t="inlineStr">
        <is>
          <t>Renewable Specialist</t>
        </is>
      </c>
      <c r="G659" s="15" t="inlineStr">
        <is>
          <t>Active</t>
        </is>
      </c>
      <c r="H659" s="27" t="n"/>
      <c r="I659" s="20">
        <f>IF(OR($A659="",$G659&lt;&gt;"Active"),0,IF($H659&lt;&gt;"",$H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</f>
        <v/>
      </c>
      <c r="J659" s="23">
        <f>IF($C659="",0,IFERROR(INDEX(Deals!$H$2:$H$355,MATCH($C659,Deals!$A$2:$A$355,0)),0))</f>
        <v/>
      </c>
      <c r="K659" s="20">
        <f>IF(Settings!$B$4="Yes",$I659*$J659,$I659)</f>
        <v/>
      </c>
      <c r="L659" s="31">
        <f>IF($C659="","",IFERROR(IF(INDEX(Deals!$I$2:$I$355,MATCH($C659,Deals!$A$2:$A$355,0))=0,"",INDEX(Deals!$I$2:$I$355,MATCH($C659,Deals!$A$2:$A$355,0))),""))</f>
        <v/>
      </c>
      <c r="M659" s="31">
        <f>IF($C659="","",IFERROR(IF(INDEX(Deals!$J$2:$J$355,MATCH($C659,Deals!$A$2:$A$355,0))=0,"",INDEX(Deals!$J$2:$J$355,MATCH($C659,Deals!$A$2:$A$355,0))),""))</f>
        <v/>
      </c>
      <c r="N659" s="24">
        <f>IF($L659="",DATE(1900,1,1),$L659)</f>
        <v/>
      </c>
      <c r="O659" s="24">
        <f>IF($M659="",DATE(2100,12,31),$M659)</f>
        <v/>
      </c>
      <c r="P659" s="16" t="inlineStr"/>
      <c r="Q659" s="16" t="inlineStr"/>
      <c r="R659" s="29">
        <f>IF($C659="","",IFERROR(IF(INDEX(Deals!$U$2:$U$355,MATCH($C659,Deals!$A$2:$A$355,0))=0,"",INDEX(Deals!$U$2:$U$355,MATCH($C659,Deals!$A$2:$A$355,0))),""))</f>
        <v/>
      </c>
      <c r="S659" s="22">
        <f>IFERROR(IF($U659="",1,INDEX(Deals!$V$2:$V$355,MATCH($C659,Deals!$A$2:$A$355,0))),1)</f>
        <v/>
      </c>
      <c r="T659" s="22">
        <f>IFERROR(IF($U659="",1,INDEX(Deals!$W$2:$W$355,MATCH($C659,Deals!$A$2:$A$355,0))),1)</f>
        <v/>
      </c>
      <c r="U659" s="31">
        <f>IF($C659="","",IFERROR(IF(INDEX(Deals!$Y$2:$Y$355,MATCH($C659,Deals!$A$2:$A$355,0))=0,"",INDEX(Deals!$Y$2:$Y$355,MATCH($C659,Deals!$A$2:$A$355,0))),""))</f>
        <v/>
      </c>
      <c r="V659" s="24">
        <f>IF($U659="",DATE(1900,1,1),$N659)</f>
        <v/>
      </c>
      <c r="W659" s="24">
        <f>IF($U659="",DATE(2100,12,31),$U659)</f>
        <v/>
      </c>
      <c r="X659" s="20">
        <f>IF($U659="",$K659,$K659*$S659)</f>
        <v/>
      </c>
      <c r="Y659" s="24">
        <f>IF($U659="",DATE(2100,12,31),$U659+1)</f>
        <v/>
      </c>
      <c r="Z659" s="24">
        <f>IF($U659="",DATE(1900,1,1),$O659)</f>
        <v/>
      </c>
      <c r="AA659" s="20">
        <f>IF($U659="",0,$K659*$T659)</f>
        <v/>
      </c>
    </row>
    <row r="660">
      <c r="A660" s="15" t="inlineStr">
        <is>
          <t>Eric</t>
        </is>
      </c>
      <c r="B660" s="29">
        <f>IF($A660="","",IFERROR(INDEX(Roster!$B$2:$B$40,MATCH($A660,Roster!$A$2:$A$40,0)),"?"))</f>
        <v/>
      </c>
      <c r="C660" s="15" t="inlineStr">
        <is>
          <t>Catalyze_2</t>
        </is>
      </c>
      <c r="D660" s="29">
        <f>IF($C660="","",IFERROR(IF(INDEX(Deals!$C$2:$C$355,MATCH($C660,Deals!$A$2:$A$355,0))=0,"",INDEX(Deals!$C$2:$C$355,MATCH($C660,Deals!$A$2:$A$355,0))),"?"))</f>
        <v/>
      </c>
      <c r="E660" s="29">
        <f>IF($C660="","",IFERROR(INDEX(Deals!$F$2:$F$355,MATCH($C660,Deals!$A$2:$A$355,0)),"?"))</f>
        <v/>
      </c>
      <c r="F660" s="15" t="inlineStr">
        <is>
          <t>Renewable Specialist</t>
        </is>
      </c>
      <c r="G660" s="15" t="inlineStr">
        <is>
          <t>Active</t>
        </is>
      </c>
      <c r="H660" s="27" t="n"/>
      <c r="I660" s="20">
        <f>IF(OR($A660="",$G660&lt;&gt;"Active"),0,IF($H660&lt;&gt;"",$H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</f>
        <v/>
      </c>
      <c r="J660" s="23">
        <f>IF($C660="",0,IFERROR(INDEX(Deals!$H$2:$H$355,MATCH($C660,Deals!$A$2:$A$355,0)),0))</f>
        <v/>
      </c>
      <c r="K660" s="20">
        <f>IF(Settings!$B$4="Yes",$I660*$J660,$I660)</f>
        <v/>
      </c>
      <c r="L660" s="31">
        <f>IF($C660="","",IFERROR(IF(INDEX(Deals!$I$2:$I$355,MATCH($C660,Deals!$A$2:$A$355,0))=0,"",INDEX(Deals!$I$2:$I$355,MATCH($C660,Deals!$A$2:$A$355,0))),""))</f>
        <v/>
      </c>
      <c r="M660" s="31">
        <f>IF($C660="","",IFERROR(IF(INDEX(Deals!$J$2:$J$355,MATCH($C660,Deals!$A$2:$A$355,0))=0,"",INDEX(Deals!$J$2:$J$355,MATCH($C660,Deals!$A$2:$A$355,0))),""))</f>
        <v/>
      </c>
      <c r="N660" s="24">
        <f>IF($L660="",DATE(1900,1,1),$L660)</f>
        <v/>
      </c>
      <c r="O660" s="24">
        <f>IF($M660="",DATE(2100,12,31),$M660)</f>
        <v/>
      </c>
      <c r="P660" s="16" t="inlineStr"/>
      <c r="Q660" s="16" t="inlineStr"/>
      <c r="R660" s="29">
        <f>IF($C660="","",IFERROR(IF(INDEX(Deals!$U$2:$U$355,MATCH($C660,Deals!$A$2:$A$355,0))=0,"",INDEX(Deals!$U$2:$U$355,MATCH($C660,Deals!$A$2:$A$355,0))),""))</f>
        <v/>
      </c>
      <c r="S660" s="22">
        <f>IFERROR(IF($U660="",1,INDEX(Deals!$V$2:$V$355,MATCH($C660,Deals!$A$2:$A$355,0))),1)</f>
        <v/>
      </c>
      <c r="T660" s="22">
        <f>IFERROR(IF($U660="",1,INDEX(Deals!$W$2:$W$355,MATCH($C660,Deals!$A$2:$A$355,0))),1)</f>
        <v/>
      </c>
      <c r="U660" s="31">
        <f>IF($C660="","",IFERROR(IF(INDEX(Deals!$Y$2:$Y$355,MATCH($C660,Deals!$A$2:$A$355,0))=0,"",INDEX(Deals!$Y$2:$Y$355,MATCH($C660,Deals!$A$2:$A$355,0))),""))</f>
        <v/>
      </c>
      <c r="V660" s="24">
        <f>IF($U660="",DATE(1900,1,1),$N660)</f>
        <v/>
      </c>
      <c r="W660" s="24">
        <f>IF($U660="",DATE(2100,12,31),$U660)</f>
        <v/>
      </c>
      <c r="X660" s="20">
        <f>IF($U660="",$K660,$K660*$S660)</f>
        <v/>
      </c>
      <c r="Y660" s="24">
        <f>IF($U660="",DATE(2100,12,31),$U660+1)</f>
        <v/>
      </c>
      <c r="Z660" s="24">
        <f>IF($U660="",DATE(1900,1,1),$O660)</f>
        <v/>
      </c>
      <c r="AA660" s="20">
        <f>IF($U660="",0,$K660*$T660)</f>
        <v/>
      </c>
    </row>
    <row r="661">
      <c r="A661" s="15" t="inlineStr">
        <is>
          <t>Eric</t>
        </is>
      </c>
      <c r="B661" s="29">
        <f>IF($A661="","",IFERROR(INDEX(Roster!$B$2:$B$40,MATCH($A661,Roster!$A$2:$A$40,0)),"?"))</f>
        <v/>
      </c>
      <c r="C661" s="15" t="inlineStr">
        <is>
          <t>DIF - Diverso_1</t>
        </is>
      </c>
      <c r="D661" s="29">
        <f>IF($C661="","",IFERROR(IF(INDEX(Deals!$C$2:$C$355,MATCH($C661,Deals!$A$2:$A$355,0))=0,"",INDEX(Deals!$C$2:$C$355,MATCH($C661,Deals!$A$2:$A$355,0))),"?"))</f>
        <v/>
      </c>
      <c r="E661" s="29">
        <f>IF($C661="","",IFERROR(INDEX(Deals!$F$2:$F$355,MATCH($C661,Deals!$A$2:$A$355,0)),"?"))</f>
        <v/>
      </c>
      <c r="F661" s="15" t="inlineStr">
        <is>
          <t>Renewable Specialist</t>
        </is>
      </c>
      <c r="G661" s="15" t="inlineStr">
        <is>
          <t>Active</t>
        </is>
      </c>
      <c r="H661" s="27" t="n"/>
      <c r="I661" s="20">
        <f>IF(OR($A661="",$G661&lt;&gt;"Active"),0,IF($H661&lt;&gt;"",$H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</f>
        <v/>
      </c>
      <c r="J661" s="23">
        <f>IF($C661="",0,IFERROR(INDEX(Deals!$H$2:$H$355,MATCH($C661,Deals!$A$2:$A$355,0)),0))</f>
        <v/>
      </c>
      <c r="K661" s="20">
        <f>IF(Settings!$B$4="Yes",$I661*$J661,$I661)</f>
        <v/>
      </c>
      <c r="L661" s="31">
        <f>IF($C661="","",IFERROR(IF(INDEX(Deals!$I$2:$I$355,MATCH($C661,Deals!$A$2:$A$355,0))=0,"",INDEX(Deals!$I$2:$I$355,MATCH($C661,Deals!$A$2:$A$355,0))),""))</f>
        <v/>
      </c>
      <c r="M661" s="31">
        <f>IF($C661="","",IFERROR(IF(INDEX(Deals!$J$2:$J$355,MATCH($C661,Deals!$A$2:$A$355,0))=0,"",INDEX(Deals!$J$2:$J$355,MATCH($C661,Deals!$A$2:$A$355,0))),""))</f>
        <v/>
      </c>
      <c r="N661" s="24">
        <f>IF($L661="",DATE(1900,1,1),$L661)</f>
        <v/>
      </c>
      <c r="O661" s="24">
        <f>IF($M661="",DATE(2100,12,31),$M661)</f>
        <v/>
      </c>
      <c r="P661" s="16" t="inlineStr"/>
      <c r="Q661" s="16" t="inlineStr"/>
      <c r="R661" s="29">
        <f>IF($C661="","",IFERROR(IF(INDEX(Deals!$U$2:$U$355,MATCH($C661,Deals!$A$2:$A$355,0))=0,"",INDEX(Deals!$U$2:$U$355,MATCH($C661,Deals!$A$2:$A$355,0))),""))</f>
        <v/>
      </c>
      <c r="S661" s="22">
        <f>IFERROR(IF($U661="",1,INDEX(Deals!$V$2:$V$355,MATCH($C661,Deals!$A$2:$A$355,0))),1)</f>
        <v/>
      </c>
      <c r="T661" s="22">
        <f>IFERROR(IF($U661="",1,INDEX(Deals!$W$2:$W$355,MATCH($C661,Deals!$A$2:$A$355,0))),1)</f>
        <v/>
      </c>
      <c r="U661" s="31">
        <f>IF($C661="","",IFERROR(IF(INDEX(Deals!$Y$2:$Y$355,MATCH($C661,Deals!$A$2:$A$355,0))=0,"",INDEX(Deals!$Y$2:$Y$355,MATCH($C661,Deals!$A$2:$A$355,0))),""))</f>
        <v/>
      </c>
      <c r="V661" s="24">
        <f>IF($U661="",DATE(1900,1,1),$N661)</f>
        <v/>
      </c>
      <c r="W661" s="24">
        <f>IF($U661="",DATE(2100,12,31),$U661)</f>
        <v/>
      </c>
      <c r="X661" s="20">
        <f>IF($U661="",$K661,$K661*$S661)</f>
        <v/>
      </c>
      <c r="Y661" s="24">
        <f>IF($U661="",DATE(2100,12,31),$U661+1)</f>
        <v/>
      </c>
      <c r="Z661" s="24">
        <f>IF($U661="",DATE(1900,1,1),$O661)</f>
        <v/>
      </c>
      <c r="AA661" s="20">
        <f>IF($U661="",0,$K661*$T661)</f>
        <v/>
      </c>
    </row>
    <row r="662">
      <c r="A662" s="15" t="inlineStr">
        <is>
          <t>Eric</t>
        </is>
      </c>
      <c r="B662" s="29">
        <f>IF($A662="","",IFERROR(INDEX(Roster!$B$2:$B$40,MATCH($A662,Roster!$A$2:$A$40,0)),"?"))</f>
        <v/>
      </c>
      <c r="C662" s="15" t="inlineStr">
        <is>
          <t>DIF Brahms_1</t>
        </is>
      </c>
      <c r="D662" s="29">
        <f>IF($C662="","",IFERROR(IF(INDEX(Deals!$C$2:$C$355,MATCH($C662,Deals!$A$2:$A$355,0))=0,"",INDEX(Deals!$C$2:$C$355,MATCH($C662,Deals!$A$2:$A$355,0))),"?"))</f>
        <v/>
      </c>
      <c r="E662" s="29">
        <f>IF($C662="","",IFERROR(INDEX(Deals!$F$2:$F$355,MATCH($C662,Deals!$A$2:$A$355,0)),"?"))</f>
        <v/>
      </c>
      <c r="F662" s="15" t="inlineStr">
        <is>
          <t>Renewable Specialist</t>
        </is>
      </c>
      <c r="G662" s="15" t="inlineStr">
        <is>
          <t>Active</t>
        </is>
      </c>
      <c r="H662" s="27" t="n"/>
      <c r="I662" s="20">
        <f>IF(OR($A662="",$G662&lt;&gt;"Active"),0,IF($H662&lt;&gt;"",$H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</f>
        <v/>
      </c>
      <c r="J662" s="23">
        <f>IF($C662="",0,IFERROR(INDEX(Deals!$H$2:$H$355,MATCH($C662,Deals!$A$2:$A$355,0)),0))</f>
        <v/>
      </c>
      <c r="K662" s="20">
        <f>IF(Settings!$B$4="Yes",$I662*$J662,$I662)</f>
        <v/>
      </c>
      <c r="L662" s="31">
        <f>IF($C662="","",IFERROR(IF(INDEX(Deals!$I$2:$I$355,MATCH($C662,Deals!$A$2:$A$355,0))=0,"",INDEX(Deals!$I$2:$I$355,MATCH($C662,Deals!$A$2:$A$355,0))),""))</f>
        <v/>
      </c>
      <c r="M662" s="31">
        <f>IF($C662="","",IFERROR(IF(INDEX(Deals!$J$2:$J$355,MATCH($C662,Deals!$A$2:$A$355,0))=0,"",INDEX(Deals!$J$2:$J$355,MATCH($C662,Deals!$A$2:$A$355,0))),""))</f>
        <v/>
      </c>
      <c r="N662" s="24">
        <f>IF($L662="",DATE(1900,1,1),$L662)</f>
        <v/>
      </c>
      <c r="O662" s="24">
        <f>IF($M662="",DATE(2100,12,31),$M662)</f>
        <v/>
      </c>
      <c r="P662" s="16" t="inlineStr"/>
      <c r="Q662" s="16" t="inlineStr"/>
      <c r="R662" s="29">
        <f>IF($C662="","",IFERROR(IF(INDEX(Deals!$U$2:$U$355,MATCH($C662,Deals!$A$2:$A$355,0))=0,"",INDEX(Deals!$U$2:$U$355,MATCH($C662,Deals!$A$2:$A$355,0))),""))</f>
        <v/>
      </c>
      <c r="S662" s="22">
        <f>IFERROR(IF($U662="",1,INDEX(Deals!$V$2:$V$355,MATCH($C662,Deals!$A$2:$A$355,0))),1)</f>
        <v/>
      </c>
      <c r="T662" s="22">
        <f>IFERROR(IF($U662="",1,INDEX(Deals!$W$2:$W$355,MATCH($C662,Deals!$A$2:$A$355,0))),1)</f>
        <v/>
      </c>
      <c r="U662" s="31">
        <f>IF($C662="","",IFERROR(IF(INDEX(Deals!$Y$2:$Y$355,MATCH($C662,Deals!$A$2:$A$355,0))=0,"",INDEX(Deals!$Y$2:$Y$355,MATCH($C662,Deals!$A$2:$A$355,0))),""))</f>
        <v/>
      </c>
      <c r="V662" s="24">
        <f>IF($U662="",DATE(1900,1,1),$N662)</f>
        <v/>
      </c>
      <c r="W662" s="24">
        <f>IF($U662="",DATE(2100,12,31),$U662)</f>
        <v/>
      </c>
      <c r="X662" s="20">
        <f>IF($U662="",$K662,$K662*$S662)</f>
        <v/>
      </c>
      <c r="Y662" s="24">
        <f>IF($U662="",DATE(2100,12,31),$U662+1)</f>
        <v/>
      </c>
      <c r="Z662" s="24">
        <f>IF($U662="",DATE(1900,1,1),$O662)</f>
        <v/>
      </c>
      <c r="AA662" s="20">
        <f>IF($U662="",0,$K662*$T662)</f>
        <v/>
      </c>
    </row>
    <row r="663">
      <c r="A663" s="15" t="inlineStr">
        <is>
          <t>Eric</t>
        </is>
      </c>
      <c r="B663" s="29">
        <f>IF($A663="","",IFERROR(INDEX(Roster!$B$2:$B$40,MATCH($A663,Roster!$A$2:$A$40,0)),"?"))</f>
        <v/>
      </c>
      <c r="C663" s="15" t="inlineStr">
        <is>
          <t>Greenkey_1</t>
        </is>
      </c>
      <c r="D663" s="29">
        <f>IF($C663="","",IFERROR(IF(INDEX(Deals!$C$2:$C$355,MATCH($C663,Deals!$A$2:$A$355,0))=0,"",INDEX(Deals!$C$2:$C$355,MATCH($C663,Deals!$A$2:$A$355,0))),"?"))</f>
        <v/>
      </c>
      <c r="E663" s="29">
        <f>IF($C663="","",IFERROR(INDEX(Deals!$F$2:$F$355,MATCH($C663,Deals!$A$2:$A$355,0)),"?"))</f>
        <v/>
      </c>
      <c r="F663" s="15" t="inlineStr">
        <is>
          <t>Renewable Specialist</t>
        </is>
      </c>
      <c r="G663" s="15" t="inlineStr">
        <is>
          <t>Active</t>
        </is>
      </c>
      <c r="H663" s="27" t="n"/>
      <c r="I663" s="20">
        <f>IF(OR($A663="",$G663&lt;&gt;"Active"),0,IF($H663&lt;&gt;"",$H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</f>
        <v/>
      </c>
      <c r="J663" s="23">
        <f>IF($C663="",0,IFERROR(INDEX(Deals!$H$2:$H$355,MATCH($C663,Deals!$A$2:$A$355,0)),0))</f>
        <v/>
      </c>
      <c r="K663" s="20">
        <f>IF(Settings!$B$4="Yes",$I663*$J663,$I663)</f>
        <v/>
      </c>
      <c r="L663" s="31">
        <f>IF($C663="","",IFERROR(IF(INDEX(Deals!$I$2:$I$355,MATCH($C663,Deals!$A$2:$A$355,0))=0,"",INDEX(Deals!$I$2:$I$355,MATCH($C663,Deals!$A$2:$A$355,0))),""))</f>
        <v/>
      </c>
      <c r="M663" s="31">
        <f>IF($C663="","",IFERROR(IF(INDEX(Deals!$J$2:$J$355,MATCH($C663,Deals!$A$2:$A$355,0))=0,"",INDEX(Deals!$J$2:$J$355,MATCH($C663,Deals!$A$2:$A$355,0))),""))</f>
        <v/>
      </c>
      <c r="N663" s="24">
        <f>IF($L663="",DATE(1900,1,1),$L663)</f>
        <v/>
      </c>
      <c r="O663" s="24">
        <f>IF($M663="",DATE(2100,12,31),$M663)</f>
        <v/>
      </c>
      <c r="P663" s="16" t="inlineStr"/>
      <c r="Q663" s="16" t="inlineStr"/>
      <c r="R663" s="29">
        <f>IF($C663="","",IFERROR(IF(INDEX(Deals!$U$2:$U$355,MATCH($C663,Deals!$A$2:$A$355,0))=0,"",INDEX(Deals!$U$2:$U$355,MATCH($C663,Deals!$A$2:$A$355,0))),""))</f>
        <v/>
      </c>
      <c r="S663" s="22">
        <f>IFERROR(IF($U663="",1,INDEX(Deals!$V$2:$V$355,MATCH($C663,Deals!$A$2:$A$355,0))),1)</f>
        <v/>
      </c>
      <c r="T663" s="22">
        <f>IFERROR(IF($U663="",1,INDEX(Deals!$W$2:$W$355,MATCH($C663,Deals!$A$2:$A$355,0))),1)</f>
        <v/>
      </c>
      <c r="U663" s="31">
        <f>IF($C663="","",IFERROR(IF(INDEX(Deals!$Y$2:$Y$355,MATCH($C663,Deals!$A$2:$A$355,0))=0,"",INDEX(Deals!$Y$2:$Y$355,MATCH($C663,Deals!$A$2:$A$355,0))),""))</f>
        <v/>
      </c>
      <c r="V663" s="24">
        <f>IF($U663="",DATE(1900,1,1),$N663)</f>
        <v/>
      </c>
      <c r="W663" s="24">
        <f>IF($U663="",DATE(2100,12,31),$U663)</f>
        <v/>
      </c>
      <c r="X663" s="20">
        <f>IF($U663="",$K663,$K663*$S663)</f>
        <v/>
      </c>
      <c r="Y663" s="24">
        <f>IF($U663="",DATE(2100,12,31),$U663+1)</f>
        <v/>
      </c>
      <c r="Z663" s="24">
        <f>IF($U663="",DATE(1900,1,1),$O663)</f>
        <v/>
      </c>
      <c r="AA663" s="20">
        <f>IF($U663="",0,$K663*$T663)</f>
        <v/>
      </c>
    </row>
    <row r="664">
      <c r="A664" s="15" t="inlineStr">
        <is>
          <t>Eric</t>
        </is>
      </c>
      <c r="B664" s="29">
        <f>IF($A664="","",IFERROR(INDEX(Roster!$B$2:$B$40,MATCH($A664,Roster!$A$2:$A$40,0)),"?"))</f>
        <v/>
      </c>
      <c r="C664" s="15" t="inlineStr">
        <is>
          <t>Hereford_1</t>
        </is>
      </c>
      <c r="D664" s="29">
        <f>IF($C664="","",IFERROR(IF(INDEX(Deals!$C$2:$C$355,MATCH($C664,Deals!$A$2:$A$355,0))=0,"",INDEX(Deals!$C$2:$C$355,MATCH($C664,Deals!$A$2:$A$355,0))),"?"))</f>
        <v/>
      </c>
      <c r="E664" s="29">
        <f>IF($C664="","",IFERROR(INDEX(Deals!$F$2:$F$355,MATCH($C664,Deals!$A$2:$A$355,0)),"?"))</f>
        <v/>
      </c>
      <c r="F664" s="15" t="inlineStr">
        <is>
          <t>Renewable Specialist</t>
        </is>
      </c>
      <c r="G664" s="15" t="inlineStr">
        <is>
          <t>Active</t>
        </is>
      </c>
      <c r="H664" s="27" t="n"/>
      <c r="I664" s="20">
        <f>IF(OR($A664="",$G664&lt;&gt;"Active"),0,IF($H664&lt;&gt;"",$H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</f>
        <v/>
      </c>
      <c r="J664" s="23">
        <f>IF($C664="",0,IFERROR(INDEX(Deals!$H$2:$H$355,MATCH($C664,Deals!$A$2:$A$355,0)),0))</f>
        <v/>
      </c>
      <c r="K664" s="20">
        <f>IF(Settings!$B$4="Yes",$I664*$J664,$I664)</f>
        <v/>
      </c>
      <c r="L664" s="31">
        <f>IF($C664="","",IFERROR(IF(INDEX(Deals!$I$2:$I$355,MATCH($C664,Deals!$A$2:$A$355,0))=0,"",INDEX(Deals!$I$2:$I$355,MATCH($C664,Deals!$A$2:$A$355,0))),""))</f>
        <v/>
      </c>
      <c r="M664" s="31">
        <f>IF($C664="","",IFERROR(IF(INDEX(Deals!$J$2:$J$355,MATCH($C664,Deals!$A$2:$A$355,0))=0,"",INDEX(Deals!$J$2:$J$355,MATCH($C664,Deals!$A$2:$A$355,0))),""))</f>
        <v/>
      </c>
      <c r="N664" s="24">
        <f>IF($L664="",DATE(1900,1,1),$L664)</f>
        <v/>
      </c>
      <c r="O664" s="24">
        <f>IF($M664="",DATE(2100,12,31),$M664)</f>
        <v/>
      </c>
      <c r="P664" s="16" t="inlineStr"/>
      <c r="Q664" s="16" t="inlineStr"/>
      <c r="R664" s="29">
        <f>IF($C664="","",IFERROR(IF(INDEX(Deals!$U$2:$U$355,MATCH($C664,Deals!$A$2:$A$355,0))=0,"",INDEX(Deals!$U$2:$U$355,MATCH($C664,Deals!$A$2:$A$355,0))),""))</f>
        <v/>
      </c>
      <c r="S664" s="22">
        <f>IFERROR(IF($U664="",1,INDEX(Deals!$V$2:$V$355,MATCH($C664,Deals!$A$2:$A$355,0))),1)</f>
        <v/>
      </c>
      <c r="T664" s="22">
        <f>IFERROR(IF($U664="",1,INDEX(Deals!$W$2:$W$355,MATCH($C664,Deals!$A$2:$A$355,0))),1)</f>
        <v/>
      </c>
      <c r="U664" s="31">
        <f>IF($C664="","",IFERROR(IF(INDEX(Deals!$Y$2:$Y$355,MATCH($C664,Deals!$A$2:$A$355,0))=0,"",INDEX(Deals!$Y$2:$Y$355,MATCH($C664,Deals!$A$2:$A$355,0))),""))</f>
        <v/>
      </c>
      <c r="V664" s="24">
        <f>IF($U664="",DATE(1900,1,1),$N664)</f>
        <v/>
      </c>
      <c r="W664" s="24">
        <f>IF($U664="",DATE(2100,12,31),$U664)</f>
        <v/>
      </c>
      <c r="X664" s="20">
        <f>IF($U664="",$K664,$K664*$S664)</f>
        <v/>
      </c>
      <c r="Y664" s="24">
        <f>IF($U664="",DATE(2100,12,31),$U664+1)</f>
        <v/>
      </c>
      <c r="Z664" s="24">
        <f>IF($U664="",DATE(1900,1,1),$O664)</f>
        <v/>
      </c>
      <c r="AA664" s="20">
        <f>IF($U664="",0,$K664*$T664)</f>
        <v/>
      </c>
    </row>
    <row r="665">
      <c r="A665" s="15" t="inlineStr">
        <is>
          <t>Eric</t>
        </is>
      </c>
      <c r="B665" s="29">
        <f>IF($A665="","",IFERROR(INDEX(Roster!$B$2:$B$40,MATCH($A665,Roster!$A$2:$A$40,0)),"?"))</f>
        <v/>
      </c>
      <c r="C665" s="15" t="inlineStr">
        <is>
          <t>Kanawha_1</t>
        </is>
      </c>
      <c r="D665" s="29">
        <f>IF($C665="","",IFERROR(IF(INDEX(Deals!$C$2:$C$355,MATCH($C665,Deals!$A$2:$A$355,0))=0,"",INDEX(Deals!$C$2:$C$355,MATCH($C665,Deals!$A$2:$A$355,0))),"?"))</f>
        <v/>
      </c>
      <c r="E665" s="29">
        <f>IF($C665="","",IFERROR(INDEX(Deals!$F$2:$F$355,MATCH($C665,Deals!$A$2:$A$355,0)),"?"))</f>
        <v/>
      </c>
      <c r="F665" s="15" t="inlineStr">
        <is>
          <t>Renewable Specialist</t>
        </is>
      </c>
      <c r="G665" s="15" t="inlineStr">
        <is>
          <t>Active</t>
        </is>
      </c>
      <c r="H665" s="27" t="n"/>
      <c r="I665" s="20">
        <f>IF(OR($A665="",$G665&lt;&gt;"Active"),0,IF($H665&lt;&gt;"",$H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</f>
        <v/>
      </c>
      <c r="J665" s="23">
        <f>IF($C665="",0,IFERROR(INDEX(Deals!$H$2:$H$355,MATCH($C665,Deals!$A$2:$A$355,0)),0))</f>
        <v/>
      </c>
      <c r="K665" s="20">
        <f>IF(Settings!$B$4="Yes",$I665*$J665,$I665)</f>
        <v/>
      </c>
      <c r="L665" s="31">
        <f>IF($C665="","",IFERROR(IF(INDEX(Deals!$I$2:$I$355,MATCH($C665,Deals!$A$2:$A$355,0))=0,"",INDEX(Deals!$I$2:$I$355,MATCH($C665,Deals!$A$2:$A$355,0))),""))</f>
        <v/>
      </c>
      <c r="M665" s="31">
        <f>IF($C665="","",IFERROR(IF(INDEX(Deals!$J$2:$J$355,MATCH($C665,Deals!$A$2:$A$355,0))=0,"",INDEX(Deals!$J$2:$J$355,MATCH($C665,Deals!$A$2:$A$355,0))),""))</f>
        <v/>
      </c>
      <c r="N665" s="24">
        <f>IF($L665="",DATE(1900,1,1),$L665)</f>
        <v/>
      </c>
      <c r="O665" s="24">
        <f>IF($M665="",DATE(2100,12,31),$M665)</f>
        <v/>
      </c>
      <c r="P665" s="16" t="inlineStr"/>
      <c r="Q665" s="16" t="inlineStr"/>
      <c r="R665" s="29">
        <f>IF($C665="","",IFERROR(IF(INDEX(Deals!$U$2:$U$355,MATCH($C665,Deals!$A$2:$A$355,0))=0,"",INDEX(Deals!$U$2:$U$355,MATCH($C665,Deals!$A$2:$A$355,0))),""))</f>
        <v/>
      </c>
      <c r="S665" s="22">
        <f>IFERROR(IF($U665="",1,INDEX(Deals!$V$2:$V$355,MATCH($C665,Deals!$A$2:$A$355,0))),1)</f>
        <v/>
      </c>
      <c r="T665" s="22">
        <f>IFERROR(IF($U665="",1,INDEX(Deals!$W$2:$W$355,MATCH($C665,Deals!$A$2:$A$355,0))),1)</f>
        <v/>
      </c>
      <c r="U665" s="31">
        <f>IF($C665="","",IFERROR(IF(INDEX(Deals!$Y$2:$Y$355,MATCH($C665,Deals!$A$2:$A$355,0))=0,"",INDEX(Deals!$Y$2:$Y$355,MATCH($C665,Deals!$A$2:$A$355,0))),""))</f>
        <v/>
      </c>
      <c r="V665" s="24">
        <f>IF($U665="",DATE(1900,1,1),$N665)</f>
        <v/>
      </c>
      <c r="W665" s="24">
        <f>IF($U665="",DATE(2100,12,31),$U665)</f>
        <v/>
      </c>
      <c r="X665" s="20">
        <f>IF($U665="",$K665,$K665*$S665)</f>
        <v/>
      </c>
      <c r="Y665" s="24">
        <f>IF($U665="",DATE(2100,12,31),$U665+1)</f>
        <v/>
      </c>
      <c r="Z665" s="24">
        <f>IF($U665="",DATE(1900,1,1),$O665)</f>
        <v/>
      </c>
      <c r="AA665" s="20">
        <f>IF($U665="",0,$K665*$T665)</f>
        <v/>
      </c>
    </row>
    <row r="666">
      <c r="A666" s="15" t="inlineStr">
        <is>
          <t>Eric</t>
        </is>
      </c>
      <c r="B666" s="29">
        <f>IF($A666="","",IFERROR(INDEX(Roster!$B$2:$B$40,MATCH($A666,Roster!$A$2:$A$40,0)),"?"))</f>
        <v/>
      </c>
      <c r="C666" s="15" t="inlineStr">
        <is>
          <t>Orca_1</t>
        </is>
      </c>
      <c r="D666" s="29">
        <f>IF($C666="","",IFERROR(IF(INDEX(Deals!$C$2:$C$355,MATCH($C666,Deals!$A$2:$A$355,0))=0,"",INDEX(Deals!$C$2:$C$355,MATCH($C666,Deals!$A$2:$A$355,0))),"?"))</f>
        <v/>
      </c>
      <c r="E666" s="29">
        <f>IF($C666="","",IFERROR(INDEX(Deals!$F$2:$F$355,MATCH($C666,Deals!$A$2:$A$355,0)),"?"))</f>
        <v/>
      </c>
      <c r="F666" s="15" t="inlineStr">
        <is>
          <t>Renewable Specialist</t>
        </is>
      </c>
      <c r="G666" s="15" t="inlineStr">
        <is>
          <t>Active</t>
        </is>
      </c>
      <c r="H666" s="27" t="n"/>
      <c r="I666" s="20">
        <f>IF(OR($A666="",$G666&lt;&gt;"Active"),0,IF($H666&lt;&gt;"",$H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</f>
        <v/>
      </c>
      <c r="J666" s="23">
        <f>IF($C666="",0,IFERROR(INDEX(Deals!$H$2:$H$355,MATCH($C666,Deals!$A$2:$A$355,0)),0))</f>
        <v/>
      </c>
      <c r="K666" s="20">
        <f>IF(Settings!$B$4="Yes",$I666*$J666,$I666)</f>
        <v/>
      </c>
      <c r="L666" s="31">
        <f>IF($C666="","",IFERROR(IF(INDEX(Deals!$I$2:$I$355,MATCH($C666,Deals!$A$2:$A$355,0))=0,"",INDEX(Deals!$I$2:$I$355,MATCH($C666,Deals!$A$2:$A$355,0))),""))</f>
        <v/>
      </c>
      <c r="M666" s="31">
        <f>IF($C666="","",IFERROR(IF(INDEX(Deals!$J$2:$J$355,MATCH($C666,Deals!$A$2:$A$355,0))=0,"",INDEX(Deals!$J$2:$J$355,MATCH($C666,Deals!$A$2:$A$355,0))),""))</f>
        <v/>
      </c>
      <c r="N666" s="24">
        <f>IF($L666="",DATE(1900,1,1),$L666)</f>
        <v/>
      </c>
      <c r="O666" s="24">
        <f>IF($M666="",DATE(2100,12,31),$M666)</f>
        <v/>
      </c>
      <c r="P666" s="16" t="inlineStr"/>
      <c r="Q666" s="16" t="inlineStr"/>
      <c r="R666" s="29">
        <f>IF($C666="","",IFERROR(IF(INDEX(Deals!$U$2:$U$355,MATCH($C666,Deals!$A$2:$A$355,0))=0,"",INDEX(Deals!$U$2:$U$355,MATCH($C666,Deals!$A$2:$A$355,0))),""))</f>
        <v/>
      </c>
      <c r="S666" s="22">
        <f>IFERROR(IF($U666="",1,INDEX(Deals!$V$2:$V$355,MATCH($C666,Deals!$A$2:$A$355,0))),1)</f>
        <v/>
      </c>
      <c r="T666" s="22">
        <f>IFERROR(IF($U666="",1,INDEX(Deals!$W$2:$W$355,MATCH($C666,Deals!$A$2:$A$355,0))),1)</f>
        <v/>
      </c>
      <c r="U666" s="31">
        <f>IF($C666="","",IFERROR(IF(INDEX(Deals!$Y$2:$Y$355,MATCH($C666,Deals!$A$2:$A$355,0))=0,"",INDEX(Deals!$Y$2:$Y$355,MATCH($C666,Deals!$A$2:$A$355,0))),""))</f>
        <v/>
      </c>
      <c r="V666" s="24">
        <f>IF($U666="",DATE(1900,1,1),$N666)</f>
        <v/>
      </c>
      <c r="W666" s="24">
        <f>IF($U666="",DATE(2100,12,31),$U666)</f>
        <v/>
      </c>
      <c r="X666" s="20">
        <f>IF($U666="",$K666,$K666*$S666)</f>
        <v/>
      </c>
      <c r="Y666" s="24">
        <f>IF($U666="",DATE(2100,12,31),$U666+1)</f>
        <v/>
      </c>
      <c r="Z666" s="24">
        <f>IF($U666="",DATE(1900,1,1),$O666)</f>
        <v/>
      </c>
      <c r="AA666" s="20">
        <f>IF($U666="",0,$K666*$T666)</f>
        <v/>
      </c>
    </row>
    <row r="667">
      <c r="A667" s="15" t="inlineStr">
        <is>
          <t>Eric</t>
        </is>
      </c>
      <c r="B667" s="29">
        <f>IF($A667="","",IFERROR(INDEX(Roster!$B$2:$B$40,MATCH($A667,Roster!$A$2:$A$40,0)),"?"))</f>
        <v/>
      </c>
      <c r="C667" s="15" t="inlineStr">
        <is>
          <t>PearlX_1</t>
        </is>
      </c>
      <c r="D667" s="29">
        <f>IF($C667="","",IFERROR(IF(INDEX(Deals!$C$2:$C$355,MATCH($C667,Deals!$A$2:$A$355,0))=0,"",INDEX(Deals!$C$2:$C$355,MATCH($C667,Deals!$A$2:$A$355,0))),"?"))</f>
        <v/>
      </c>
      <c r="E667" s="29">
        <f>IF($C667="","",IFERROR(INDEX(Deals!$F$2:$F$355,MATCH($C667,Deals!$A$2:$A$355,0)),"?"))</f>
        <v/>
      </c>
      <c r="F667" s="15" t="inlineStr">
        <is>
          <t>Renewable Specialist</t>
        </is>
      </c>
      <c r="G667" s="15" t="inlineStr">
        <is>
          <t>Active</t>
        </is>
      </c>
      <c r="H667" s="27" t="n"/>
      <c r="I667" s="20">
        <f>IF(OR($A667="",$G667&lt;&gt;"Active"),0,IF($H667&lt;&gt;"",$H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</f>
        <v/>
      </c>
      <c r="J667" s="23">
        <f>IF($C667="",0,IFERROR(INDEX(Deals!$H$2:$H$355,MATCH($C667,Deals!$A$2:$A$355,0)),0))</f>
        <v/>
      </c>
      <c r="K667" s="20">
        <f>IF(Settings!$B$4="Yes",$I667*$J667,$I667)</f>
        <v/>
      </c>
      <c r="L667" s="31">
        <f>IF($C667="","",IFERROR(IF(INDEX(Deals!$I$2:$I$355,MATCH($C667,Deals!$A$2:$A$355,0))=0,"",INDEX(Deals!$I$2:$I$355,MATCH($C667,Deals!$A$2:$A$355,0))),""))</f>
        <v/>
      </c>
      <c r="M667" s="31">
        <f>IF($C667="","",IFERROR(IF(INDEX(Deals!$J$2:$J$355,MATCH($C667,Deals!$A$2:$A$355,0))=0,"",INDEX(Deals!$J$2:$J$355,MATCH($C667,Deals!$A$2:$A$355,0))),""))</f>
        <v/>
      </c>
      <c r="N667" s="24">
        <f>IF($L667="",DATE(1900,1,1),$L667)</f>
        <v/>
      </c>
      <c r="O667" s="24">
        <f>IF($M667="",DATE(2100,12,31),$M667)</f>
        <v/>
      </c>
      <c r="P667" s="16" t="inlineStr"/>
      <c r="Q667" s="16" t="inlineStr"/>
      <c r="R667" s="29">
        <f>IF($C667="","",IFERROR(IF(INDEX(Deals!$U$2:$U$355,MATCH($C667,Deals!$A$2:$A$355,0))=0,"",INDEX(Deals!$U$2:$U$355,MATCH($C667,Deals!$A$2:$A$355,0))),""))</f>
        <v/>
      </c>
      <c r="S667" s="22">
        <f>IFERROR(IF($U667="",1,INDEX(Deals!$V$2:$V$355,MATCH($C667,Deals!$A$2:$A$355,0))),1)</f>
        <v/>
      </c>
      <c r="T667" s="22">
        <f>IFERROR(IF($U667="",1,INDEX(Deals!$W$2:$W$355,MATCH($C667,Deals!$A$2:$A$355,0))),1)</f>
        <v/>
      </c>
      <c r="U667" s="31">
        <f>IF($C667="","",IFERROR(IF(INDEX(Deals!$Y$2:$Y$355,MATCH($C667,Deals!$A$2:$A$355,0))=0,"",INDEX(Deals!$Y$2:$Y$355,MATCH($C667,Deals!$A$2:$A$355,0))),""))</f>
        <v/>
      </c>
      <c r="V667" s="24">
        <f>IF($U667="",DATE(1900,1,1),$N667)</f>
        <v/>
      </c>
      <c r="W667" s="24">
        <f>IF($U667="",DATE(2100,12,31),$U667)</f>
        <v/>
      </c>
      <c r="X667" s="20">
        <f>IF($U667="",$K667,$K667*$S667)</f>
        <v/>
      </c>
      <c r="Y667" s="24">
        <f>IF($U667="",DATE(2100,12,31),$U667+1)</f>
        <v/>
      </c>
      <c r="Z667" s="24">
        <f>IF($U667="",DATE(1900,1,1),$O667)</f>
        <v/>
      </c>
      <c r="AA667" s="20">
        <f>IF($U667="",0,$K667*$T667)</f>
        <v/>
      </c>
    </row>
    <row r="668">
      <c r="A668" s="15" t="inlineStr">
        <is>
          <t>Eric</t>
        </is>
      </c>
      <c r="B668" s="29">
        <f>IF($A668="","",IFERROR(INDEX(Roster!$B$2:$B$40,MATCH($A668,Roster!$A$2:$A$40,0)),"?"))</f>
        <v/>
      </c>
      <c r="C668" s="15" t="inlineStr">
        <is>
          <t>RBC Leaf_2</t>
        </is>
      </c>
      <c r="D668" s="29">
        <f>IF($C668="","",IFERROR(IF(INDEX(Deals!$C$2:$C$355,MATCH($C668,Deals!$A$2:$A$355,0))=0,"",INDEX(Deals!$C$2:$C$355,MATCH($C668,Deals!$A$2:$A$355,0))),"?"))</f>
        <v/>
      </c>
      <c r="E668" s="29">
        <f>IF($C668="","",IFERROR(INDEX(Deals!$F$2:$F$355,MATCH($C668,Deals!$A$2:$A$355,0)),"?"))</f>
        <v/>
      </c>
      <c r="F668" s="15" t="inlineStr">
        <is>
          <t>Renewable Specialist</t>
        </is>
      </c>
      <c r="G668" s="15" t="inlineStr">
        <is>
          <t>Active</t>
        </is>
      </c>
      <c r="H668" s="27" t="n"/>
      <c r="I668" s="20">
        <f>IF(OR($A668="",$G668&lt;&gt;"Active"),0,IF($H668&lt;&gt;"",$H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</f>
        <v/>
      </c>
      <c r="J668" s="23">
        <f>IF($C668="",0,IFERROR(INDEX(Deals!$H$2:$H$355,MATCH($C668,Deals!$A$2:$A$355,0)),0))</f>
        <v/>
      </c>
      <c r="K668" s="20">
        <f>IF(Settings!$B$4="Yes",$I668*$J668,$I668)</f>
        <v/>
      </c>
      <c r="L668" s="31">
        <f>IF($C668="","",IFERROR(IF(INDEX(Deals!$I$2:$I$355,MATCH($C668,Deals!$A$2:$A$355,0))=0,"",INDEX(Deals!$I$2:$I$355,MATCH($C668,Deals!$A$2:$A$355,0))),""))</f>
        <v/>
      </c>
      <c r="M668" s="31">
        <f>IF($C668="","",IFERROR(IF(INDEX(Deals!$J$2:$J$355,MATCH($C668,Deals!$A$2:$A$355,0))=0,"",INDEX(Deals!$J$2:$J$355,MATCH($C668,Deals!$A$2:$A$355,0))),""))</f>
        <v/>
      </c>
      <c r="N668" s="24">
        <f>IF($L668="",DATE(1900,1,1),$L668)</f>
        <v/>
      </c>
      <c r="O668" s="24">
        <f>IF($M668="",DATE(2100,12,31),$M668)</f>
        <v/>
      </c>
      <c r="P668" s="16" t="inlineStr"/>
      <c r="Q668" s="16" t="inlineStr"/>
      <c r="R668" s="29">
        <f>IF($C668="","",IFERROR(IF(INDEX(Deals!$U$2:$U$355,MATCH($C668,Deals!$A$2:$A$355,0))=0,"",INDEX(Deals!$U$2:$U$355,MATCH($C668,Deals!$A$2:$A$355,0))),""))</f>
        <v/>
      </c>
      <c r="S668" s="22">
        <f>IFERROR(IF($U668="",1,INDEX(Deals!$V$2:$V$355,MATCH($C668,Deals!$A$2:$A$355,0))),1)</f>
        <v/>
      </c>
      <c r="T668" s="22">
        <f>IFERROR(IF($U668="",1,INDEX(Deals!$W$2:$W$355,MATCH($C668,Deals!$A$2:$A$355,0))),1)</f>
        <v/>
      </c>
      <c r="U668" s="31">
        <f>IF($C668="","",IFERROR(IF(INDEX(Deals!$Y$2:$Y$355,MATCH($C668,Deals!$A$2:$A$355,0))=0,"",INDEX(Deals!$Y$2:$Y$355,MATCH($C668,Deals!$A$2:$A$355,0))),""))</f>
        <v/>
      </c>
      <c r="V668" s="24">
        <f>IF($U668="",DATE(1900,1,1),$N668)</f>
        <v/>
      </c>
      <c r="W668" s="24">
        <f>IF($U668="",DATE(2100,12,31),$U668)</f>
        <v/>
      </c>
      <c r="X668" s="20">
        <f>IF($U668="",$K668,$K668*$S668)</f>
        <v/>
      </c>
      <c r="Y668" s="24">
        <f>IF($U668="",DATE(2100,12,31),$U668+1)</f>
        <v/>
      </c>
      <c r="Z668" s="24">
        <f>IF($U668="",DATE(1900,1,1),$O668)</f>
        <v/>
      </c>
      <c r="AA668" s="20">
        <f>IF($U668="",0,$K668*$T668)</f>
        <v/>
      </c>
    </row>
    <row r="669">
      <c r="A669" s="15" t="inlineStr">
        <is>
          <t>Eric</t>
        </is>
      </c>
      <c r="B669" s="29">
        <f>IF($A669="","",IFERROR(INDEX(Roster!$B$2:$B$40,MATCH($A669,Roster!$A$2:$A$40,0)),"?"))</f>
        <v/>
      </c>
      <c r="C669" s="15" t="inlineStr">
        <is>
          <t>RBC Petal_1</t>
        </is>
      </c>
      <c r="D669" s="29">
        <f>IF($C669="","",IFERROR(IF(INDEX(Deals!$C$2:$C$355,MATCH($C669,Deals!$A$2:$A$355,0))=0,"",INDEX(Deals!$C$2:$C$355,MATCH($C669,Deals!$A$2:$A$355,0))),"?"))</f>
        <v/>
      </c>
      <c r="E669" s="29">
        <f>IF($C669="","",IFERROR(INDEX(Deals!$F$2:$F$355,MATCH($C669,Deals!$A$2:$A$355,0)),"?"))</f>
        <v/>
      </c>
      <c r="F669" s="15" t="inlineStr">
        <is>
          <t>Renewable Specialist</t>
        </is>
      </c>
      <c r="G669" s="15" t="inlineStr">
        <is>
          <t>Active</t>
        </is>
      </c>
      <c r="H669" s="27" t="n"/>
      <c r="I669" s="20">
        <f>IF(OR($A669="",$G669&lt;&gt;"Active"),0,IF($H669&lt;&gt;"",$H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</f>
        <v/>
      </c>
      <c r="J669" s="23">
        <f>IF($C669="",0,IFERROR(INDEX(Deals!$H$2:$H$355,MATCH($C669,Deals!$A$2:$A$355,0)),0))</f>
        <v/>
      </c>
      <c r="K669" s="20">
        <f>IF(Settings!$B$4="Yes",$I669*$J669,$I669)</f>
        <v/>
      </c>
      <c r="L669" s="31">
        <f>IF($C669="","",IFERROR(IF(INDEX(Deals!$I$2:$I$355,MATCH($C669,Deals!$A$2:$A$355,0))=0,"",INDEX(Deals!$I$2:$I$355,MATCH($C669,Deals!$A$2:$A$355,0))),""))</f>
        <v/>
      </c>
      <c r="M669" s="31">
        <f>IF($C669="","",IFERROR(IF(INDEX(Deals!$J$2:$J$355,MATCH($C669,Deals!$A$2:$A$355,0))=0,"",INDEX(Deals!$J$2:$J$355,MATCH($C669,Deals!$A$2:$A$355,0))),""))</f>
        <v/>
      </c>
      <c r="N669" s="24">
        <f>IF($L669="",DATE(1900,1,1),$L669)</f>
        <v/>
      </c>
      <c r="O669" s="24">
        <f>IF($M669="",DATE(2100,12,31),$M669)</f>
        <v/>
      </c>
      <c r="P669" s="16" t="inlineStr"/>
      <c r="Q669" s="16" t="inlineStr"/>
      <c r="R669" s="29">
        <f>IF($C669="","",IFERROR(IF(INDEX(Deals!$U$2:$U$355,MATCH($C669,Deals!$A$2:$A$355,0))=0,"",INDEX(Deals!$U$2:$U$355,MATCH($C669,Deals!$A$2:$A$355,0))),""))</f>
        <v/>
      </c>
      <c r="S669" s="22">
        <f>IFERROR(IF($U669="",1,INDEX(Deals!$V$2:$V$355,MATCH($C669,Deals!$A$2:$A$355,0))),1)</f>
        <v/>
      </c>
      <c r="T669" s="22">
        <f>IFERROR(IF($U669="",1,INDEX(Deals!$W$2:$W$355,MATCH($C669,Deals!$A$2:$A$355,0))),1)</f>
        <v/>
      </c>
      <c r="U669" s="31">
        <f>IF($C669="","",IFERROR(IF(INDEX(Deals!$Y$2:$Y$355,MATCH($C669,Deals!$A$2:$A$355,0))=0,"",INDEX(Deals!$Y$2:$Y$355,MATCH($C669,Deals!$A$2:$A$355,0))),""))</f>
        <v/>
      </c>
      <c r="V669" s="24">
        <f>IF($U669="",DATE(1900,1,1),$N669)</f>
        <v/>
      </c>
      <c r="W669" s="24">
        <f>IF($U669="",DATE(2100,12,31),$U669)</f>
        <v/>
      </c>
      <c r="X669" s="20">
        <f>IF($U669="",$K669,$K669*$S669)</f>
        <v/>
      </c>
      <c r="Y669" s="24">
        <f>IF($U669="",DATE(2100,12,31),$U669+1)</f>
        <v/>
      </c>
      <c r="Z669" s="24">
        <f>IF($U669="",DATE(1900,1,1),$O669)</f>
        <v/>
      </c>
      <c r="AA669" s="20">
        <f>IF($U669="",0,$K669*$T669)</f>
        <v/>
      </c>
    </row>
    <row r="670">
      <c r="A670" s="15" t="inlineStr">
        <is>
          <t>Eric</t>
        </is>
      </c>
      <c r="B670" s="29">
        <f>IF($A670="","",IFERROR(INDEX(Roster!$B$2:$B$40,MATCH($A670,Roster!$A$2:$A$40,0)),"?"))</f>
        <v/>
      </c>
      <c r="C670" s="15" t="inlineStr">
        <is>
          <t>Redball_6</t>
        </is>
      </c>
      <c r="D670" s="29">
        <f>IF($C670="","",IFERROR(IF(INDEX(Deals!$C$2:$C$355,MATCH($C670,Deals!$A$2:$A$355,0))=0,"",INDEX(Deals!$C$2:$C$355,MATCH($C670,Deals!$A$2:$A$355,0))),"?"))</f>
        <v/>
      </c>
      <c r="E670" s="29">
        <f>IF($C670="","",IFERROR(INDEX(Deals!$F$2:$F$355,MATCH($C670,Deals!$A$2:$A$355,0)),"?"))</f>
        <v/>
      </c>
      <c r="F670" s="15" t="inlineStr">
        <is>
          <t>Renewable Specialist</t>
        </is>
      </c>
      <c r="G670" s="15" t="inlineStr">
        <is>
          <t>Active</t>
        </is>
      </c>
      <c r="H670" s="27" t="n"/>
      <c r="I670" s="20">
        <f>IF(OR($A670="",$G670&lt;&gt;"Active"),0,IF($H670&lt;&gt;"",$H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</f>
        <v/>
      </c>
      <c r="J670" s="23">
        <f>IF($C670="",0,IFERROR(INDEX(Deals!$H$2:$H$355,MATCH($C670,Deals!$A$2:$A$355,0)),0))</f>
        <v/>
      </c>
      <c r="K670" s="20">
        <f>IF(Settings!$B$4="Yes",$I670*$J670,$I670)</f>
        <v/>
      </c>
      <c r="L670" s="31">
        <f>IF($C670="","",IFERROR(IF(INDEX(Deals!$I$2:$I$355,MATCH($C670,Deals!$A$2:$A$355,0))=0,"",INDEX(Deals!$I$2:$I$355,MATCH($C670,Deals!$A$2:$A$355,0))),""))</f>
        <v/>
      </c>
      <c r="M670" s="31">
        <f>IF($C670="","",IFERROR(IF(INDEX(Deals!$J$2:$J$355,MATCH($C670,Deals!$A$2:$A$355,0))=0,"",INDEX(Deals!$J$2:$J$355,MATCH($C670,Deals!$A$2:$A$355,0))),""))</f>
        <v/>
      </c>
      <c r="N670" s="24">
        <f>IF($L670="",DATE(1900,1,1),$L670)</f>
        <v/>
      </c>
      <c r="O670" s="24">
        <f>IF($M670="",DATE(2100,12,31),$M670)</f>
        <v/>
      </c>
      <c r="P670" s="16" t="inlineStr"/>
      <c r="Q670" s="16" t="inlineStr"/>
      <c r="R670" s="29">
        <f>IF($C670="","",IFERROR(IF(INDEX(Deals!$U$2:$U$355,MATCH($C670,Deals!$A$2:$A$355,0))=0,"",INDEX(Deals!$U$2:$U$355,MATCH($C670,Deals!$A$2:$A$355,0))),""))</f>
        <v/>
      </c>
      <c r="S670" s="22">
        <f>IFERROR(IF($U670="",1,INDEX(Deals!$V$2:$V$355,MATCH($C670,Deals!$A$2:$A$355,0))),1)</f>
        <v/>
      </c>
      <c r="T670" s="22">
        <f>IFERROR(IF($U670="",1,INDEX(Deals!$W$2:$W$355,MATCH($C670,Deals!$A$2:$A$355,0))),1)</f>
        <v/>
      </c>
      <c r="U670" s="31">
        <f>IF($C670="","",IFERROR(IF(INDEX(Deals!$Y$2:$Y$355,MATCH($C670,Deals!$A$2:$A$355,0))=0,"",INDEX(Deals!$Y$2:$Y$355,MATCH($C670,Deals!$A$2:$A$355,0))),""))</f>
        <v/>
      </c>
      <c r="V670" s="24">
        <f>IF($U670="",DATE(1900,1,1),$N670)</f>
        <v/>
      </c>
      <c r="W670" s="24">
        <f>IF($U670="",DATE(2100,12,31),$U670)</f>
        <v/>
      </c>
      <c r="X670" s="20">
        <f>IF($U670="",$K670,$K670*$S670)</f>
        <v/>
      </c>
      <c r="Y670" s="24">
        <f>IF($U670="",DATE(2100,12,31),$U670+1)</f>
        <v/>
      </c>
      <c r="Z670" s="24">
        <f>IF($U670="",DATE(1900,1,1),$O670)</f>
        <v/>
      </c>
      <c r="AA670" s="20">
        <f>IF($U670="",0,$K670*$T670)</f>
        <v/>
      </c>
    </row>
    <row r="671">
      <c r="A671" s="15" t="inlineStr">
        <is>
          <t>Eric</t>
        </is>
      </c>
      <c r="B671" s="29">
        <f>IF($A671="","",IFERROR(INDEX(Roster!$B$2:$B$40,MATCH($A671,Roster!$A$2:$A$40,0)),"?"))</f>
        <v/>
      </c>
      <c r="C671" s="15" t="inlineStr">
        <is>
          <t>Redwood_2</t>
        </is>
      </c>
      <c r="D671" s="29">
        <f>IF($C671="","",IFERROR(IF(INDEX(Deals!$C$2:$C$355,MATCH($C671,Deals!$A$2:$A$355,0))=0,"",INDEX(Deals!$C$2:$C$355,MATCH($C671,Deals!$A$2:$A$355,0))),"?"))</f>
        <v/>
      </c>
      <c r="E671" s="29">
        <f>IF($C671="","",IFERROR(INDEX(Deals!$F$2:$F$355,MATCH($C671,Deals!$A$2:$A$355,0)),"?"))</f>
        <v/>
      </c>
      <c r="F671" s="15" t="inlineStr">
        <is>
          <t>Renewable Specialist</t>
        </is>
      </c>
      <c r="G671" s="15" t="inlineStr">
        <is>
          <t>Active</t>
        </is>
      </c>
      <c r="H671" s="27" t="n"/>
      <c r="I671" s="20">
        <f>IF(OR($A671="",$G671&lt;&gt;"Active"),0,IF($H671&lt;&gt;"",$H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</f>
        <v/>
      </c>
      <c r="J671" s="23">
        <f>IF($C671="",0,IFERROR(INDEX(Deals!$H$2:$H$355,MATCH($C671,Deals!$A$2:$A$355,0)),0))</f>
        <v/>
      </c>
      <c r="K671" s="20">
        <f>IF(Settings!$B$4="Yes",$I671*$J671,$I671)</f>
        <v/>
      </c>
      <c r="L671" s="31">
        <f>IF($C671="","",IFERROR(IF(INDEX(Deals!$I$2:$I$355,MATCH($C671,Deals!$A$2:$A$355,0))=0,"",INDEX(Deals!$I$2:$I$355,MATCH($C671,Deals!$A$2:$A$355,0))),""))</f>
        <v/>
      </c>
      <c r="M671" s="31">
        <f>IF($C671="","",IFERROR(IF(INDEX(Deals!$J$2:$J$355,MATCH($C671,Deals!$A$2:$A$355,0))=0,"",INDEX(Deals!$J$2:$J$355,MATCH($C671,Deals!$A$2:$A$355,0))),""))</f>
        <v/>
      </c>
      <c r="N671" s="24">
        <f>IF($L671="",DATE(1900,1,1),$L671)</f>
        <v/>
      </c>
      <c r="O671" s="24">
        <f>IF($M671="",DATE(2100,12,31),$M671)</f>
        <v/>
      </c>
      <c r="P671" s="16" t="inlineStr"/>
      <c r="Q671" s="16" t="inlineStr"/>
      <c r="R671" s="29">
        <f>IF($C671="","",IFERROR(IF(INDEX(Deals!$U$2:$U$355,MATCH($C671,Deals!$A$2:$A$355,0))=0,"",INDEX(Deals!$U$2:$U$355,MATCH($C671,Deals!$A$2:$A$355,0))),""))</f>
        <v/>
      </c>
      <c r="S671" s="22">
        <f>IFERROR(IF($U671="",1,INDEX(Deals!$V$2:$V$355,MATCH($C671,Deals!$A$2:$A$355,0))),1)</f>
        <v/>
      </c>
      <c r="T671" s="22">
        <f>IFERROR(IF($U671="",1,INDEX(Deals!$W$2:$W$355,MATCH($C671,Deals!$A$2:$A$355,0))),1)</f>
        <v/>
      </c>
      <c r="U671" s="31">
        <f>IF($C671="","",IFERROR(IF(INDEX(Deals!$Y$2:$Y$355,MATCH($C671,Deals!$A$2:$A$355,0))=0,"",INDEX(Deals!$Y$2:$Y$355,MATCH($C671,Deals!$A$2:$A$355,0))),""))</f>
        <v/>
      </c>
      <c r="V671" s="24">
        <f>IF($U671="",DATE(1900,1,1),$N671)</f>
        <v/>
      </c>
      <c r="W671" s="24">
        <f>IF($U671="",DATE(2100,12,31),$U671)</f>
        <v/>
      </c>
      <c r="X671" s="20">
        <f>IF($U671="",$K671,$K671*$S671)</f>
        <v/>
      </c>
      <c r="Y671" s="24">
        <f>IF($U671="",DATE(2100,12,31),$U671+1)</f>
        <v/>
      </c>
      <c r="Z671" s="24">
        <f>IF($U671="",DATE(1900,1,1),$O671)</f>
        <v/>
      </c>
      <c r="AA671" s="20">
        <f>IF($U671="",0,$K671*$T671)</f>
        <v/>
      </c>
    </row>
    <row r="672">
      <c r="A672" s="15" t="inlineStr">
        <is>
          <t>Eric</t>
        </is>
      </c>
      <c r="B672" s="29">
        <f>IF($A672="","",IFERROR(INDEX(Roster!$B$2:$B$40,MATCH($A672,Roster!$A$2:$A$40,0)),"?"))</f>
        <v/>
      </c>
      <c r="C672" s="15" t="inlineStr">
        <is>
          <t>TEP Tax_1</t>
        </is>
      </c>
      <c r="D672" s="29">
        <f>IF($C672="","",IFERROR(IF(INDEX(Deals!$C$2:$C$355,MATCH($C672,Deals!$A$2:$A$355,0))=0,"",INDEX(Deals!$C$2:$C$355,MATCH($C672,Deals!$A$2:$A$355,0))),"?"))</f>
        <v/>
      </c>
      <c r="E672" s="29">
        <f>IF($C672="","",IFERROR(INDEX(Deals!$F$2:$F$355,MATCH($C672,Deals!$A$2:$A$355,0)),"?"))</f>
        <v/>
      </c>
      <c r="F672" s="15" t="inlineStr">
        <is>
          <t>Renewable Specialist</t>
        </is>
      </c>
      <c r="G672" s="15" t="inlineStr">
        <is>
          <t>Active</t>
        </is>
      </c>
      <c r="H672" s="27" t="n"/>
      <c r="I672" s="20">
        <f>IF(OR($A672="",$G672&lt;&gt;"Active"),0,IF($H672&lt;&gt;"",$H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</f>
        <v/>
      </c>
      <c r="J672" s="23">
        <f>IF($C672="",0,IFERROR(INDEX(Deals!$H$2:$H$355,MATCH($C672,Deals!$A$2:$A$355,0)),0))</f>
        <v/>
      </c>
      <c r="K672" s="20">
        <f>IF(Settings!$B$4="Yes",$I672*$J672,$I672)</f>
        <v/>
      </c>
      <c r="L672" s="31">
        <f>IF($C672="","",IFERROR(IF(INDEX(Deals!$I$2:$I$355,MATCH($C672,Deals!$A$2:$A$355,0))=0,"",INDEX(Deals!$I$2:$I$355,MATCH($C672,Deals!$A$2:$A$355,0))),""))</f>
        <v/>
      </c>
      <c r="M672" s="31">
        <f>IF($C672="","",IFERROR(IF(INDEX(Deals!$J$2:$J$355,MATCH($C672,Deals!$A$2:$A$355,0))=0,"",INDEX(Deals!$J$2:$J$355,MATCH($C672,Deals!$A$2:$A$355,0))),""))</f>
        <v/>
      </c>
      <c r="N672" s="24">
        <f>IF($L672="",DATE(1900,1,1),$L672)</f>
        <v/>
      </c>
      <c r="O672" s="24">
        <f>IF($M672="",DATE(2100,12,31),$M672)</f>
        <v/>
      </c>
      <c r="P672" s="16" t="inlineStr"/>
      <c r="Q672" s="16" t="inlineStr"/>
      <c r="R672" s="29">
        <f>IF($C672="","",IFERROR(IF(INDEX(Deals!$U$2:$U$355,MATCH($C672,Deals!$A$2:$A$355,0))=0,"",INDEX(Deals!$U$2:$U$355,MATCH($C672,Deals!$A$2:$A$355,0))),""))</f>
        <v/>
      </c>
      <c r="S672" s="22">
        <f>IFERROR(IF($U672="",1,INDEX(Deals!$V$2:$V$355,MATCH($C672,Deals!$A$2:$A$355,0))),1)</f>
        <v/>
      </c>
      <c r="T672" s="22">
        <f>IFERROR(IF($U672="",1,INDEX(Deals!$W$2:$W$355,MATCH($C672,Deals!$A$2:$A$355,0))),1)</f>
        <v/>
      </c>
      <c r="U672" s="31">
        <f>IF($C672="","",IFERROR(IF(INDEX(Deals!$Y$2:$Y$355,MATCH($C672,Deals!$A$2:$A$355,0))=0,"",INDEX(Deals!$Y$2:$Y$355,MATCH($C672,Deals!$A$2:$A$355,0))),""))</f>
        <v/>
      </c>
      <c r="V672" s="24">
        <f>IF($U672="",DATE(1900,1,1),$N672)</f>
        <v/>
      </c>
      <c r="W672" s="24">
        <f>IF($U672="",DATE(2100,12,31),$U672)</f>
        <v/>
      </c>
      <c r="X672" s="20">
        <f>IF($U672="",$K672,$K672*$S672)</f>
        <v/>
      </c>
      <c r="Y672" s="24">
        <f>IF($U672="",DATE(2100,12,31),$U672+1)</f>
        <v/>
      </c>
      <c r="Z672" s="24">
        <f>IF($U672="",DATE(1900,1,1),$O672)</f>
        <v/>
      </c>
      <c r="AA672" s="20">
        <f>IF($U672="",0,$K672*$T672)</f>
        <v/>
      </c>
    </row>
    <row r="673">
      <c r="A673" s="15" t="inlineStr">
        <is>
          <t>Eric</t>
        </is>
      </c>
      <c r="B673" s="29">
        <f>IF($A673="","",IFERROR(INDEX(Roster!$B$2:$B$40,MATCH($A673,Roster!$A$2:$A$40,0)),"?"))</f>
        <v/>
      </c>
      <c r="C673" s="15" t="inlineStr">
        <is>
          <t>Twister_1</t>
        </is>
      </c>
      <c r="D673" s="29">
        <f>IF($C673="","",IFERROR(IF(INDEX(Deals!$C$2:$C$355,MATCH($C673,Deals!$A$2:$A$355,0))=0,"",INDEX(Deals!$C$2:$C$355,MATCH($C673,Deals!$A$2:$A$355,0))),"?"))</f>
        <v/>
      </c>
      <c r="E673" s="29">
        <f>IF($C673="","",IFERROR(INDEX(Deals!$F$2:$F$355,MATCH($C673,Deals!$A$2:$A$355,0)),"?"))</f>
        <v/>
      </c>
      <c r="F673" s="15" t="inlineStr">
        <is>
          <t>Renewable Specialist</t>
        </is>
      </c>
      <c r="G673" s="15" t="inlineStr">
        <is>
          <t>Active</t>
        </is>
      </c>
      <c r="H673" s="27" t="n"/>
      <c r="I673" s="20">
        <f>IF(OR($A673="",$G673&lt;&gt;"Active"),0,IF($H673&lt;&gt;"",$H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</f>
        <v/>
      </c>
      <c r="J673" s="23">
        <f>IF($C673="",0,IFERROR(INDEX(Deals!$H$2:$H$355,MATCH($C673,Deals!$A$2:$A$355,0)),0))</f>
        <v/>
      </c>
      <c r="K673" s="20">
        <f>IF(Settings!$B$4="Yes",$I673*$J673,$I673)</f>
        <v/>
      </c>
      <c r="L673" s="31">
        <f>IF($C673="","",IFERROR(IF(INDEX(Deals!$I$2:$I$355,MATCH($C673,Deals!$A$2:$A$355,0))=0,"",INDEX(Deals!$I$2:$I$355,MATCH($C673,Deals!$A$2:$A$355,0))),""))</f>
        <v/>
      </c>
      <c r="M673" s="31">
        <f>IF($C673="","",IFERROR(IF(INDEX(Deals!$J$2:$J$355,MATCH($C673,Deals!$A$2:$A$355,0))=0,"",INDEX(Deals!$J$2:$J$355,MATCH($C673,Deals!$A$2:$A$355,0))),""))</f>
        <v/>
      </c>
      <c r="N673" s="24">
        <f>IF($L673="",DATE(1900,1,1),$L673)</f>
        <v/>
      </c>
      <c r="O673" s="24">
        <f>IF($M673="",DATE(2100,12,31),$M673)</f>
        <v/>
      </c>
      <c r="P673" s="16" t="inlineStr"/>
      <c r="Q673" s="16" t="inlineStr"/>
      <c r="R673" s="29">
        <f>IF($C673="","",IFERROR(IF(INDEX(Deals!$U$2:$U$355,MATCH($C673,Deals!$A$2:$A$355,0))=0,"",INDEX(Deals!$U$2:$U$355,MATCH($C673,Deals!$A$2:$A$355,0))),""))</f>
        <v/>
      </c>
      <c r="S673" s="22">
        <f>IFERROR(IF($U673="",1,INDEX(Deals!$V$2:$V$355,MATCH($C673,Deals!$A$2:$A$355,0))),1)</f>
        <v/>
      </c>
      <c r="T673" s="22">
        <f>IFERROR(IF($U673="",1,INDEX(Deals!$W$2:$W$355,MATCH($C673,Deals!$A$2:$A$355,0))),1)</f>
        <v/>
      </c>
      <c r="U673" s="31">
        <f>IF($C673="","",IFERROR(IF(INDEX(Deals!$Y$2:$Y$355,MATCH($C673,Deals!$A$2:$A$355,0))=0,"",INDEX(Deals!$Y$2:$Y$355,MATCH($C673,Deals!$A$2:$A$355,0))),""))</f>
        <v/>
      </c>
      <c r="V673" s="24">
        <f>IF($U673="",DATE(1900,1,1),$N673)</f>
        <v/>
      </c>
      <c r="W673" s="24">
        <f>IF($U673="",DATE(2100,12,31),$U673)</f>
        <v/>
      </c>
      <c r="X673" s="20">
        <f>IF($U673="",$K673,$K673*$S673)</f>
        <v/>
      </c>
      <c r="Y673" s="24">
        <f>IF($U673="",DATE(2100,12,31),$U673+1)</f>
        <v/>
      </c>
      <c r="Z673" s="24">
        <f>IF($U673="",DATE(1900,1,1),$O673)</f>
        <v/>
      </c>
      <c r="AA673" s="20">
        <f>IF($U673="",0,$K673*$T673)</f>
        <v/>
      </c>
    </row>
    <row r="674">
      <c r="A674" s="15" t="inlineStr">
        <is>
          <t>Robbie</t>
        </is>
      </c>
      <c r="B674" s="29">
        <f>IF($A674="","",IFERROR(INDEX(Roster!$B$2:$B$40,MATCH($A674,Roster!$A$2:$A$40,0)),"?"))</f>
        <v/>
      </c>
      <c r="C674" s="15" t="inlineStr">
        <is>
          <t>80/20 Assistance_1</t>
        </is>
      </c>
      <c r="D674" s="29">
        <f>IF($C674="","",IFERROR(IF(INDEX(Deals!$C$2:$C$355,MATCH($C674,Deals!$A$2:$A$355,0))=0,"",INDEX(Deals!$C$2:$C$355,MATCH($C674,Deals!$A$2:$A$355,0))),"?"))</f>
        <v/>
      </c>
      <c r="E674" s="29">
        <f>IF($C674="","",IFERROR(INDEX(Deals!$F$2:$F$355,MATCH($C674,Deals!$A$2:$A$355,0)),"?"))</f>
        <v/>
      </c>
      <c r="F674" s="15" t="inlineStr">
        <is>
          <t>Renewable Specialist</t>
        </is>
      </c>
      <c r="G674" s="15" t="inlineStr">
        <is>
          <t>Active</t>
        </is>
      </c>
      <c r="H674" s="27" t="n"/>
      <c r="I674" s="20">
        <f>IF(OR($A674="",$G674&lt;&gt;"Active"),0,IF($H674&lt;&gt;"",$H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</f>
        <v/>
      </c>
      <c r="J674" s="23">
        <f>IF($C674="",0,IFERROR(INDEX(Deals!$H$2:$H$355,MATCH($C674,Deals!$A$2:$A$355,0)),0))</f>
        <v/>
      </c>
      <c r="K674" s="20">
        <f>IF(Settings!$B$4="Yes",$I674*$J674,$I674)</f>
        <v/>
      </c>
      <c r="L674" s="31">
        <f>IF($C674="","",IFERROR(IF(INDEX(Deals!$I$2:$I$355,MATCH($C674,Deals!$A$2:$A$355,0))=0,"",INDEX(Deals!$I$2:$I$355,MATCH($C674,Deals!$A$2:$A$355,0))),""))</f>
        <v/>
      </c>
      <c r="M674" s="31">
        <f>IF($C674="","",IFERROR(IF(INDEX(Deals!$J$2:$J$355,MATCH($C674,Deals!$A$2:$A$355,0))=0,"",INDEX(Deals!$J$2:$J$355,MATCH($C674,Deals!$A$2:$A$355,0))),""))</f>
        <v/>
      </c>
      <c r="N674" s="24">
        <f>IF($L674="",DATE(1900,1,1),$L674)</f>
        <v/>
      </c>
      <c r="O674" s="24">
        <f>IF($M674="",DATE(2100,12,31),$M674)</f>
        <v/>
      </c>
      <c r="P674" s="16" t="inlineStr"/>
      <c r="Q674" s="16" t="inlineStr"/>
      <c r="R674" s="29">
        <f>IF($C674="","",IFERROR(IF(INDEX(Deals!$U$2:$U$355,MATCH($C674,Deals!$A$2:$A$355,0))=0,"",INDEX(Deals!$U$2:$U$355,MATCH($C674,Deals!$A$2:$A$355,0))),""))</f>
        <v/>
      </c>
      <c r="S674" s="22">
        <f>IFERROR(IF($U674="",1,INDEX(Deals!$V$2:$V$355,MATCH($C674,Deals!$A$2:$A$355,0))),1)</f>
        <v/>
      </c>
      <c r="T674" s="22">
        <f>IFERROR(IF($U674="",1,INDEX(Deals!$W$2:$W$355,MATCH($C674,Deals!$A$2:$A$355,0))),1)</f>
        <v/>
      </c>
      <c r="U674" s="31">
        <f>IF($C674="","",IFERROR(IF(INDEX(Deals!$Y$2:$Y$355,MATCH($C674,Deals!$A$2:$A$355,0))=0,"",INDEX(Deals!$Y$2:$Y$355,MATCH($C674,Deals!$A$2:$A$355,0))),""))</f>
        <v/>
      </c>
      <c r="V674" s="24">
        <f>IF($U674="",DATE(1900,1,1),$N674)</f>
        <v/>
      </c>
      <c r="W674" s="24">
        <f>IF($U674="",DATE(2100,12,31),$U674)</f>
        <v/>
      </c>
      <c r="X674" s="20">
        <f>IF($U674="",$K674,$K674*$S674)</f>
        <v/>
      </c>
      <c r="Y674" s="24">
        <f>IF($U674="",DATE(2100,12,31),$U674+1)</f>
        <v/>
      </c>
      <c r="Z674" s="24">
        <f>IF($U674="",DATE(1900,1,1),$O674)</f>
        <v/>
      </c>
      <c r="AA674" s="20">
        <f>IF($U674="",0,$K674*$T674)</f>
        <v/>
      </c>
    </row>
    <row r="675">
      <c r="A675" s="15" t="inlineStr">
        <is>
          <t>Robbie</t>
        </is>
      </c>
      <c r="B675" s="29">
        <f>IF($A675="","",IFERROR(INDEX(Roster!$B$2:$B$40,MATCH($A675,Roster!$A$2:$A$40,0)),"?"))</f>
        <v/>
      </c>
      <c r="C675" s="15" t="inlineStr">
        <is>
          <t>Bishopville_1</t>
        </is>
      </c>
      <c r="D675" s="29">
        <f>IF($C675="","",IFERROR(IF(INDEX(Deals!$C$2:$C$355,MATCH($C675,Deals!$A$2:$A$355,0))=0,"",INDEX(Deals!$C$2:$C$355,MATCH($C675,Deals!$A$2:$A$355,0))),"?"))</f>
        <v/>
      </c>
      <c r="E675" s="29">
        <f>IF($C675="","",IFERROR(INDEX(Deals!$F$2:$F$355,MATCH($C675,Deals!$A$2:$A$355,0)),"?"))</f>
        <v/>
      </c>
      <c r="F675" s="15" t="inlineStr">
        <is>
          <t>Renewable Specialist</t>
        </is>
      </c>
      <c r="G675" s="15" t="inlineStr">
        <is>
          <t>Active</t>
        </is>
      </c>
      <c r="H675" s="27" t="n"/>
      <c r="I675" s="20">
        <f>IF(OR($A675="",$G675&lt;&gt;"Active"),0,IF($H675&lt;&gt;"",$H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</f>
        <v/>
      </c>
      <c r="J675" s="23">
        <f>IF($C675="",0,IFERROR(INDEX(Deals!$H$2:$H$355,MATCH($C675,Deals!$A$2:$A$355,0)),0))</f>
        <v/>
      </c>
      <c r="K675" s="20">
        <f>IF(Settings!$B$4="Yes",$I675*$J675,$I675)</f>
        <v/>
      </c>
      <c r="L675" s="31">
        <f>IF($C675="","",IFERROR(IF(INDEX(Deals!$I$2:$I$355,MATCH($C675,Deals!$A$2:$A$355,0))=0,"",INDEX(Deals!$I$2:$I$355,MATCH($C675,Deals!$A$2:$A$355,0))),""))</f>
        <v/>
      </c>
      <c r="M675" s="31">
        <f>IF($C675="","",IFERROR(IF(INDEX(Deals!$J$2:$J$355,MATCH($C675,Deals!$A$2:$A$355,0))=0,"",INDEX(Deals!$J$2:$J$355,MATCH($C675,Deals!$A$2:$A$355,0))),""))</f>
        <v/>
      </c>
      <c r="N675" s="24">
        <f>IF($L675="",DATE(1900,1,1),$L675)</f>
        <v/>
      </c>
      <c r="O675" s="24">
        <f>IF($M675="",DATE(2100,12,31),$M675)</f>
        <v/>
      </c>
      <c r="P675" s="16" t="inlineStr"/>
      <c r="Q675" s="16" t="inlineStr"/>
      <c r="R675" s="29">
        <f>IF($C675="","",IFERROR(IF(INDEX(Deals!$U$2:$U$355,MATCH($C675,Deals!$A$2:$A$355,0))=0,"",INDEX(Deals!$U$2:$U$355,MATCH($C675,Deals!$A$2:$A$355,0))),""))</f>
        <v/>
      </c>
      <c r="S675" s="22">
        <f>IFERROR(IF($U675="",1,INDEX(Deals!$V$2:$V$355,MATCH($C675,Deals!$A$2:$A$355,0))),1)</f>
        <v/>
      </c>
      <c r="T675" s="22">
        <f>IFERROR(IF($U675="",1,INDEX(Deals!$W$2:$W$355,MATCH($C675,Deals!$A$2:$A$355,0))),1)</f>
        <v/>
      </c>
      <c r="U675" s="31">
        <f>IF($C675="","",IFERROR(IF(INDEX(Deals!$Y$2:$Y$355,MATCH($C675,Deals!$A$2:$A$355,0))=0,"",INDEX(Deals!$Y$2:$Y$355,MATCH($C675,Deals!$A$2:$A$355,0))),""))</f>
        <v/>
      </c>
      <c r="V675" s="24">
        <f>IF($U675="",DATE(1900,1,1),$N675)</f>
        <v/>
      </c>
      <c r="W675" s="24">
        <f>IF($U675="",DATE(2100,12,31),$U675)</f>
        <v/>
      </c>
      <c r="X675" s="20">
        <f>IF($U675="",$K675,$K675*$S675)</f>
        <v/>
      </c>
      <c r="Y675" s="24">
        <f>IF($U675="",DATE(2100,12,31),$U675+1)</f>
        <v/>
      </c>
      <c r="Z675" s="24">
        <f>IF($U675="",DATE(1900,1,1),$O675)</f>
        <v/>
      </c>
      <c r="AA675" s="20">
        <f>IF($U675="",0,$K675*$T675)</f>
        <v/>
      </c>
    </row>
    <row r="676">
      <c r="A676" s="15" t="inlineStr">
        <is>
          <t>Robbie</t>
        </is>
      </c>
      <c r="B676" s="29">
        <f>IF($A676="","",IFERROR(INDEX(Roster!$B$2:$B$40,MATCH($A676,Roster!$A$2:$A$40,0)),"?"))</f>
        <v/>
      </c>
      <c r="C676" s="15" t="inlineStr">
        <is>
          <t>Dawn_1</t>
        </is>
      </c>
      <c r="D676" s="29">
        <f>IF($C676="","",IFERROR(IF(INDEX(Deals!$C$2:$C$355,MATCH($C676,Deals!$A$2:$A$355,0))=0,"",INDEX(Deals!$C$2:$C$355,MATCH($C676,Deals!$A$2:$A$355,0))),"?"))</f>
        <v/>
      </c>
      <c r="E676" s="29">
        <f>IF($C676="","",IFERROR(INDEX(Deals!$F$2:$F$355,MATCH($C676,Deals!$A$2:$A$355,0)),"?"))</f>
        <v/>
      </c>
      <c r="F676" s="15" t="inlineStr">
        <is>
          <t>Renewable Specialist</t>
        </is>
      </c>
      <c r="G676" s="15" t="inlineStr">
        <is>
          <t>Active</t>
        </is>
      </c>
      <c r="H676" s="27" t="n"/>
      <c r="I676" s="20">
        <f>IF(OR($A676="",$G676&lt;&gt;"Active"),0,IF($H676&lt;&gt;"",$H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</f>
        <v/>
      </c>
      <c r="J676" s="23">
        <f>IF($C676="",0,IFERROR(INDEX(Deals!$H$2:$H$355,MATCH($C676,Deals!$A$2:$A$355,0)),0))</f>
        <v/>
      </c>
      <c r="K676" s="20">
        <f>IF(Settings!$B$4="Yes",$I676*$J676,$I676)</f>
        <v/>
      </c>
      <c r="L676" s="31">
        <f>IF($C676="","",IFERROR(IF(INDEX(Deals!$I$2:$I$355,MATCH($C676,Deals!$A$2:$A$355,0))=0,"",INDEX(Deals!$I$2:$I$355,MATCH($C676,Deals!$A$2:$A$355,0))),""))</f>
        <v/>
      </c>
      <c r="M676" s="31">
        <f>IF($C676="","",IFERROR(IF(INDEX(Deals!$J$2:$J$355,MATCH($C676,Deals!$A$2:$A$355,0))=0,"",INDEX(Deals!$J$2:$J$355,MATCH($C676,Deals!$A$2:$A$355,0))),""))</f>
        <v/>
      </c>
      <c r="N676" s="24">
        <f>IF($L676="",DATE(1900,1,1),$L676)</f>
        <v/>
      </c>
      <c r="O676" s="24">
        <f>IF($M676="",DATE(2100,12,31),$M676)</f>
        <v/>
      </c>
      <c r="P676" s="16" t="inlineStr"/>
      <c r="Q676" s="16" t="inlineStr"/>
      <c r="R676" s="29">
        <f>IF($C676="","",IFERROR(IF(INDEX(Deals!$U$2:$U$355,MATCH($C676,Deals!$A$2:$A$355,0))=0,"",INDEX(Deals!$U$2:$U$355,MATCH($C676,Deals!$A$2:$A$355,0))),""))</f>
        <v/>
      </c>
      <c r="S676" s="22">
        <f>IFERROR(IF($U676="",1,INDEX(Deals!$V$2:$V$355,MATCH($C676,Deals!$A$2:$A$355,0))),1)</f>
        <v/>
      </c>
      <c r="T676" s="22">
        <f>IFERROR(IF($U676="",1,INDEX(Deals!$W$2:$W$355,MATCH($C676,Deals!$A$2:$A$355,0))),1)</f>
        <v/>
      </c>
      <c r="U676" s="31">
        <f>IF($C676="","",IFERROR(IF(INDEX(Deals!$Y$2:$Y$355,MATCH($C676,Deals!$A$2:$A$355,0))=0,"",INDEX(Deals!$Y$2:$Y$355,MATCH($C676,Deals!$A$2:$A$355,0))),""))</f>
        <v/>
      </c>
      <c r="V676" s="24">
        <f>IF($U676="",DATE(1900,1,1),$N676)</f>
        <v/>
      </c>
      <c r="W676" s="24">
        <f>IF($U676="",DATE(2100,12,31),$U676)</f>
        <v/>
      </c>
      <c r="X676" s="20">
        <f>IF($U676="",$K676,$K676*$S676)</f>
        <v/>
      </c>
      <c r="Y676" s="24">
        <f>IF($U676="",DATE(2100,12,31),$U676+1)</f>
        <v/>
      </c>
      <c r="Z676" s="24">
        <f>IF($U676="",DATE(1900,1,1),$O676)</f>
        <v/>
      </c>
      <c r="AA676" s="20">
        <f>IF($U676="",0,$K676*$T676)</f>
        <v/>
      </c>
    </row>
    <row r="677">
      <c r="A677" s="15" t="inlineStr">
        <is>
          <t>Robbie</t>
        </is>
      </c>
      <c r="B677" s="29">
        <f>IF($A677="","",IFERROR(INDEX(Roster!$B$2:$B$40,MATCH($A677,Roster!$A$2:$A$40,0)),"?"))</f>
        <v/>
      </c>
      <c r="C677" s="15" t="inlineStr">
        <is>
          <t>Denergy_1</t>
        </is>
      </c>
      <c r="D677" s="29">
        <f>IF($C677="","",IFERROR(IF(INDEX(Deals!$C$2:$C$355,MATCH($C677,Deals!$A$2:$A$355,0))=0,"",INDEX(Deals!$C$2:$C$355,MATCH($C677,Deals!$A$2:$A$355,0))),"?"))</f>
        <v/>
      </c>
      <c r="E677" s="29">
        <f>IF($C677="","",IFERROR(INDEX(Deals!$F$2:$F$355,MATCH($C677,Deals!$A$2:$A$355,0)),"?"))</f>
        <v/>
      </c>
      <c r="F677" s="15" t="inlineStr">
        <is>
          <t>Renewable Specialist</t>
        </is>
      </c>
      <c r="G677" s="15" t="inlineStr">
        <is>
          <t>Active</t>
        </is>
      </c>
      <c r="H677" s="27" t="n"/>
      <c r="I677" s="20">
        <f>IF(OR($A677="",$G677&lt;&gt;"Active"),0,IF($H677&lt;&gt;"",$H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</f>
        <v/>
      </c>
      <c r="J677" s="23">
        <f>IF($C677="",0,IFERROR(INDEX(Deals!$H$2:$H$355,MATCH($C677,Deals!$A$2:$A$355,0)),0))</f>
        <v/>
      </c>
      <c r="K677" s="20">
        <f>IF(Settings!$B$4="Yes",$I677*$J677,$I677)</f>
        <v/>
      </c>
      <c r="L677" s="31">
        <f>IF($C677="","",IFERROR(IF(INDEX(Deals!$I$2:$I$355,MATCH($C677,Deals!$A$2:$A$355,0))=0,"",INDEX(Deals!$I$2:$I$355,MATCH($C677,Deals!$A$2:$A$355,0))),""))</f>
        <v/>
      </c>
      <c r="M677" s="31">
        <f>IF($C677="","",IFERROR(IF(INDEX(Deals!$J$2:$J$355,MATCH($C677,Deals!$A$2:$A$355,0))=0,"",INDEX(Deals!$J$2:$J$355,MATCH($C677,Deals!$A$2:$A$355,0))),""))</f>
        <v/>
      </c>
      <c r="N677" s="24">
        <f>IF($L677="",DATE(1900,1,1),$L677)</f>
        <v/>
      </c>
      <c r="O677" s="24">
        <f>IF($M677="",DATE(2100,12,31),$M677)</f>
        <v/>
      </c>
      <c r="P677" s="16" t="inlineStr"/>
      <c r="Q677" s="16" t="inlineStr"/>
      <c r="R677" s="29">
        <f>IF($C677="","",IFERROR(IF(INDEX(Deals!$U$2:$U$355,MATCH($C677,Deals!$A$2:$A$355,0))=0,"",INDEX(Deals!$U$2:$U$355,MATCH($C677,Deals!$A$2:$A$355,0))),""))</f>
        <v/>
      </c>
      <c r="S677" s="22">
        <f>IFERROR(IF($U677="",1,INDEX(Deals!$V$2:$V$355,MATCH($C677,Deals!$A$2:$A$355,0))),1)</f>
        <v/>
      </c>
      <c r="T677" s="22">
        <f>IFERROR(IF($U677="",1,INDEX(Deals!$W$2:$W$355,MATCH($C677,Deals!$A$2:$A$355,0))),1)</f>
        <v/>
      </c>
      <c r="U677" s="31">
        <f>IF($C677="","",IFERROR(IF(INDEX(Deals!$Y$2:$Y$355,MATCH($C677,Deals!$A$2:$A$355,0))=0,"",INDEX(Deals!$Y$2:$Y$355,MATCH($C677,Deals!$A$2:$A$355,0))),""))</f>
        <v/>
      </c>
      <c r="V677" s="24">
        <f>IF($U677="",DATE(1900,1,1),$N677)</f>
        <v/>
      </c>
      <c r="W677" s="24">
        <f>IF($U677="",DATE(2100,12,31),$U677)</f>
        <v/>
      </c>
      <c r="X677" s="20">
        <f>IF($U677="",$K677,$K677*$S677)</f>
        <v/>
      </c>
      <c r="Y677" s="24">
        <f>IF($U677="",DATE(2100,12,31),$U677+1)</f>
        <v/>
      </c>
      <c r="Z677" s="24">
        <f>IF($U677="",DATE(1900,1,1),$O677)</f>
        <v/>
      </c>
      <c r="AA677" s="20">
        <f>IF($U677="",0,$K677*$T677)</f>
        <v/>
      </c>
    </row>
    <row r="678">
      <c r="A678" s="15" t="inlineStr">
        <is>
          <t>Robbie</t>
        </is>
      </c>
      <c r="B678" s="29">
        <f>IF($A678="","",IFERROR(INDEX(Roster!$B$2:$B$40,MATCH($A678,Roster!$A$2:$A$40,0)),"?"))</f>
        <v/>
      </c>
      <c r="C678" s="15" t="inlineStr">
        <is>
          <t>DIF Twister_2</t>
        </is>
      </c>
      <c r="D678" s="29">
        <f>IF($C678="","",IFERROR(IF(INDEX(Deals!$C$2:$C$355,MATCH($C678,Deals!$A$2:$A$355,0))=0,"",INDEX(Deals!$C$2:$C$355,MATCH($C678,Deals!$A$2:$A$355,0))),"?"))</f>
        <v/>
      </c>
      <c r="E678" s="29">
        <f>IF($C678="","",IFERROR(INDEX(Deals!$F$2:$F$355,MATCH($C678,Deals!$A$2:$A$355,0)),"?"))</f>
        <v/>
      </c>
      <c r="F678" s="15" t="inlineStr">
        <is>
          <t>Renewable Specialist</t>
        </is>
      </c>
      <c r="G678" s="15" t="inlineStr">
        <is>
          <t>Active</t>
        </is>
      </c>
      <c r="H678" s="27" t="n"/>
      <c r="I678" s="20">
        <f>IF(OR($A678="",$G678&lt;&gt;"Active"),0,IF($H678&lt;&gt;"",$H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</f>
        <v/>
      </c>
      <c r="J678" s="23">
        <f>IF($C678="",0,IFERROR(INDEX(Deals!$H$2:$H$355,MATCH($C678,Deals!$A$2:$A$355,0)),0))</f>
        <v/>
      </c>
      <c r="K678" s="20">
        <f>IF(Settings!$B$4="Yes",$I678*$J678,$I678)</f>
        <v/>
      </c>
      <c r="L678" s="31">
        <f>IF($C678="","",IFERROR(IF(INDEX(Deals!$I$2:$I$355,MATCH($C678,Deals!$A$2:$A$355,0))=0,"",INDEX(Deals!$I$2:$I$355,MATCH($C678,Deals!$A$2:$A$355,0))),""))</f>
        <v/>
      </c>
      <c r="M678" s="31">
        <f>IF($C678="","",IFERROR(IF(INDEX(Deals!$J$2:$J$355,MATCH($C678,Deals!$A$2:$A$355,0))=0,"",INDEX(Deals!$J$2:$J$355,MATCH($C678,Deals!$A$2:$A$355,0))),""))</f>
        <v/>
      </c>
      <c r="N678" s="24">
        <f>IF($L678="",DATE(1900,1,1),$L678)</f>
        <v/>
      </c>
      <c r="O678" s="24">
        <f>IF($M678="",DATE(2100,12,31),$M678)</f>
        <v/>
      </c>
      <c r="P678" s="16" t="inlineStr"/>
      <c r="Q678" s="16" t="inlineStr"/>
      <c r="R678" s="29">
        <f>IF($C678="","",IFERROR(IF(INDEX(Deals!$U$2:$U$355,MATCH($C678,Deals!$A$2:$A$355,0))=0,"",INDEX(Deals!$U$2:$U$355,MATCH($C678,Deals!$A$2:$A$355,0))),""))</f>
        <v/>
      </c>
      <c r="S678" s="22">
        <f>IFERROR(IF($U678="",1,INDEX(Deals!$V$2:$V$355,MATCH($C678,Deals!$A$2:$A$355,0))),1)</f>
        <v/>
      </c>
      <c r="T678" s="22">
        <f>IFERROR(IF($U678="",1,INDEX(Deals!$W$2:$W$355,MATCH($C678,Deals!$A$2:$A$355,0))),1)</f>
        <v/>
      </c>
      <c r="U678" s="31">
        <f>IF($C678="","",IFERROR(IF(INDEX(Deals!$Y$2:$Y$355,MATCH($C678,Deals!$A$2:$A$355,0))=0,"",INDEX(Deals!$Y$2:$Y$355,MATCH($C678,Deals!$A$2:$A$355,0))),""))</f>
        <v/>
      </c>
      <c r="V678" s="24">
        <f>IF($U678="",DATE(1900,1,1),$N678)</f>
        <v/>
      </c>
      <c r="W678" s="24">
        <f>IF($U678="",DATE(2100,12,31),$U678)</f>
        <v/>
      </c>
      <c r="X678" s="20">
        <f>IF($U678="",$K678,$K678*$S678)</f>
        <v/>
      </c>
      <c r="Y678" s="24">
        <f>IF($U678="",DATE(2100,12,31),$U678+1)</f>
        <v/>
      </c>
      <c r="Z678" s="24">
        <f>IF($U678="",DATE(1900,1,1),$O678)</f>
        <v/>
      </c>
      <c r="AA678" s="20">
        <f>IF($U678="",0,$K678*$T678)</f>
        <v/>
      </c>
    </row>
    <row r="679">
      <c r="A679" s="15" t="inlineStr">
        <is>
          <t>Robbie</t>
        </is>
      </c>
      <c r="B679" s="29">
        <f>IF($A679="","",IFERROR(INDEX(Roster!$B$2:$B$40,MATCH($A679,Roster!$A$2:$A$40,0)),"?"))</f>
        <v/>
      </c>
      <c r="C679" s="15" t="inlineStr">
        <is>
          <t>Elektron_1</t>
        </is>
      </c>
      <c r="D679" s="29">
        <f>IF($C679="","",IFERROR(IF(INDEX(Deals!$C$2:$C$355,MATCH($C679,Deals!$A$2:$A$355,0))=0,"",INDEX(Deals!$C$2:$C$355,MATCH($C679,Deals!$A$2:$A$355,0))),"?"))</f>
        <v/>
      </c>
      <c r="E679" s="29">
        <f>IF($C679="","",IFERROR(INDEX(Deals!$F$2:$F$355,MATCH($C679,Deals!$A$2:$A$355,0)),"?"))</f>
        <v/>
      </c>
      <c r="F679" s="15" t="inlineStr">
        <is>
          <t>Renewable Specialist</t>
        </is>
      </c>
      <c r="G679" s="15" t="inlineStr">
        <is>
          <t>Active</t>
        </is>
      </c>
      <c r="H679" s="27" t="n"/>
      <c r="I679" s="20">
        <f>IF(OR($A679="",$G679&lt;&gt;"Active"),0,IF($H679&lt;&gt;"",$H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</f>
        <v/>
      </c>
      <c r="J679" s="23">
        <f>IF($C679="",0,IFERROR(INDEX(Deals!$H$2:$H$355,MATCH($C679,Deals!$A$2:$A$355,0)),0))</f>
        <v/>
      </c>
      <c r="K679" s="20">
        <f>IF(Settings!$B$4="Yes",$I679*$J679,$I679)</f>
        <v/>
      </c>
      <c r="L679" s="31">
        <f>IF($C679="","",IFERROR(IF(INDEX(Deals!$I$2:$I$355,MATCH($C679,Deals!$A$2:$A$355,0))=0,"",INDEX(Deals!$I$2:$I$355,MATCH($C679,Deals!$A$2:$A$355,0))),""))</f>
        <v/>
      </c>
      <c r="M679" s="31">
        <f>IF($C679="","",IFERROR(IF(INDEX(Deals!$J$2:$J$355,MATCH($C679,Deals!$A$2:$A$355,0))=0,"",INDEX(Deals!$J$2:$J$355,MATCH($C679,Deals!$A$2:$A$355,0))),""))</f>
        <v/>
      </c>
      <c r="N679" s="24">
        <f>IF($L679="",DATE(1900,1,1),$L679)</f>
        <v/>
      </c>
      <c r="O679" s="24">
        <f>IF($M679="",DATE(2100,12,31),$M679)</f>
        <v/>
      </c>
      <c r="P679" s="16" t="inlineStr"/>
      <c r="Q679" s="16" t="inlineStr"/>
      <c r="R679" s="29">
        <f>IF($C679="","",IFERROR(IF(INDEX(Deals!$U$2:$U$355,MATCH($C679,Deals!$A$2:$A$355,0))=0,"",INDEX(Deals!$U$2:$U$355,MATCH($C679,Deals!$A$2:$A$355,0))),""))</f>
        <v/>
      </c>
      <c r="S679" s="22">
        <f>IFERROR(IF($U679="",1,INDEX(Deals!$V$2:$V$355,MATCH($C679,Deals!$A$2:$A$355,0))),1)</f>
        <v/>
      </c>
      <c r="T679" s="22">
        <f>IFERROR(IF($U679="",1,INDEX(Deals!$W$2:$W$355,MATCH($C679,Deals!$A$2:$A$355,0))),1)</f>
        <v/>
      </c>
      <c r="U679" s="31">
        <f>IF($C679="","",IFERROR(IF(INDEX(Deals!$Y$2:$Y$355,MATCH($C679,Deals!$A$2:$A$355,0))=0,"",INDEX(Deals!$Y$2:$Y$355,MATCH($C679,Deals!$A$2:$A$355,0))),""))</f>
        <v/>
      </c>
      <c r="V679" s="24">
        <f>IF($U679="",DATE(1900,1,1),$N679)</f>
        <v/>
      </c>
      <c r="W679" s="24">
        <f>IF($U679="",DATE(2100,12,31),$U679)</f>
        <v/>
      </c>
      <c r="X679" s="20">
        <f>IF($U679="",$K679,$K679*$S679)</f>
        <v/>
      </c>
      <c r="Y679" s="24">
        <f>IF($U679="",DATE(2100,12,31),$U679+1)</f>
        <v/>
      </c>
      <c r="Z679" s="24">
        <f>IF($U679="",DATE(1900,1,1),$O679)</f>
        <v/>
      </c>
      <c r="AA679" s="20">
        <f>IF($U679="",0,$K679*$T679)</f>
        <v/>
      </c>
    </row>
    <row r="680">
      <c r="A680" s="15" t="inlineStr">
        <is>
          <t>Robbie</t>
        </is>
      </c>
      <c r="B680" s="29">
        <f>IF($A680="","",IFERROR(INDEX(Roster!$B$2:$B$40,MATCH($A680,Roster!$A$2:$A$40,0)),"?"))</f>
        <v/>
      </c>
      <c r="C680" s="15" t="inlineStr">
        <is>
          <t>Gateway_3</t>
        </is>
      </c>
      <c r="D680" s="29">
        <f>IF($C680="","",IFERROR(IF(INDEX(Deals!$C$2:$C$355,MATCH($C680,Deals!$A$2:$A$355,0))=0,"",INDEX(Deals!$C$2:$C$355,MATCH($C680,Deals!$A$2:$A$355,0))),"?"))</f>
        <v/>
      </c>
      <c r="E680" s="29">
        <f>IF($C680="","",IFERROR(INDEX(Deals!$F$2:$F$355,MATCH($C680,Deals!$A$2:$A$355,0)),"?"))</f>
        <v/>
      </c>
      <c r="F680" s="15" t="inlineStr">
        <is>
          <t>Renewable Specialist</t>
        </is>
      </c>
      <c r="G680" s="15" t="inlineStr">
        <is>
          <t>Active</t>
        </is>
      </c>
      <c r="H680" s="27" t="n"/>
      <c r="I680" s="20">
        <f>IF(OR($A680="",$G680&lt;&gt;"Active"),0,IF($H680&lt;&gt;"",$H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</f>
        <v/>
      </c>
      <c r="J680" s="23">
        <f>IF($C680="",0,IFERROR(INDEX(Deals!$H$2:$H$355,MATCH($C680,Deals!$A$2:$A$355,0)),0))</f>
        <v/>
      </c>
      <c r="K680" s="20">
        <f>IF(Settings!$B$4="Yes",$I680*$J680,$I680)</f>
        <v/>
      </c>
      <c r="L680" s="31">
        <f>IF($C680="","",IFERROR(IF(INDEX(Deals!$I$2:$I$355,MATCH($C680,Deals!$A$2:$A$355,0))=0,"",INDEX(Deals!$I$2:$I$355,MATCH($C680,Deals!$A$2:$A$355,0))),""))</f>
        <v/>
      </c>
      <c r="M680" s="31">
        <f>IF($C680="","",IFERROR(IF(INDEX(Deals!$J$2:$J$355,MATCH($C680,Deals!$A$2:$A$355,0))=0,"",INDEX(Deals!$J$2:$J$355,MATCH($C680,Deals!$A$2:$A$355,0))),""))</f>
        <v/>
      </c>
      <c r="N680" s="24">
        <f>IF($L680="",DATE(1900,1,1),$L680)</f>
        <v/>
      </c>
      <c r="O680" s="24">
        <f>IF($M680="",DATE(2100,12,31),$M680)</f>
        <v/>
      </c>
      <c r="P680" s="16" t="inlineStr"/>
      <c r="Q680" s="16" t="inlineStr"/>
      <c r="R680" s="29">
        <f>IF($C680="","",IFERROR(IF(INDEX(Deals!$U$2:$U$355,MATCH($C680,Deals!$A$2:$A$355,0))=0,"",INDEX(Deals!$U$2:$U$355,MATCH($C680,Deals!$A$2:$A$355,0))),""))</f>
        <v/>
      </c>
      <c r="S680" s="22">
        <f>IFERROR(IF($U680="",1,INDEX(Deals!$V$2:$V$355,MATCH($C680,Deals!$A$2:$A$355,0))),1)</f>
        <v/>
      </c>
      <c r="T680" s="22">
        <f>IFERROR(IF($U680="",1,INDEX(Deals!$W$2:$W$355,MATCH($C680,Deals!$A$2:$A$355,0))),1)</f>
        <v/>
      </c>
      <c r="U680" s="31">
        <f>IF($C680="","",IFERROR(IF(INDEX(Deals!$Y$2:$Y$355,MATCH($C680,Deals!$A$2:$A$355,0))=0,"",INDEX(Deals!$Y$2:$Y$355,MATCH($C680,Deals!$A$2:$A$355,0))),""))</f>
        <v/>
      </c>
      <c r="V680" s="24">
        <f>IF($U680="",DATE(1900,1,1),$N680)</f>
        <v/>
      </c>
      <c r="W680" s="24">
        <f>IF($U680="",DATE(2100,12,31),$U680)</f>
        <v/>
      </c>
      <c r="X680" s="20">
        <f>IF($U680="",$K680,$K680*$S680)</f>
        <v/>
      </c>
      <c r="Y680" s="24">
        <f>IF($U680="",DATE(2100,12,31),$U680+1)</f>
        <v/>
      </c>
      <c r="Z680" s="24">
        <f>IF($U680="",DATE(1900,1,1),$O680)</f>
        <v/>
      </c>
      <c r="AA680" s="20">
        <f>IF($U680="",0,$K680*$T680)</f>
        <v/>
      </c>
    </row>
    <row r="681">
      <c r="A681" s="15" t="inlineStr">
        <is>
          <t>Robbie</t>
        </is>
      </c>
      <c r="B681" s="29">
        <f>IF($A681="","",IFERROR(INDEX(Roster!$B$2:$B$40,MATCH($A681,Roster!$A$2:$A$40,0)),"?"))</f>
        <v/>
      </c>
      <c r="C681" s="15" t="inlineStr">
        <is>
          <t>Hamby_1</t>
        </is>
      </c>
      <c r="D681" s="29">
        <f>IF($C681="","",IFERROR(IF(INDEX(Deals!$C$2:$C$355,MATCH($C681,Deals!$A$2:$A$355,0))=0,"",INDEX(Deals!$C$2:$C$355,MATCH($C681,Deals!$A$2:$A$355,0))),"?"))</f>
        <v/>
      </c>
      <c r="E681" s="29">
        <f>IF($C681="","",IFERROR(INDEX(Deals!$F$2:$F$355,MATCH($C681,Deals!$A$2:$A$355,0)),"?"))</f>
        <v/>
      </c>
      <c r="F681" s="15" t="inlineStr">
        <is>
          <t>Renewable Specialist</t>
        </is>
      </c>
      <c r="G681" s="15" t="inlineStr">
        <is>
          <t>Active</t>
        </is>
      </c>
      <c r="H681" s="27" t="n"/>
      <c r="I681" s="20">
        <f>IF(OR($A681="",$G681&lt;&gt;"Active"),0,IF($H681&lt;&gt;"",$H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</f>
        <v/>
      </c>
      <c r="J681" s="23">
        <f>IF($C681="",0,IFERROR(INDEX(Deals!$H$2:$H$355,MATCH($C681,Deals!$A$2:$A$355,0)),0))</f>
        <v/>
      </c>
      <c r="K681" s="20">
        <f>IF(Settings!$B$4="Yes",$I681*$J681,$I681)</f>
        <v/>
      </c>
      <c r="L681" s="31">
        <f>IF($C681="","",IFERROR(IF(INDEX(Deals!$I$2:$I$355,MATCH($C681,Deals!$A$2:$A$355,0))=0,"",INDEX(Deals!$I$2:$I$355,MATCH($C681,Deals!$A$2:$A$355,0))),""))</f>
        <v/>
      </c>
      <c r="M681" s="31">
        <f>IF($C681="","",IFERROR(IF(INDEX(Deals!$J$2:$J$355,MATCH($C681,Deals!$A$2:$A$355,0))=0,"",INDEX(Deals!$J$2:$J$355,MATCH($C681,Deals!$A$2:$A$355,0))),""))</f>
        <v/>
      </c>
      <c r="N681" s="24">
        <f>IF($L681="",DATE(1900,1,1),$L681)</f>
        <v/>
      </c>
      <c r="O681" s="24">
        <f>IF($M681="",DATE(2100,12,31),$M681)</f>
        <v/>
      </c>
      <c r="P681" s="16" t="inlineStr"/>
      <c r="Q681" s="16" t="inlineStr"/>
      <c r="R681" s="29">
        <f>IF($C681="","",IFERROR(IF(INDEX(Deals!$U$2:$U$355,MATCH($C681,Deals!$A$2:$A$355,0))=0,"",INDEX(Deals!$U$2:$U$355,MATCH($C681,Deals!$A$2:$A$355,0))),""))</f>
        <v/>
      </c>
      <c r="S681" s="22">
        <f>IFERROR(IF($U681="",1,INDEX(Deals!$V$2:$V$355,MATCH($C681,Deals!$A$2:$A$355,0))),1)</f>
        <v/>
      </c>
      <c r="T681" s="22">
        <f>IFERROR(IF($U681="",1,INDEX(Deals!$W$2:$W$355,MATCH($C681,Deals!$A$2:$A$355,0))),1)</f>
        <v/>
      </c>
      <c r="U681" s="31">
        <f>IF($C681="","",IFERROR(IF(INDEX(Deals!$Y$2:$Y$355,MATCH($C681,Deals!$A$2:$A$355,0))=0,"",INDEX(Deals!$Y$2:$Y$355,MATCH($C681,Deals!$A$2:$A$355,0))),""))</f>
        <v/>
      </c>
      <c r="V681" s="24">
        <f>IF($U681="",DATE(1900,1,1),$N681)</f>
        <v/>
      </c>
      <c r="W681" s="24">
        <f>IF($U681="",DATE(2100,12,31),$U681)</f>
        <v/>
      </c>
      <c r="X681" s="20">
        <f>IF($U681="",$K681,$K681*$S681)</f>
        <v/>
      </c>
      <c r="Y681" s="24">
        <f>IF($U681="",DATE(2100,12,31),$U681+1)</f>
        <v/>
      </c>
      <c r="Z681" s="24">
        <f>IF($U681="",DATE(1900,1,1),$O681)</f>
        <v/>
      </c>
      <c r="AA681" s="20">
        <f>IF($U681="",0,$K681*$T681)</f>
        <v/>
      </c>
    </row>
    <row r="682">
      <c r="A682" s="15" t="inlineStr">
        <is>
          <t>Robbie</t>
        </is>
      </c>
      <c r="B682" s="29">
        <f>IF($A682="","",IFERROR(INDEX(Roster!$B$2:$B$40,MATCH($A682,Roster!$A$2:$A$40,0)),"?"))</f>
        <v/>
      </c>
      <c r="C682" s="15" t="inlineStr">
        <is>
          <t>MeadowBrook_1</t>
        </is>
      </c>
      <c r="D682" s="29">
        <f>IF($C682="","",IFERROR(IF(INDEX(Deals!$C$2:$C$355,MATCH($C682,Deals!$A$2:$A$355,0))=0,"",INDEX(Deals!$C$2:$C$355,MATCH($C682,Deals!$A$2:$A$355,0))),"?"))</f>
        <v/>
      </c>
      <c r="E682" s="29">
        <f>IF($C682="","",IFERROR(INDEX(Deals!$F$2:$F$355,MATCH($C682,Deals!$A$2:$A$355,0)),"?"))</f>
        <v/>
      </c>
      <c r="F682" s="15" t="inlineStr">
        <is>
          <t>Renewable Specialist</t>
        </is>
      </c>
      <c r="G682" s="15" t="inlineStr">
        <is>
          <t>Active</t>
        </is>
      </c>
      <c r="H682" s="27" t="n"/>
      <c r="I682" s="20">
        <f>IF(OR($A682="",$G682&lt;&gt;"Active"),0,IF($H682&lt;&gt;"",$H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</f>
        <v/>
      </c>
      <c r="J682" s="23">
        <f>IF($C682="",0,IFERROR(INDEX(Deals!$H$2:$H$355,MATCH($C682,Deals!$A$2:$A$355,0)),0))</f>
        <v/>
      </c>
      <c r="K682" s="20">
        <f>IF(Settings!$B$4="Yes",$I682*$J682,$I682)</f>
        <v/>
      </c>
      <c r="L682" s="31">
        <f>IF($C682="","",IFERROR(IF(INDEX(Deals!$I$2:$I$355,MATCH($C682,Deals!$A$2:$A$355,0))=0,"",INDEX(Deals!$I$2:$I$355,MATCH($C682,Deals!$A$2:$A$355,0))),""))</f>
        <v/>
      </c>
      <c r="M682" s="31">
        <f>IF($C682="","",IFERROR(IF(INDEX(Deals!$J$2:$J$355,MATCH($C682,Deals!$A$2:$A$355,0))=0,"",INDEX(Deals!$J$2:$J$355,MATCH($C682,Deals!$A$2:$A$355,0))),""))</f>
        <v/>
      </c>
      <c r="N682" s="24">
        <f>IF($L682="",DATE(1900,1,1),$L682)</f>
        <v/>
      </c>
      <c r="O682" s="24">
        <f>IF($M682="",DATE(2100,12,31),$M682)</f>
        <v/>
      </c>
      <c r="P682" s="16" t="inlineStr"/>
      <c r="Q682" s="16" t="inlineStr"/>
      <c r="R682" s="29">
        <f>IF($C682="","",IFERROR(IF(INDEX(Deals!$U$2:$U$355,MATCH($C682,Deals!$A$2:$A$355,0))=0,"",INDEX(Deals!$U$2:$U$355,MATCH($C682,Deals!$A$2:$A$355,0))),""))</f>
        <v/>
      </c>
      <c r="S682" s="22">
        <f>IFERROR(IF($U682="",1,INDEX(Deals!$V$2:$V$355,MATCH($C682,Deals!$A$2:$A$355,0))),1)</f>
        <v/>
      </c>
      <c r="T682" s="22">
        <f>IFERROR(IF($U682="",1,INDEX(Deals!$W$2:$W$355,MATCH($C682,Deals!$A$2:$A$355,0))),1)</f>
        <v/>
      </c>
      <c r="U682" s="31">
        <f>IF($C682="","",IFERROR(IF(INDEX(Deals!$Y$2:$Y$355,MATCH($C682,Deals!$A$2:$A$355,0))=0,"",INDEX(Deals!$Y$2:$Y$355,MATCH($C682,Deals!$A$2:$A$355,0))),""))</f>
        <v/>
      </c>
      <c r="V682" s="24">
        <f>IF($U682="",DATE(1900,1,1),$N682)</f>
        <v/>
      </c>
      <c r="W682" s="24">
        <f>IF($U682="",DATE(2100,12,31),$U682)</f>
        <v/>
      </c>
      <c r="X682" s="20">
        <f>IF($U682="",$K682,$K682*$S682)</f>
        <v/>
      </c>
      <c r="Y682" s="24">
        <f>IF($U682="",DATE(2100,12,31),$U682+1)</f>
        <v/>
      </c>
      <c r="Z682" s="24">
        <f>IF($U682="",DATE(1900,1,1),$O682)</f>
        <v/>
      </c>
      <c r="AA682" s="20">
        <f>IF($U682="",0,$K682*$T682)</f>
        <v/>
      </c>
    </row>
    <row r="683">
      <c r="A683" s="15" t="inlineStr">
        <is>
          <t>Robbie</t>
        </is>
      </c>
      <c r="B683" s="29">
        <f>IF($A683="","",IFERROR(INDEX(Roster!$B$2:$B$40,MATCH($A683,Roster!$A$2:$A$40,0)),"?"))</f>
        <v/>
      </c>
      <c r="C683" s="15" t="inlineStr">
        <is>
          <t>Neutrino_1</t>
        </is>
      </c>
      <c r="D683" s="29">
        <f>IF($C683="","",IFERROR(IF(INDEX(Deals!$C$2:$C$355,MATCH($C683,Deals!$A$2:$A$355,0))=0,"",INDEX(Deals!$C$2:$C$355,MATCH($C683,Deals!$A$2:$A$355,0))),"?"))</f>
        <v/>
      </c>
      <c r="E683" s="29">
        <f>IF($C683="","",IFERROR(INDEX(Deals!$F$2:$F$355,MATCH($C683,Deals!$A$2:$A$355,0)),"?"))</f>
        <v/>
      </c>
      <c r="F683" s="15" t="inlineStr">
        <is>
          <t>Renewable Specialist</t>
        </is>
      </c>
      <c r="G683" s="15" t="inlineStr">
        <is>
          <t>Active</t>
        </is>
      </c>
      <c r="H683" s="27" t="n"/>
      <c r="I683" s="20">
        <f>IF(OR($A683="",$G683&lt;&gt;"Active"),0,IF($H683&lt;&gt;"",$H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</f>
        <v/>
      </c>
      <c r="J683" s="23">
        <f>IF($C683="",0,IFERROR(INDEX(Deals!$H$2:$H$355,MATCH($C683,Deals!$A$2:$A$355,0)),0))</f>
        <v/>
      </c>
      <c r="K683" s="20">
        <f>IF(Settings!$B$4="Yes",$I683*$J683,$I683)</f>
        <v/>
      </c>
      <c r="L683" s="31">
        <f>IF($C683="","",IFERROR(IF(INDEX(Deals!$I$2:$I$355,MATCH($C683,Deals!$A$2:$A$355,0))=0,"",INDEX(Deals!$I$2:$I$355,MATCH($C683,Deals!$A$2:$A$355,0))),""))</f>
        <v/>
      </c>
      <c r="M683" s="31">
        <f>IF($C683="","",IFERROR(IF(INDEX(Deals!$J$2:$J$355,MATCH($C683,Deals!$A$2:$A$355,0))=0,"",INDEX(Deals!$J$2:$J$355,MATCH($C683,Deals!$A$2:$A$355,0))),""))</f>
        <v/>
      </c>
      <c r="N683" s="24">
        <f>IF($L683="",DATE(1900,1,1),$L683)</f>
        <v/>
      </c>
      <c r="O683" s="24">
        <f>IF($M683="",DATE(2100,12,31),$M683)</f>
        <v/>
      </c>
      <c r="P683" s="16" t="inlineStr"/>
      <c r="Q683" s="16" t="inlineStr"/>
      <c r="R683" s="29">
        <f>IF($C683="","",IFERROR(IF(INDEX(Deals!$U$2:$U$355,MATCH($C683,Deals!$A$2:$A$355,0))=0,"",INDEX(Deals!$U$2:$U$355,MATCH($C683,Deals!$A$2:$A$355,0))),""))</f>
        <v/>
      </c>
      <c r="S683" s="22">
        <f>IFERROR(IF($U683="",1,INDEX(Deals!$V$2:$V$355,MATCH($C683,Deals!$A$2:$A$355,0))),1)</f>
        <v/>
      </c>
      <c r="T683" s="22">
        <f>IFERROR(IF($U683="",1,INDEX(Deals!$W$2:$W$355,MATCH($C683,Deals!$A$2:$A$355,0))),1)</f>
        <v/>
      </c>
      <c r="U683" s="31">
        <f>IF($C683="","",IFERROR(IF(INDEX(Deals!$Y$2:$Y$355,MATCH($C683,Deals!$A$2:$A$355,0))=0,"",INDEX(Deals!$Y$2:$Y$355,MATCH($C683,Deals!$A$2:$A$355,0))),""))</f>
        <v/>
      </c>
      <c r="V683" s="24">
        <f>IF($U683="",DATE(1900,1,1),$N683)</f>
        <v/>
      </c>
      <c r="W683" s="24">
        <f>IF($U683="",DATE(2100,12,31),$U683)</f>
        <v/>
      </c>
      <c r="X683" s="20">
        <f>IF($U683="",$K683,$K683*$S683)</f>
        <v/>
      </c>
      <c r="Y683" s="24">
        <f>IF($U683="",DATE(2100,12,31),$U683+1)</f>
        <v/>
      </c>
      <c r="Z683" s="24">
        <f>IF($U683="",DATE(1900,1,1),$O683)</f>
        <v/>
      </c>
      <c r="AA683" s="20">
        <f>IF($U683="",0,$K683*$T683)</f>
        <v/>
      </c>
    </row>
    <row r="684">
      <c r="A684" s="15" t="inlineStr">
        <is>
          <t>Robbie</t>
        </is>
      </c>
      <c r="B684" s="29">
        <f>IF($A684="","",IFERROR(INDEX(Roster!$B$2:$B$40,MATCH($A684,Roster!$A$2:$A$40,0)),"?"))</f>
        <v/>
      </c>
      <c r="C684" s="15" t="inlineStr">
        <is>
          <t>Papago_1</t>
        </is>
      </c>
      <c r="D684" s="29">
        <f>IF($C684="","",IFERROR(IF(INDEX(Deals!$C$2:$C$355,MATCH($C684,Deals!$A$2:$A$355,0))=0,"",INDEX(Deals!$C$2:$C$355,MATCH($C684,Deals!$A$2:$A$355,0))),"?"))</f>
        <v/>
      </c>
      <c r="E684" s="29">
        <f>IF($C684="","",IFERROR(INDEX(Deals!$F$2:$F$355,MATCH($C684,Deals!$A$2:$A$355,0)),"?"))</f>
        <v/>
      </c>
      <c r="F684" s="15" t="inlineStr">
        <is>
          <t>Renewable Specialist</t>
        </is>
      </c>
      <c r="G684" s="15" t="inlineStr">
        <is>
          <t>Active</t>
        </is>
      </c>
      <c r="H684" s="27" t="n"/>
      <c r="I684" s="20">
        <f>IF(OR($A684="",$G684&lt;&gt;"Active"),0,IF($H684&lt;&gt;"",$H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</f>
        <v/>
      </c>
      <c r="J684" s="23">
        <f>IF($C684="",0,IFERROR(INDEX(Deals!$H$2:$H$355,MATCH($C684,Deals!$A$2:$A$355,0)),0))</f>
        <v/>
      </c>
      <c r="K684" s="20">
        <f>IF(Settings!$B$4="Yes",$I684*$J684,$I684)</f>
        <v/>
      </c>
      <c r="L684" s="31">
        <f>IF($C684="","",IFERROR(IF(INDEX(Deals!$I$2:$I$355,MATCH($C684,Deals!$A$2:$A$355,0))=0,"",INDEX(Deals!$I$2:$I$355,MATCH($C684,Deals!$A$2:$A$355,0))),""))</f>
        <v/>
      </c>
      <c r="M684" s="31">
        <f>IF($C684="","",IFERROR(IF(INDEX(Deals!$J$2:$J$355,MATCH($C684,Deals!$A$2:$A$355,0))=0,"",INDEX(Deals!$J$2:$J$355,MATCH($C684,Deals!$A$2:$A$355,0))),""))</f>
        <v/>
      </c>
      <c r="N684" s="24">
        <f>IF($L684="",DATE(1900,1,1),$L684)</f>
        <v/>
      </c>
      <c r="O684" s="24">
        <f>IF($M684="",DATE(2100,12,31),$M684)</f>
        <v/>
      </c>
      <c r="P684" s="16" t="inlineStr"/>
      <c r="Q684" s="16" t="inlineStr"/>
      <c r="R684" s="29">
        <f>IF($C684="","",IFERROR(IF(INDEX(Deals!$U$2:$U$355,MATCH($C684,Deals!$A$2:$A$355,0))=0,"",INDEX(Deals!$U$2:$U$355,MATCH($C684,Deals!$A$2:$A$355,0))),""))</f>
        <v/>
      </c>
      <c r="S684" s="22">
        <f>IFERROR(IF($U684="",1,INDEX(Deals!$V$2:$V$355,MATCH($C684,Deals!$A$2:$A$355,0))),1)</f>
        <v/>
      </c>
      <c r="T684" s="22">
        <f>IFERROR(IF($U684="",1,INDEX(Deals!$W$2:$W$355,MATCH($C684,Deals!$A$2:$A$355,0))),1)</f>
        <v/>
      </c>
      <c r="U684" s="31">
        <f>IF($C684="","",IFERROR(IF(INDEX(Deals!$Y$2:$Y$355,MATCH($C684,Deals!$A$2:$A$355,0))=0,"",INDEX(Deals!$Y$2:$Y$355,MATCH($C684,Deals!$A$2:$A$355,0))),""))</f>
        <v/>
      </c>
      <c r="V684" s="24">
        <f>IF($U684="",DATE(1900,1,1),$N684)</f>
        <v/>
      </c>
      <c r="W684" s="24">
        <f>IF($U684="",DATE(2100,12,31),$U684)</f>
        <v/>
      </c>
      <c r="X684" s="20">
        <f>IF($U684="",$K684,$K684*$S684)</f>
        <v/>
      </c>
      <c r="Y684" s="24">
        <f>IF($U684="",DATE(2100,12,31),$U684+1)</f>
        <v/>
      </c>
      <c r="Z684" s="24">
        <f>IF($U684="",DATE(1900,1,1),$O684)</f>
        <v/>
      </c>
      <c r="AA684" s="20">
        <f>IF($U684="",0,$K684*$T684)</f>
        <v/>
      </c>
    </row>
    <row r="685">
      <c r="A685" s="15" t="inlineStr">
        <is>
          <t>Robbie</t>
        </is>
      </c>
      <c r="B685" s="29">
        <f>IF($A685="","",IFERROR(INDEX(Roster!$B$2:$B$40,MATCH($A685,Roster!$A$2:$A$40,0)),"?"))</f>
        <v/>
      </c>
      <c r="C685" s="15" t="inlineStr">
        <is>
          <t>Tax_7</t>
        </is>
      </c>
      <c r="D685" s="29">
        <f>IF($C685="","",IFERROR(IF(INDEX(Deals!$C$2:$C$355,MATCH($C685,Deals!$A$2:$A$355,0))=0,"",INDEX(Deals!$C$2:$C$355,MATCH($C685,Deals!$A$2:$A$355,0))),"?"))</f>
        <v/>
      </c>
      <c r="E685" s="29">
        <f>IF($C685="","",IFERROR(INDEX(Deals!$F$2:$F$355,MATCH($C685,Deals!$A$2:$A$355,0)),"?"))</f>
        <v/>
      </c>
      <c r="F685" s="15" t="inlineStr">
        <is>
          <t>Renewable Specialist</t>
        </is>
      </c>
      <c r="G685" s="15" t="inlineStr">
        <is>
          <t>Active</t>
        </is>
      </c>
      <c r="H685" s="27" t="n"/>
      <c r="I685" s="20">
        <f>IF(OR($A685="",$G685&lt;&gt;"Active"),0,IF($H685&lt;&gt;"",$H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</f>
        <v/>
      </c>
      <c r="J685" s="23">
        <f>IF($C685="",0,IFERROR(INDEX(Deals!$H$2:$H$355,MATCH($C685,Deals!$A$2:$A$355,0)),0))</f>
        <v/>
      </c>
      <c r="K685" s="20">
        <f>IF(Settings!$B$4="Yes",$I685*$J685,$I685)</f>
        <v/>
      </c>
      <c r="L685" s="31">
        <f>IF($C685="","",IFERROR(IF(INDEX(Deals!$I$2:$I$355,MATCH($C685,Deals!$A$2:$A$355,0))=0,"",INDEX(Deals!$I$2:$I$355,MATCH($C685,Deals!$A$2:$A$355,0))),""))</f>
        <v/>
      </c>
      <c r="M685" s="31">
        <f>IF($C685="","",IFERROR(IF(INDEX(Deals!$J$2:$J$355,MATCH($C685,Deals!$A$2:$A$355,0))=0,"",INDEX(Deals!$J$2:$J$355,MATCH($C685,Deals!$A$2:$A$355,0))),""))</f>
        <v/>
      </c>
      <c r="N685" s="24">
        <f>IF($L685="",DATE(1900,1,1),$L685)</f>
        <v/>
      </c>
      <c r="O685" s="24">
        <f>IF($M685="",DATE(2100,12,31),$M685)</f>
        <v/>
      </c>
      <c r="P685" s="16" t="inlineStr"/>
      <c r="Q685" s="16" t="inlineStr"/>
      <c r="R685" s="29">
        <f>IF($C685="","",IFERROR(IF(INDEX(Deals!$U$2:$U$355,MATCH($C685,Deals!$A$2:$A$355,0))=0,"",INDEX(Deals!$U$2:$U$355,MATCH($C685,Deals!$A$2:$A$355,0))),""))</f>
        <v/>
      </c>
      <c r="S685" s="22">
        <f>IFERROR(IF($U685="",1,INDEX(Deals!$V$2:$V$355,MATCH($C685,Deals!$A$2:$A$355,0))),1)</f>
        <v/>
      </c>
      <c r="T685" s="22">
        <f>IFERROR(IF($U685="",1,INDEX(Deals!$W$2:$W$355,MATCH($C685,Deals!$A$2:$A$355,0))),1)</f>
        <v/>
      </c>
      <c r="U685" s="31">
        <f>IF($C685="","",IFERROR(IF(INDEX(Deals!$Y$2:$Y$355,MATCH($C685,Deals!$A$2:$A$355,0))=0,"",INDEX(Deals!$Y$2:$Y$355,MATCH($C685,Deals!$A$2:$A$355,0))),""))</f>
        <v/>
      </c>
      <c r="V685" s="24">
        <f>IF($U685="",DATE(1900,1,1),$N685)</f>
        <v/>
      </c>
      <c r="W685" s="24">
        <f>IF($U685="",DATE(2100,12,31),$U685)</f>
        <v/>
      </c>
      <c r="X685" s="20">
        <f>IF($U685="",$K685,$K685*$S685)</f>
        <v/>
      </c>
      <c r="Y685" s="24">
        <f>IF($U685="",DATE(2100,12,31),$U685+1)</f>
        <v/>
      </c>
      <c r="Z685" s="24">
        <f>IF($U685="",DATE(1900,1,1),$O685)</f>
        <v/>
      </c>
      <c r="AA685" s="20">
        <f>IF($U685="",0,$K685*$T685)</f>
        <v/>
      </c>
    </row>
    <row r="686">
      <c r="A686" s="15" t="inlineStr">
        <is>
          <t>Robbie</t>
        </is>
      </c>
      <c r="B686" s="29">
        <f>IF($A686="","",IFERROR(INDEX(Roster!$B$2:$B$40,MATCH($A686,Roster!$A$2:$A$40,0)),"?"))</f>
        <v/>
      </c>
      <c r="C686" s="15" t="inlineStr">
        <is>
          <t>Tax_8</t>
        </is>
      </c>
      <c r="D686" s="29">
        <f>IF($C686="","",IFERROR(IF(INDEX(Deals!$C$2:$C$355,MATCH($C686,Deals!$A$2:$A$355,0))=0,"",INDEX(Deals!$C$2:$C$355,MATCH($C686,Deals!$A$2:$A$355,0))),"?"))</f>
        <v/>
      </c>
      <c r="E686" s="29">
        <f>IF($C686="","",IFERROR(INDEX(Deals!$F$2:$F$355,MATCH($C686,Deals!$A$2:$A$355,0)),"?"))</f>
        <v/>
      </c>
      <c r="F686" s="15" t="inlineStr">
        <is>
          <t>Renewable Specialist</t>
        </is>
      </c>
      <c r="G686" s="15" t="inlineStr">
        <is>
          <t>Active</t>
        </is>
      </c>
      <c r="H686" s="27" t="n"/>
      <c r="I686" s="20">
        <f>IF(OR($A686="",$G686&lt;&gt;"Active"),0,IF($H686&lt;&gt;"",$H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</f>
        <v/>
      </c>
      <c r="J686" s="23">
        <f>IF($C686="",0,IFERROR(INDEX(Deals!$H$2:$H$355,MATCH($C686,Deals!$A$2:$A$355,0)),0))</f>
        <v/>
      </c>
      <c r="K686" s="20">
        <f>IF(Settings!$B$4="Yes",$I686*$J686,$I686)</f>
        <v/>
      </c>
      <c r="L686" s="31">
        <f>IF($C686="","",IFERROR(IF(INDEX(Deals!$I$2:$I$355,MATCH($C686,Deals!$A$2:$A$355,0))=0,"",INDEX(Deals!$I$2:$I$355,MATCH($C686,Deals!$A$2:$A$355,0))),""))</f>
        <v/>
      </c>
      <c r="M686" s="31">
        <f>IF($C686="","",IFERROR(IF(INDEX(Deals!$J$2:$J$355,MATCH($C686,Deals!$A$2:$A$355,0))=0,"",INDEX(Deals!$J$2:$J$355,MATCH($C686,Deals!$A$2:$A$355,0))),""))</f>
        <v/>
      </c>
      <c r="N686" s="24">
        <f>IF($L686="",DATE(1900,1,1),$L686)</f>
        <v/>
      </c>
      <c r="O686" s="24">
        <f>IF($M686="",DATE(2100,12,31),$M686)</f>
        <v/>
      </c>
      <c r="P686" s="16" t="inlineStr"/>
      <c r="Q686" s="16" t="inlineStr"/>
      <c r="R686" s="29">
        <f>IF($C686="","",IFERROR(IF(INDEX(Deals!$U$2:$U$355,MATCH($C686,Deals!$A$2:$A$355,0))=0,"",INDEX(Deals!$U$2:$U$355,MATCH($C686,Deals!$A$2:$A$355,0))),""))</f>
        <v/>
      </c>
      <c r="S686" s="22">
        <f>IFERROR(IF($U686="",1,INDEX(Deals!$V$2:$V$355,MATCH($C686,Deals!$A$2:$A$355,0))),1)</f>
        <v/>
      </c>
      <c r="T686" s="22">
        <f>IFERROR(IF($U686="",1,INDEX(Deals!$W$2:$W$355,MATCH($C686,Deals!$A$2:$A$355,0))),1)</f>
        <v/>
      </c>
      <c r="U686" s="31">
        <f>IF($C686="","",IFERROR(IF(INDEX(Deals!$Y$2:$Y$355,MATCH($C686,Deals!$A$2:$A$355,0))=0,"",INDEX(Deals!$Y$2:$Y$355,MATCH($C686,Deals!$A$2:$A$355,0))),""))</f>
        <v/>
      </c>
      <c r="V686" s="24">
        <f>IF($U686="",DATE(1900,1,1),$N686)</f>
        <v/>
      </c>
      <c r="W686" s="24">
        <f>IF($U686="",DATE(2100,12,31),$U686)</f>
        <v/>
      </c>
      <c r="X686" s="20">
        <f>IF($U686="",$K686,$K686*$S686)</f>
        <v/>
      </c>
      <c r="Y686" s="24">
        <f>IF($U686="",DATE(2100,12,31),$U686+1)</f>
        <v/>
      </c>
      <c r="Z686" s="24">
        <f>IF($U686="",DATE(1900,1,1),$O686)</f>
        <v/>
      </c>
      <c r="AA686" s="20">
        <f>IF($U686="",0,$K686*$T686)</f>
        <v/>
      </c>
    </row>
    <row r="687">
      <c r="A687" s="15" t="inlineStr">
        <is>
          <t>Robbie</t>
        </is>
      </c>
      <c r="B687" s="29">
        <f>IF($A687="","",IFERROR(INDEX(Roster!$B$2:$B$40,MATCH($A687,Roster!$A$2:$A$40,0)),"?"))</f>
        <v/>
      </c>
      <c r="C687" s="15" t="inlineStr">
        <is>
          <t>Whale_3</t>
        </is>
      </c>
      <c r="D687" s="29">
        <f>IF($C687="","",IFERROR(IF(INDEX(Deals!$C$2:$C$355,MATCH($C687,Deals!$A$2:$A$355,0))=0,"",INDEX(Deals!$C$2:$C$355,MATCH($C687,Deals!$A$2:$A$355,0))),"?"))</f>
        <v/>
      </c>
      <c r="E687" s="29">
        <f>IF($C687="","",IFERROR(INDEX(Deals!$F$2:$F$355,MATCH($C687,Deals!$A$2:$A$355,0)),"?"))</f>
        <v/>
      </c>
      <c r="F687" s="15" t="inlineStr">
        <is>
          <t>Renewable Specialist</t>
        </is>
      </c>
      <c r="G687" s="15" t="inlineStr">
        <is>
          <t>Active</t>
        </is>
      </c>
      <c r="H687" s="27" t="n"/>
      <c r="I687" s="20">
        <f>IF(OR($A687="",$G687&lt;&gt;"Active"),0,IF($H687&lt;&gt;"",$H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</f>
        <v/>
      </c>
      <c r="J687" s="23">
        <f>IF($C687="",0,IFERROR(INDEX(Deals!$H$2:$H$355,MATCH($C687,Deals!$A$2:$A$355,0)),0))</f>
        <v/>
      </c>
      <c r="K687" s="20">
        <f>IF(Settings!$B$4="Yes",$I687*$J687,$I687)</f>
        <v/>
      </c>
      <c r="L687" s="31">
        <f>IF($C687="","",IFERROR(IF(INDEX(Deals!$I$2:$I$355,MATCH($C687,Deals!$A$2:$A$355,0))=0,"",INDEX(Deals!$I$2:$I$355,MATCH($C687,Deals!$A$2:$A$355,0))),""))</f>
        <v/>
      </c>
      <c r="M687" s="31">
        <f>IF($C687="","",IFERROR(IF(INDEX(Deals!$J$2:$J$355,MATCH($C687,Deals!$A$2:$A$355,0))=0,"",INDEX(Deals!$J$2:$J$355,MATCH($C687,Deals!$A$2:$A$355,0))),""))</f>
        <v/>
      </c>
      <c r="N687" s="24">
        <f>IF($L687="",DATE(1900,1,1),$L687)</f>
        <v/>
      </c>
      <c r="O687" s="24">
        <f>IF($M687="",DATE(2100,12,31),$M687)</f>
        <v/>
      </c>
      <c r="P687" s="16" t="inlineStr"/>
      <c r="Q687" s="16" t="inlineStr"/>
      <c r="R687" s="29">
        <f>IF($C687="","",IFERROR(IF(INDEX(Deals!$U$2:$U$355,MATCH($C687,Deals!$A$2:$A$355,0))=0,"",INDEX(Deals!$U$2:$U$355,MATCH($C687,Deals!$A$2:$A$355,0))),""))</f>
        <v/>
      </c>
      <c r="S687" s="22">
        <f>IFERROR(IF($U687="",1,INDEX(Deals!$V$2:$V$355,MATCH($C687,Deals!$A$2:$A$355,0))),1)</f>
        <v/>
      </c>
      <c r="T687" s="22">
        <f>IFERROR(IF($U687="",1,INDEX(Deals!$W$2:$W$355,MATCH($C687,Deals!$A$2:$A$355,0))),1)</f>
        <v/>
      </c>
      <c r="U687" s="31">
        <f>IF($C687="","",IFERROR(IF(INDEX(Deals!$Y$2:$Y$355,MATCH($C687,Deals!$A$2:$A$355,0))=0,"",INDEX(Deals!$Y$2:$Y$355,MATCH($C687,Deals!$A$2:$A$355,0))),""))</f>
        <v/>
      </c>
      <c r="V687" s="24">
        <f>IF($U687="",DATE(1900,1,1),$N687)</f>
        <v/>
      </c>
      <c r="W687" s="24">
        <f>IF($U687="",DATE(2100,12,31),$U687)</f>
        <v/>
      </c>
      <c r="X687" s="20">
        <f>IF($U687="",$K687,$K687*$S687)</f>
        <v/>
      </c>
      <c r="Y687" s="24">
        <f>IF($U687="",DATE(2100,12,31),$U687+1)</f>
        <v/>
      </c>
      <c r="Z687" s="24">
        <f>IF($U687="",DATE(1900,1,1),$O687)</f>
        <v/>
      </c>
      <c r="AA687" s="20">
        <f>IF($U687="",0,$K687*$T687)</f>
        <v/>
      </c>
    </row>
    <row r="688">
      <c r="A688" s="15" t="inlineStr">
        <is>
          <t>Robbie</t>
        </is>
      </c>
      <c r="B688" s="29">
        <f>IF($A688="","",IFERROR(INDEX(Roster!$B$2:$B$40,MATCH($A688,Roster!$A$2:$A$40,0)),"?"))</f>
        <v/>
      </c>
      <c r="C688" s="15" t="inlineStr">
        <is>
          <t>White Tail_2</t>
        </is>
      </c>
      <c r="D688" s="29">
        <f>IF($C688="","",IFERROR(IF(INDEX(Deals!$C$2:$C$355,MATCH($C688,Deals!$A$2:$A$355,0))=0,"",INDEX(Deals!$C$2:$C$355,MATCH($C688,Deals!$A$2:$A$355,0))),"?"))</f>
        <v/>
      </c>
      <c r="E688" s="29">
        <f>IF($C688="","",IFERROR(INDEX(Deals!$F$2:$F$355,MATCH($C688,Deals!$A$2:$A$355,0)),"?"))</f>
        <v/>
      </c>
      <c r="F688" s="15" t="inlineStr">
        <is>
          <t>Renewable Specialist</t>
        </is>
      </c>
      <c r="G688" s="15" t="inlineStr">
        <is>
          <t>Active</t>
        </is>
      </c>
      <c r="H688" s="27" t="n"/>
      <c r="I688" s="20">
        <f>IF(OR($A688="",$G688&lt;&gt;"Active"),0,IF($H688&lt;&gt;"",$H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</f>
        <v/>
      </c>
      <c r="J688" s="23">
        <f>IF($C688="",0,IFERROR(INDEX(Deals!$H$2:$H$355,MATCH($C688,Deals!$A$2:$A$355,0)),0))</f>
        <v/>
      </c>
      <c r="K688" s="20">
        <f>IF(Settings!$B$4="Yes",$I688*$J688,$I688)</f>
        <v/>
      </c>
      <c r="L688" s="31">
        <f>IF($C688="","",IFERROR(IF(INDEX(Deals!$I$2:$I$355,MATCH($C688,Deals!$A$2:$A$355,0))=0,"",INDEX(Deals!$I$2:$I$355,MATCH($C688,Deals!$A$2:$A$355,0))),""))</f>
        <v/>
      </c>
      <c r="M688" s="31">
        <f>IF($C688="","",IFERROR(IF(INDEX(Deals!$J$2:$J$355,MATCH($C688,Deals!$A$2:$A$355,0))=0,"",INDEX(Deals!$J$2:$J$355,MATCH($C688,Deals!$A$2:$A$355,0))),""))</f>
        <v/>
      </c>
      <c r="N688" s="24">
        <f>IF($L688="",DATE(1900,1,1),$L688)</f>
        <v/>
      </c>
      <c r="O688" s="24">
        <f>IF($M688="",DATE(2100,12,31),$M688)</f>
        <v/>
      </c>
      <c r="P688" s="16" t="inlineStr"/>
      <c r="Q688" s="16" t="inlineStr"/>
      <c r="R688" s="29">
        <f>IF($C688="","",IFERROR(IF(INDEX(Deals!$U$2:$U$355,MATCH($C688,Deals!$A$2:$A$355,0))=0,"",INDEX(Deals!$U$2:$U$355,MATCH($C688,Deals!$A$2:$A$355,0))),""))</f>
        <v/>
      </c>
      <c r="S688" s="22">
        <f>IFERROR(IF($U688="",1,INDEX(Deals!$V$2:$V$355,MATCH($C688,Deals!$A$2:$A$355,0))),1)</f>
        <v/>
      </c>
      <c r="T688" s="22">
        <f>IFERROR(IF($U688="",1,INDEX(Deals!$W$2:$W$355,MATCH($C688,Deals!$A$2:$A$355,0))),1)</f>
        <v/>
      </c>
      <c r="U688" s="31">
        <f>IF($C688="","",IFERROR(IF(INDEX(Deals!$Y$2:$Y$355,MATCH($C688,Deals!$A$2:$A$355,0))=0,"",INDEX(Deals!$Y$2:$Y$355,MATCH($C688,Deals!$A$2:$A$355,0))),""))</f>
        <v/>
      </c>
      <c r="V688" s="24">
        <f>IF($U688="",DATE(1900,1,1),$N688)</f>
        <v/>
      </c>
      <c r="W688" s="24">
        <f>IF($U688="",DATE(2100,12,31),$U688)</f>
        <v/>
      </c>
      <c r="X688" s="20">
        <f>IF($U688="",$K688,$K688*$S688)</f>
        <v/>
      </c>
      <c r="Y688" s="24">
        <f>IF($U688="",DATE(2100,12,31),$U688+1)</f>
        <v/>
      </c>
      <c r="Z688" s="24">
        <f>IF($U688="",DATE(1900,1,1),$O688)</f>
        <v/>
      </c>
      <c r="AA688" s="20">
        <f>IF($U688="",0,$K688*$T688)</f>
        <v/>
      </c>
    </row>
    <row r="689">
      <c r="A689" s="15" t="inlineStr">
        <is>
          <t>Robbie</t>
        </is>
      </c>
      <c r="B689" s="29">
        <f>IF($A689="","",IFERROR(INDEX(Roster!$B$2:$B$40,MATCH($A689,Roster!$A$2:$A$40,0)),"?"))</f>
        <v/>
      </c>
      <c r="C689" s="15" t="inlineStr">
        <is>
          <t>Zora_1</t>
        </is>
      </c>
      <c r="D689" s="29">
        <f>IF($C689="","",IFERROR(IF(INDEX(Deals!$C$2:$C$355,MATCH($C689,Deals!$A$2:$A$355,0))=0,"",INDEX(Deals!$C$2:$C$355,MATCH($C689,Deals!$A$2:$A$355,0))),"?"))</f>
        <v/>
      </c>
      <c r="E689" s="29">
        <f>IF($C689="","",IFERROR(INDEX(Deals!$F$2:$F$355,MATCH($C689,Deals!$A$2:$A$355,0)),"?"))</f>
        <v/>
      </c>
      <c r="F689" s="15" t="inlineStr">
        <is>
          <t>Renewable Specialist</t>
        </is>
      </c>
      <c r="G689" s="15" t="inlineStr">
        <is>
          <t>Active</t>
        </is>
      </c>
      <c r="H689" s="27" t="n"/>
      <c r="I689" s="20">
        <f>IF(OR($A689="",$G689&lt;&gt;"Active"),0,IF($H689&lt;&gt;"",$H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</f>
        <v/>
      </c>
      <c r="J689" s="23">
        <f>IF($C689="",0,IFERROR(INDEX(Deals!$H$2:$H$355,MATCH($C689,Deals!$A$2:$A$355,0)),0))</f>
        <v/>
      </c>
      <c r="K689" s="20">
        <f>IF(Settings!$B$4="Yes",$I689*$J689,$I689)</f>
        <v/>
      </c>
      <c r="L689" s="31">
        <f>IF($C689="","",IFERROR(IF(INDEX(Deals!$I$2:$I$355,MATCH($C689,Deals!$A$2:$A$355,0))=0,"",INDEX(Deals!$I$2:$I$355,MATCH($C689,Deals!$A$2:$A$355,0))),""))</f>
        <v/>
      </c>
      <c r="M689" s="31">
        <f>IF($C689="","",IFERROR(IF(INDEX(Deals!$J$2:$J$355,MATCH($C689,Deals!$A$2:$A$355,0))=0,"",INDEX(Deals!$J$2:$J$355,MATCH($C689,Deals!$A$2:$A$355,0))),""))</f>
        <v/>
      </c>
      <c r="N689" s="24">
        <f>IF($L689="",DATE(1900,1,1),$L689)</f>
        <v/>
      </c>
      <c r="O689" s="24">
        <f>IF($M689="",DATE(2100,12,31),$M689)</f>
        <v/>
      </c>
      <c r="P689" s="16" t="inlineStr"/>
      <c r="Q689" s="16" t="inlineStr"/>
      <c r="R689" s="29">
        <f>IF($C689="","",IFERROR(IF(INDEX(Deals!$U$2:$U$355,MATCH($C689,Deals!$A$2:$A$355,0))=0,"",INDEX(Deals!$U$2:$U$355,MATCH($C689,Deals!$A$2:$A$355,0))),""))</f>
        <v/>
      </c>
      <c r="S689" s="22">
        <f>IFERROR(IF($U689="",1,INDEX(Deals!$V$2:$V$355,MATCH($C689,Deals!$A$2:$A$355,0))),1)</f>
        <v/>
      </c>
      <c r="T689" s="22">
        <f>IFERROR(IF($U689="",1,INDEX(Deals!$W$2:$W$355,MATCH($C689,Deals!$A$2:$A$355,0))),1)</f>
        <v/>
      </c>
      <c r="U689" s="31">
        <f>IF($C689="","",IFERROR(IF(INDEX(Deals!$Y$2:$Y$355,MATCH($C689,Deals!$A$2:$A$355,0))=0,"",INDEX(Deals!$Y$2:$Y$355,MATCH($C689,Deals!$A$2:$A$355,0))),""))</f>
        <v/>
      </c>
      <c r="V689" s="24">
        <f>IF($U689="",DATE(1900,1,1),$N689)</f>
        <v/>
      </c>
      <c r="W689" s="24">
        <f>IF($U689="",DATE(2100,12,31),$U689)</f>
        <v/>
      </c>
      <c r="X689" s="20">
        <f>IF($U689="",$K689,$K689*$S689)</f>
        <v/>
      </c>
      <c r="Y689" s="24">
        <f>IF($U689="",DATE(2100,12,31),$U689+1)</f>
        <v/>
      </c>
      <c r="Z689" s="24">
        <f>IF($U689="",DATE(1900,1,1),$O689)</f>
        <v/>
      </c>
      <c r="AA689" s="20">
        <f>IF($U689="",0,$K689*$T689)</f>
        <v/>
      </c>
    </row>
    <row r="690">
      <c r="A690" s="27" t="n"/>
      <c r="B690" s="29">
        <f>IF($A690="","",IFERROR(INDEX(Roster!$B$2:$B$40,MATCH($A690,Roster!$A$2:$A$40,0)),"?"))</f>
        <v/>
      </c>
      <c r="C690" s="27" t="n"/>
      <c r="D690" s="29">
        <f>IF($C690="","",IFERROR(IF(INDEX(Deals!$C$2:$C$355,MATCH($C690,Deals!$A$2:$A$355,0))=0,"",INDEX(Deals!$C$2:$C$355,MATCH($C690,Deals!$A$2:$A$355,0))),"?"))</f>
        <v/>
      </c>
      <c r="E690" s="29">
        <f>IF($C690="","",IFERROR(INDEX(Deals!$F$2:$F$355,MATCH($C690,Deals!$A$2:$A$355,0)),"?"))</f>
        <v/>
      </c>
      <c r="F690" s="27" t="n"/>
      <c r="G690" s="27" t="n"/>
      <c r="H690" s="27" t="n"/>
      <c r="I690" s="20">
        <f>IF(OR($A690="",$G690&lt;&gt;"Active"),0,IF($H690&lt;&gt;"",$H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</f>
        <v/>
      </c>
      <c r="J690" s="23">
        <f>IF($C690="",0,IFERROR(INDEX(Deals!$H$2:$H$355,MATCH($C690,Deals!$A$2:$A$355,0)),0))</f>
        <v/>
      </c>
      <c r="K690" s="20">
        <f>IF(Settings!$B$4="Yes",$I690*$J690,$I690)</f>
        <v/>
      </c>
      <c r="L690" s="31">
        <f>IF($C690="","",IFERROR(IF(INDEX(Deals!$I$2:$I$355,MATCH($C690,Deals!$A$2:$A$355,0))=0,"",INDEX(Deals!$I$2:$I$355,MATCH($C690,Deals!$A$2:$A$355,0))),""))</f>
        <v/>
      </c>
      <c r="M690" s="31">
        <f>IF($C690="","",IFERROR(IF(INDEX(Deals!$J$2:$J$355,MATCH($C690,Deals!$A$2:$A$355,0))=0,"",INDEX(Deals!$J$2:$J$355,MATCH($C690,Deals!$A$2:$A$355,0))),""))</f>
        <v/>
      </c>
      <c r="N690" s="24">
        <f>IF($L690="",DATE(1900,1,1),$L690)</f>
        <v/>
      </c>
      <c r="O690" s="24">
        <f>IF($M690="",DATE(2100,12,31),$M690)</f>
        <v/>
      </c>
      <c r="P690" s="27" t="n"/>
      <c r="Q690" s="27" t="n"/>
      <c r="R690" s="29">
        <f>IF($C690="","",IFERROR(IF(INDEX(Deals!$U$2:$U$355,MATCH($C690,Deals!$A$2:$A$355,0))=0,"",INDEX(Deals!$U$2:$U$355,MATCH($C690,Deals!$A$2:$A$355,0))),""))</f>
        <v/>
      </c>
      <c r="S690" s="22">
        <f>IFERROR(IF($U690="",1,INDEX(Deals!$V$2:$V$355,MATCH($C690,Deals!$A$2:$A$355,0))),1)</f>
        <v/>
      </c>
      <c r="T690" s="22">
        <f>IFERROR(IF($U690="",1,INDEX(Deals!$W$2:$W$355,MATCH($C690,Deals!$A$2:$A$355,0))),1)</f>
        <v/>
      </c>
      <c r="U690" s="31">
        <f>IF($C690="","",IFERROR(IF(INDEX(Deals!$Y$2:$Y$355,MATCH($C690,Deals!$A$2:$A$355,0))=0,"",INDEX(Deals!$Y$2:$Y$355,MATCH($C690,Deals!$A$2:$A$355,0))),""))</f>
        <v/>
      </c>
      <c r="V690" s="24">
        <f>IF($U690="",DATE(1900,1,1),$N690)</f>
        <v/>
      </c>
      <c r="W690" s="24">
        <f>IF($U690="",DATE(2100,12,31),$U690)</f>
        <v/>
      </c>
      <c r="X690" s="20">
        <f>IF($U690="",$K690,$K690*$S690)</f>
        <v/>
      </c>
      <c r="Y690" s="24">
        <f>IF($U690="",DATE(2100,12,31),$U690+1)</f>
        <v/>
      </c>
      <c r="Z690" s="24">
        <f>IF($U690="",DATE(1900,1,1),$O690)</f>
        <v/>
      </c>
      <c r="AA690" s="20">
        <f>IF($U690="",0,$K690*$T690)</f>
        <v/>
      </c>
    </row>
    <row r="691">
      <c r="A691" s="27" t="n"/>
      <c r="B691" s="29">
        <f>IF($A691="","",IFERROR(INDEX(Roster!$B$2:$B$40,MATCH($A691,Roster!$A$2:$A$40,0)),"?"))</f>
        <v/>
      </c>
      <c r="C691" s="27" t="n"/>
      <c r="D691" s="29">
        <f>IF($C691="","",IFERROR(IF(INDEX(Deals!$C$2:$C$355,MATCH($C691,Deals!$A$2:$A$355,0))=0,"",INDEX(Deals!$C$2:$C$355,MATCH($C691,Deals!$A$2:$A$355,0))),"?"))</f>
        <v/>
      </c>
      <c r="E691" s="29">
        <f>IF($C691="","",IFERROR(INDEX(Deals!$F$2:$F$355,MATCH($C691,Deals!$A$2:$A$355,0)),"?"))</f>
        <v/>
      </c>
      <c r="F691" s="27" t="n"/>
      <c r="G691" s="27" t="n"/>
      <c r="H691" s="27" t="n"/>
      <c r="I691" s="20">
        <f>IF(OR($A691="",$G691&lt;&gt;"Active"),0,IF($H691&lt;&gt;"",$H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</f>
        <v/>
      </c>
      <c r="J691" s="23">
        <f>IF($C691="",0,IFERROR(INDEX(Deals!$H$2:$H$355,MATCH($C691,Deals!$A$2:$A$355,0)),0))</f>
        <v/>
      </c>
      <c r="K691" s="20">
        <f>IF(Settings!$B$4="Yes",$I691*$J691,$I691)</f>
        <v/>
      </c>
      <c r="L691" s="31">
        <f>IF($C691="","",IFERROR(IF(INDEX(Deals!$I$2:$I$355,MATCH($C691,Deals!$A$2:$A$355,0))=0,"",INDEX(Deals!$I$2:$I$355,MATCH($C691,Deals!$A$2:$A$355,0))),""))</f>
        <v/>
      </c>
      <c r="M691" s="31">
        <f>IF($C691="","",IFERROR(IF(INDEX(Deals!$J$2:$J$355,MATCH($C691,Deals!$A$2:$A$355,0))=0,"",INDEX(Deals!$J$2:$J$355,MATCH($C691,Deals!$A$2:$A$355,0))),""))</f>
        <v/>
      </c>
      <c r="N691" s="24">
        <f>IF($L691="",DATE(1900,1,1),$L691)</f>
        <v/>
      </c>
      <c r="O691" s="24">
        <f>IF($M691="",DATE(2100,12,31),$M691)</f>
        <v/>
      </c>
      <c r="P691" s="27" t="n"/>
      <c r="Q691" s="27" t="n"/>
      <c r="R691" s="29">
        <f>IF($C691="","",IFERROR(IF(INDEX(Deals!$U$2:$U$355,MATCH($C691,Deals!$A$2:$A$355,0))=0,"",INDEX(Deals!$U$2:$U$355,MATCH($C691,Deals!$A$2:$A$355,0))),""))</f>
        <v/>
      </c>
      <c r="S691" s="22">
        <f>IFERROR(IF($U691="",1,INDEX(Deals!$V$2:$V$355,MATCH($C691,Deals!$A$2:$A$355,0))),1)</f>
        <v/>
      </c>
      <c r="T691" s="22">
        <f>IFERROR(IF($U691="",1,INDEX(Deals!$W$2:$W$355,MATCH($C691,Deals!$A$2:$A$355,0))),1)</f>
        <v/>
      </c>
      <c r="U691" s="31">
        <f>IF($C691="","",IFERROR(IF(INDEX(Deals!$Y$2:$Y$355,MATCH($C691,Deals!$A$2:$A$355,0))=0,"",INDEX(Deals!$Y$2:$Y$355,MATCH($C691,Deals!$A$2:$A$355,0))),""))</f>
        <v/>
      </c>
      <c r="V691" s="24">
        <f>IF($U691="",DATE(1900,1,1),$N691)</f>
        <v/>
      </c>
      <c r="W691" s="24">
        <f>IF($U691="",DATE(2100,12,31),$U691)</f>
        <v/>
      </c>
      <c r="X691" s="20">
        <f>IF($U691="",$K691,$K691*$S691)</f>
        <v/>
      </c>
      <c r="Y691" s="24">
        <f>IF($U691="",DATE(2100,12,31),$U691+1)</f>
        <v/>
      </c>
      <c r="Z691" s="24">
        <f>IF($U691="",DATE(1900,1,1),$O691)</f>
        <v/>
      </c>
      <c r="AA691" s="20">
        <f>IF($U691="",0,$K691*$T691)</f>
        <v/>
      </c>
    </row>
    <row r="692">
      <c r="A692" s="27" t="n"/>
      <c r="B692" s="29">
        <f>IF($A692="","",IFERROR(INDEX(Roster!$B$2:$B$40,MATCH($A692,Roster!$A$2:$A$40,0)),"?"))</f>
        <v/>
      </c>
      <c r="C692" s="27" t="n"/>
      <c r="D692" s="29">
        <f>IF($C692="","",IFERROR(IF(INDEX(Deals!$C$2:$C$355,MATCH($C692,Deals!$A$2:$A$355,0))=0,"",INDEX(Deals!$C$2:$C$355,MATCH($C692,Deals!$A$2:$A$355,0))),"?"))</f>
        <v/>
      </c>
      <c r="E692" s="29">
        <f>IF($C692="","",IFERROR(INDEX(Deals!$F$2:$F$355,MATCH($C692,Deals!$A$2:$A$355,0)),"?"))</f>
        <v/>
      </c>
      <c r="F692" s="27" t="n"/>
      <c r="G692" s="27" t="n"/>
      <c r="H692" s="27" t="n"/>
      <c r="I692" s="20">
        <f>IF(OR($A692="",$G692&lt;&gt;"Active"),0,IF($H692&lt;&gt;"",$H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</f>
        <v/>
      </c>
      <c r="J692" s="23">
        <f>IF($C692="",0,IFERROR(INDEX(Deals!$H$2:$H$355,MATCH($C692,Deals!$A$2:$A$355,0)),0))</f>
        <v/>
      </c>
      <c r="K692" s="20">
        <f>IF(Settings!$B$4="Yes",$I692*$J692,$I692)</f>
        <v/>
      </c>
      <c r="L692" s="31">
        <f>IF($C692="","",IFERROR(IF(INDEX(Deals!$I$2:$I$355,MATCH($C692,Deals!$A$2:$A$355,0))=0,"",INDEX(Deals!$I$2:$I$355,MATCH($C692,Deals!$A$2:$A$355,0))),""))</f>
        <v/>
      </c>
      <c r="M692" s="31">
        <f>IF($C692="","",IFERROR(IF(INDEX(Deals!$J$2:$J$355,MATCH($C692,Deals!$A$2:$A$355,0))=0,"",INDEX(Deals!$J$2:$J$355,MATCH($C692,Deals!$A$2:$A$355,0))),""))</f>
        <v/>
      </c>
      <c r="N692" s="24">
        <f>IF($L692="",DATE(1900,1,1),$L692)</f>
        <v/>
      </c>
      <c r="O692" s="24">
        <f>IF($M692="",DATE(2100,12,31),$M692)</f>
        <v/>
      </c>
      <c r="P692" s="27" t="n"/>
      <c r="Q692" s="27" t="n"/>
      <c r="R692" s="29">
        <f>IF($C692="","",IFERROR(IF(INDEX(Deals!$U$2:$U$355,MATCH($C692,Deals!$A$2:$A$355,0))=0,"",INDEX(Deals!$U$2:$U$355,MATCH($C692,Deals!$A$2:$A$355,0))),""))</f>
        <v/>
      </c>
      <c r="S692" s="22">
        <f>IFERROR(IF($U692="",1,INDEX(Deals!$V$2:$V$355,MATCH($C692,Deals!$A$2:$A$355,0))),1)</f>
        <v/>
      </c>
      <c r="T692" s="22">
        <f>IFERROR(IF($U692="",1,INDEX(Deals!$W$2:$W$355,MATCH($C692,Deals!$A$2:$A$355,0))),1)</f>
        <v/>
      </c>
      <c r="U692" s="31">
        <f>IF($C692="","",IFERROR(IF(INDEX(Deals!$Y$2:$Y$355,MATCH($C692,Deals!$A$2:$A$355,0))=0,"",INDEX(Deals!$Y$2:$Y$355,MATCH($C692,Deals!$A$2:$A$355,0))),""))</f>
        <v/>
      </c>
      <c r="V692" s="24">
        <f>IF($U692="",DATE(1900,1,1),$N692)</f>
        <v/>
      </c>
      <c r="W692" s="24">
        <f>IF($U692="",DATE(2100,12,31),$U692)</f>
        <v/>
      </c>
      <c r="X692" s="20">
        <f>IF($U692="",$K692,$K692*$S692)</f>
        <v/>
      </c>
      <c r="Y692" s="24">
        <f>IF($U692="",DATE(2100,12,31),$U692+1)</f>
        <v/>
      </c>
      <c r="Z692" s="24">
        <f>IF($U692="",DATE(1900,1,1),$O692)</f>
        <v/>
      </c>
      <c r="AA692" s="20">
        <f>IF($U692="",0,$K692*$T692)</f>
        <v/>
      </c>
    </row>
    <row r="693">
      <c r="A693" s="27" t="n"/>
      <c r="B693" s="29">
        <f>IF($A693="","",IFERROR(INDEX(Roster!$B$2:$B$40,MATCH($A693,Roster!$A$2:$A$40,0)),"?"))</f>
        <v/>
      </c>
      <c r="C693" s="27" t="n"/>
      <c r="D693" s="29">
        <f>IF($C693="","",IFERROR(IF(INDEX(Deals!$C$2:$C$355,MATCH($C693,Deals!$A$2:$A$355,0))=0,"",INDEX(Deals!$C$2:$C$355,MATCH($C693,Deals!$A$2:$A$355,0))),"?"))</f>
        <v/>
      </c>
      <c r="E693" s="29">
        <f>IF($C693="","",IFERROR(INDEX(Deals!$F$2:$F$355,MATCH($C693,Deals!$A$2:$A$355,0)),"?"))</f>
        <v/>
      </c>
      <c r="F693" s="27" t="n"/>
      <c r="G693" s="27" t="n"/>
      <c r="H693" s="27" t="n"/>
      <c r="I693" s="20">
        <f>IF(OR($A693="",$G693&lt;&gt;"Active"),0,IF($H693&lt;&gt;"",$H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</f>
        <v/>
      </c>
      <c r="J693" s="23">
        <f>IF($C693="",0,IFERROR(INDEX(Deals!$H$2:$H$355,MATCH($C693,Deals!$A$2:$A$355,0)),0))</f>
        <v/>
      </c>
      <c r="K693" s="20">
        <f>IF(Settings!$B$4="Yes",$I693*$J693,$I693)</f>
        <v/>
      </c>
      <c r="L693" s="31">
        <f>IF($C693="","",IFERROR(IF(INDEX(Deals!$I$2:$I$355,MATCH($C693,Deals!$A$2:$A$355,0))=0,"",INDEX(Deals!$I$2:$I$355,MATCH($C693,Deals!$A$2:$A$355,0))),""))</f>
        <v/>
      </c>
      <c r="M693" s="31">
        <f>IF($C693="","",IFERROR(IF(INDEX(Deals!$J$2:$J$355,MATCH($C693,Deals!$A$2:$A$355,0))=0,"",INDEX(Deals!$J$2:$J$355,MATCH($C693,Deals!$A$2:$A$355,0))),""))</f>
        <v/>
      </c>
      <c r="N693" s="24">
        <f>IF($L693="",DATE(1900,1,1),$L693)</f>
        <v/>
      </c>
      <c r="O693" s="24">
        <f>IF($M693="",DATE(2100,12,31),$M693)</f>
        <v/>
      </c>
      <c r="P693" s="27" t="n"/>
      <c r="Q693" s="27" t="n"/>
      <c r="R693" s="29">
        <f>IF($C693="","",IFERROR(IF(INDEX(Deals!$U$2:$U$355,MATCH($C693,Deals!$A$2:$A$355,0))=0,"",INDEX(Deals!$U$2:$U$355,MATCH($C693,Deals!$A$2:$A$355,0))),""))</f>
        <v/>
      </c>
      <c r="S693" s="22">
        <f>IFERROR(IF($U693="",1,INDEX(Deals!$V$2:$V$355,MATCH($C693,Deals!$A$2:$A$355,0))),1)</f>
        <v/>
      </c>
      <c r="T693" s="22">
        <f>IFERROR(IF($U693="",1,INDEX(Deals!$W$2:$W$355,MATCH($C693,Deals!$A$2:$A$355,0))),1)</f>
        <v/>
      </c>
      <c r="U693" s="31">
        <f>IF($C693="","",IFERROR(IF(INDEX(Deals!$Y$2:$Y$355,MATCH($C693,Deals!$A$2:$A$355,0))=0,"",INDEX(Deals!$Y$2:$Y$355,MATCH($C693,Deals!$A$2:$A$355,0))),""))</f>
        <v/>
      </c>
      <c r="V693" s="24">
        <f>IF($U693="",DATE(1900,1,1),$N693)</f>
        <v/>
      </c>
      <c r="W693" s="24">
        <f>IF($U693="",DATE(2100,12,31),$U693)</f>
        <v/>
      </c>
      <c r="X693" s="20">
        <f>IF($U693="",$K693,$K693*$S693)</f>
        <v/>
      </c>
      <c r="Y693" s="24">
        <f>IF($U693="",DATE(2100,12,31),$U693+1)</f>
        <v/>
      </c>
      <c r="Z693" s="24">
        <f>IF($U693="",DATE(1900,1,1),$O693)</f>
        <v/>
      </c>
      <c r="AA693" s="20">
        <f>IF($U693="",0,$K693*$T693)</f>
        <v/>
      </c>
    </row>
    <row r="694">
      <c r="A694" s="27" t="n"/>
      <c r="B694" s="29">
        <f>IF($A694="","",IFERROR(INDEX(Roster!$B$2:$B$40,MATCH($A694,Roster!$A$2:$A$40,0)),"?"))</f>
        <v/>
      </c>
      <c r="C694" s="27" t="n"/>
      <c r="D694" s="29">
        <f>IF($C694="","",IFERROR(IF(INDEX(Deals!$C$2:$C$355,MATCH($C694,Deals!$A$2:$A$355,0))=0,"",INDEX(Deals!$C$2:$C$355,MATCH($C694,Deals!$A$2:$A$355,0))),"?"))</f>
        <v/>
      </c>
      <c r="E694" s="29">
        <f>IF($C694="","",IFERROR(INDEX(Deals!$F$2:$F$355,MATCH($C694,Deals!$A$2:$A$355,0)),"?"))</f>
        <v/>
      </c>
      <c r="F694" s="27" t="n"/>
      <c r="G694" s="27" t="n"/>
      <c r="H694" s="27" t="n"/>
      <c r="I694" s="20">
        <f>IF(OR($A694="",$G694&lt;&gt;"Active"),0,IF($H694&lt;&gt;"",$H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</f>
        <v/>
      </c>
      <c r="J694" s="23">
        <f>IF($C694="",0,IFERROR(INDEX(Deals!$H$2:$H$355,MATCH($C694,Deals!$A$2:$A$355,0)),0))</f>
        <v/>
      </c>
      <c r="K694" s="20">
        <f>IF(Settings!$B$4="Yes",$I694*$J694,$I694)</f>
        <v/>
      </c>
      <c r="L694" s="31">
        <f>IF($C694="","",IFERROR(IF(INDEX(Deals!$I$2:$I$355,MATCH($C694,Deals!$A$2:$A$355,0))=0,"",INDEX(Deals!$I$2:$I$355,MATCH($C694,Deals!$A$2:$A$355,0))),""))</f>
        <v/>
      </c>
      <c r="M694" s="31">
        <f>IF($C694="","",IFERROR(IF(INDEX(Deals!$J$2:$J$355,MATCH($C694,Deals!$A$2:$A$355,0))=0,"",INDEX(Deals!$J$2:$J$355,MATCH($C694,Deals!$A$2:$A$355,0))),""))</f>
        <v/>
      </c>
      <c r="N694" s="24">
        <f>IF($L694="",DATE(1900,1,1),$L694)</f>
        <v/>
      </c>
      <c r="O694" s="24">
        <f>IF($M694="",DATE(2100,12,31),$M694)</f>
        <v/>
      </c>
      <c r="P694" s="27" t="n"/>
      <c r="Q694" s="27" t="n"/>
      <c r="R694" s="29">
        <f>IF($C694="","",IFERROR(IF(INDEX(Deals!$U$2:$U$355,MATCH($C694,Deals!$A$2:$A$355,0))=0,"",INDEX(Deals!$U$2:$U$355,MATCH($C694,Deals!$A$2:$A$355,0))),""))</f>
        <v/>
      </c>
      <c r="S694" s="22">
        <f>IFERROR(IF($U694="",1,INDEX(Deals!$V$2:$V$355,MATCH($C694,Deals!$A$2:$A$355,0))),1)</f>
        <v/>
      </c>
      <c r="T694" s="22">
        <f>IFERROR(IF($U694="",1,INDEX(Deals!$W$2:$W$355,MATCH($C694,Deals!$A$2:$A$355,0))),1)</f>
        <v/>
      </c>
      <c r="U694" s="31">
        <f>IF($C694="","",IFERROR(IF(INDEX(Deals!$Y$2:$Y$355,MATCH($C694,Deals!$A$2:$A$355,0))=0,"",INDEX(Deals!$Y$2:$Y$355,MATCH($C694,Deals!$A$2:$A$355,0))),""))</f>
        <v/>
      </c>
      <c r="V694" s="24">
        <f>IF($U694="",DATE(1900,1,1),$N694)</f>
        <v/>
      </c>
      <c r="W694" s="24">
        <f>IF($U694="",DATE(2100,12,31),$U694)</f>
        <v/>
      </c>
      <c r="X694" s="20">
        <f>IF($U694="",$K694,$K694*$S694)</f>
        <v/>
      </c>
      <c r="Y694" s="24">
        <f>IF($U694="",DATE(2100,12,31),$U694+1)</f>
        <v/>
      </c>
      <c r="Z694" s="24">
        <f>IF($U694="",DATE(1900,1,1),$O694)</f>
        <v/>
      </c>
      <c r="AA694" s="20">
        <f>IF($U694="",0,$K694*$T694)</f>
        <v/>
      </c>
    </row>
    <row r="695">
      <c r="A695" s="27" t="n"/>
      <c r="B695" s="29">
        <f>IF($A695="","",IFERROR(INDEX(Roster!$B$2:$B$40,MATCH($A695,Roster!$A$2:$A$40,0)),"?"))</f>
        <v/>
      </c>
      <c r="C695" s="27" t="n"/>
      <c r="D695" s="29">
        <f>IF($C695="","",IFERROR(IF(INDEX(Deals!$C$2:$C$355,MATCH($C695,Deals!$A$2:$A$355,0))=0,"",INDEX(Deals!$C$2:$C$355,MATCH($C695,Deals!$A$2:$A$355,0))),"?"))</f>
        <v/>
      </c>
      <c r="E695" s="29">
        <f>IF($C695="","",IFERROR(INDEX(Deals!$F$2:$F$355,MATCH($C695,Deals!$A$2:$A$355,0)),"?"))</f>
        <v/>
      </c>
      <c r="F695" s="27" t="n"/>
      <c r="G695" s="27" t="n"/>
      <c r="H695" s="27" t="n"/>
      <c r="I695" s="20">
        <f>IF(OR($A695="",$G695&lt;&gt;"Active"),0,IF($H695&lt;&gt;"",$H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</f>
        <v/>
      </c>
      <c r="J695" s="23">
        <f>IF($C695="",0,IFERROR(INDEX(Deals!$H$2:$H$355,MATCH($C695,Deals!$A$2:$A$355,0)),0))</f>
        <v/>
      </c>
      <c r="K695" s="20">
        <f>IF(Settings!$B$4="Yes",$I695*$J695,$I695)</f>
        <v/>
      </c>
      <c r="L695" s="31">
        <f>IF($C695="","",IFERROR(IF(INDEX(Deals!$I$2:$I$355,MATCH($C695,Deals!$A$2:$A$355,0))=0,"",INDEX(Deals!$I$2:$I$355,MATCH($C695,Deals!$A$2:$A$355,0))),""))</f>
        <v/>
      </c>
      <c r="M695" s="31">
        <f>IF($C695="","",IFERROR(IF(INDEX(Deals!$J$2:$J$355,MATCH($C695,Deals!$A$2:$A$355,0))=0,"",INDEX(Deals!$J$2:$J$355,MATCH($C695,Deals!$A$2:$A$355,0))),""))</f>
        <v/>
      </c>
      <c r="N695" s="24">
        <f>IF($L695="",DATE(1900,1,1),$L695)</f>
        <v/>
      </c>
      <c r="O695" s="24">
        <f>IF($M695="",DATE(2100,12,31),$M695)</f>
        <v/>
      </c>
      <c r="P695" s="27" t="n"/>
      <c r="Q695" s="27" t="n"/>
      <c r="R695" s="29">
        <f>IF($C695="","",IFERROR(IF(INDEX(Deals!$U$2:$U$355,MATCH($C695,Deals!$A$2:$A$355,0))=0,"",INDEX(Deals!$U$2:$U$355,MATCH($C695,Deals!$A$2:$A$355,0))),""))</f>
        <v/>
      </c>
      <c r="S695" s="22">
        <f>IFERROR(IF($U695="",1,INDEX(Deals!$V$2:$V$355,MATCH($C695,Deals!$A$2:$A$355,0))),1)</f>
        <v/>
      </c>
      <c r="T695" s="22">
        <f>IFERROR(IF($U695="",1,INDEX(Deals!$W$2:$W$355,MATCH($C695,Deals!$A$2:$A$355,0))),1)</f>
        <v/>
      </c>
      <c r="U695" s="31">
        <f>IF($C695="","",IFERROR(IF(INDEX(Deals!$Y$2:$Y$355,MATCH($C695,Deals!$A$2:$A$355,0))=0,"",INDEX(Deals!$Y$2:$Y$355,MATCH($C695,Deals!$A$2:$A$355,0))),""))</f>
        <v/>
      </c>
      <c r="V695" s="24">
        <f>IF($U695="",DATE(1900,1,1),$N695)</f>
        <v/>
      </c>
      <c r="W695" s="24">
        <f>IF($U695="",DATE(2100,12,31),$U695)</f>
        <v/>
      </c>
      <c r="X695" s="20">
        <f>IF($U695="",$K695,$K695*$S695)</f>
        <v/>
      </c>
      <c r="Y695" s="24">
        <f>IF($U695="",DATE(2100,12,31),$U695+1)</f>
        <v/>
      </c>
      <c r="Z695" s="24">
        <f>IF($U695="",DATE(1900,1,1),$O695)</f>
        <v/>
      </c>
      <c r="AA695" s="20">
        <f>IF($U695="",0,$K695*$T695)</f>
        <v/>
      </c>
    </row>
    <row r="696">
      <c r="A696" s="27" t="n"/>
      <c r="B696" s="29">
        <f>IF($A696="","",IFERROR(INDEX(Roster!$B$2:$B$40,MATCH($A696,Roster!$A$2:$A$40,0)),"?"))</f>
        <v/>
      </c>
      <c r="C696" s="27" t="n"/>
      <c r="D696" s="29">
        <f>IF($C696="","",IFERROR(IF(INDEX(Deals!$C$2:$C$355,MATCH($C696,Deals!$A$2:$A$355,0))=0,"",INDEX(Deals!$C$2:$C$355,MATCH($C696,Deals!$A$2:$A$355,0))),"?"))</f>
        <v/>
      </c>
      <c r="E696" s="29">
        <f>IF($C696="","",IFERROR(INDEX(Deals!$F$2:$F$355,MATCH($C696,Deals!$A$2:$A$355,0)),"?"))</f>
        <v/>
      </c>
      <c r="F696" s="27" t="n"/>
      <c r="G696" s="27" t="n"/>
      <c r="H696" s="27" t="n"/>
      <c r="I696" s="20">
        <f>IF(OR($A696="",$G696&lt;&gt;"Active"),0,IF($H696&lt;&gt;"",$H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</f>
        <v/>
      </c>
      <c r="J696" s="23">
        <f>IF($C696="",0,IFERROR(INDEX(Deals!$H$2:$H$355,MATCH($C696,Deals!$A$2:$A$355,0)),0))</f>
        <v/>
      </c>
      <c r="K696" s="20">
        <f>IF(Settings!$B$4="Yes",$I696*$J696,$I696)</f>
        <v/>
      </c>
      <c r="L696" s="31">
        <f>IF($C696="","",IFERROR(IF(INDEX(Deals!$I$2:$I$355,MATCH($C696,Deals!$A$2:$A$355,0))=0,"",INDEX(Deals!$I$2:$I$355,MATCH($C696,Deals!$A$2:$A$355,0))),""))</f>
        <v/>
      </c>
      <c r="M696" s="31">
        <f>IF($C696="","",IFERROR(IF(INDEX(Deals!$J$2:$J$355,MATCH($C696,Deals!$A$2:$A$355,0))=0,"",INDEX(Deals!$J$2:$J$355,MATCH($C696,Deals!$A$2:$A$355,0))),""))</f>
        <v/>
      </c>
      <c r="N696" s="24">
        <f>IF($L696="",DATE(1900,1,1),$L696)</f>
        <v/>
      </c>
      <c r="O696" s="24">
        <f>IF($M696="",DATE(2100,12,31),$M696)</f>
        <v/>
      </c>
      <c r="P696" s="27" t="n"/>
      <c r="Q696" s="27" t="n"/>
      <c r="R696" s="29">
        <f>IF($C696="","",IFERROR(IF(INDEX(Deals!$U$2:$U$355,MATCH($C696,Deals!$A$2:$A$355,0))=0,"",INDEX(Deals!$U$2:$U$355,MATCH($C696,Deals!$A$2:$A$355,0))),""))</f>
        <v/>
      </c>
      <c r="S696" s="22">
        <f>IFERROR(IF($U696="",1,INDEX(Deals!$V$2:$V$355,MATCH($C696,Deals!$A$2:$A$355,0))),1)</f>
        <v/>
      </c>
      <c r="T696" s="22">
        <f>IFERROR(IF($U696="",1,INDEX(Deals!$W$2:$W$355,MATCH($C696,Deals!$A$2:$A$355,0))),1)</f>
        <v/>
      </c>
      <c r="U696" s="31">
        <f>IF($C696="","",IFERROR(IF(INDEX(Deals!$Y$2:$Y$355,MATCH($C696,Deals!$A$2:$A$355,0))=0,"",INDEX(Deals!$Y$2:$Y$355,MATCH($C696,Deals!$A$2:$A$355,0))),""))</f>
        <v/>
      </c>
      <c r="V696" s="24">
        <f>IF($U696="",DATE(1900,1,1),$N696)</f>
        <v/>
      </c>
      <c r="W696" s="24">
        <f>IF($U696="",DATE(2100,12,31),$U696)</f>
        <v/>
      </c>
      <c r="X696" s="20">
        <f>IF($U696="",$K696,$K696*$S696)</f>
        <v/>
      </c>
      <c r="Y696" s="24">
        <f>IF($U696="",DATE(2100,12,31),$U696+1)</f>
        <v/>
      </c>
      <c r="Z696" s="24">
        <f>IF($U696="",DATE(1900,1,1),$O696)</f>
        <v/>
      </c>
      <c r="AA696" s="20">
        <f>IF($U696="",0,$K696*$T696)</f>
        <v/>
      </c>
    </row>
    <row r="697">
      <c r="A697" s="27" t="n"/>
      <c r="B697" s="29">
        <f>IF($A697="","",IFERROR(INDEX(Roster!$B$2:$B$40,MATCH($A697,Roster!$A$2:$A$40,0)),"?"))</f>
        <v/>
      </c>
      <c r="C697" s="27" t="n"/>
      <c r="D697" s="29">
        <f>IF($C697="","",IFERROR(IF(INDEX(Deals!$C$2:$C$355,MATCH($C697,Deals!$A$2:$A$355,0))=0,"",INDEX(Deals!$C$2:$C$355,MATCH($C697,Deals!$A$2:$A$355,0))),"?"))</f>
        <v/>
      </c>
      <c r="E697" s="29">
        <f>IF($C697="","",IFERROR(INDEX(Deals!$F$2:$F$355,MATCH($C697,Deals!$A$2:$A$355,0)),"?"))</f>
        <v/>
      </c>
      <c r="F697" s="27" t="n"/>
      <c r="G697" s="27" t="n"/>
      <c r="H697" s="27" t="n"/>
      <c r="I697" s="20">
        <f>IF(OR($A697="",$G697&lt;&gt;"Active"),0,IF($H697&lt;&gt;"",$H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</f>
        <v/>
      </c>
      <c r="J697" s="23">
        <f>IF($C697="",0,IFERROR(INDEX(Deals!$H$2:$H$355,MATCH($C697,Deals!$A$2:$A$355,0)),0))</f>
        <v/>
      </c>
      <c r="K697" s="20">
        <f>IF(Settings!$B$4="Yes",$I697*$J697,$I697)</f>
        <v/>
      </c>
      <c r="L697" s="31">
        <f>IF($C697="","",IFERROR(IF(INDEX(Deals!$I$2:$I$355,MATCH($C697,Deals!$A$2:$A$355,0))=0,"",INDEX(Deals!$I$2:$I$355,MATCH($C697,Deals!$A$2:$A$355,0))),""))</f>
        <v/>
      </c>
      <c r="M697" s="31">
        <f>IF($C697="","",IFERROR(IF(INDEX(Deals!$J$2:$J$355,MATCH($C697,Deals!$A$2:$A$355,0))=0,"",INDEX(Deals!$J$2:$J$355,MATCH($C697,Deals!$A$2:$A$355,0))),""))</f>
        <v/>
      </c>
      <c r="N697" s="24">
        <f>IF($L697="",DATE(1900,1,1),$L697)</f>
        <v/>
      </c>
      <c r="O697" s="24">
        <f>IF($M697="",DATE(2100,12,31),$M697)</f>
        <v/>
      </c>
      <c r="P697" s="27" t="n"/>
      <c r="Q697" s="27" t="n"/>
      <c r="R697" s="29">
        <f>IF($C697="","",IFERROR(IF(INDEX(Deals!$U$2:$U$355,MATCH($C697,Deals!$A$2:$A$355,0))=0,"",INDEX(Deals!$U$2:$U$355,MATCH($C697,Deals!$A$2:$A$355,0))),""))</f>
        <v/>
      </c>
      <c r="S697" s="22">
        <f>IFERROR(IF($U697="",1,INDEX(Deals!$V$2:$V$355,MATCH($C697,Deals!$A$2:$A$355,0))),1)</f>
        <v/>
      </c>
      <c r="T697" s="22">
        <f>IFERROR(IF($U697="",1,INDEX(Deals!$W$2:$W$355,MATCH($C697,Deals!$A$2:$A$355,0))),1)</f>
        <v/>
      </c>
      <c r="U697" s="31">
        <f>IF($C697="","",IFERROR(IF(INDEX(Deals!$Y$2:$Y$355,MATCH($C697,Deals!$A$2:$A$355,0))=0,"",INDEX(Deals!$Y$2:$Y$355,MATCH($C697,Deals!$A$2:$A$355,0))),""))</f>
        <v/>
      </c>
      <c r="V697" s="24">
        <f>IF($U697="",DATE(1900,1,1),$N697)</f>
        <v/>
      </c>
      <c r="W697" s="24">
        <f>IF($U697="",DATE(2100,12,31),$U697)</f>
        <v/>
      </c>
      <c r="X697" s="20">
        <f>IF($U697="",$K697,$K697*$S697)</f>
        <v/>
      </c>
      <c r="Y697" s="24">
        <f>IF($U697="",DATE(2100,12,31),$U697+1)</f>
        <v/>
      </c>
      <c r="Z697" s="24">
        <f>IF($U697="",DATE(1900,1,1),$O697)</f>
        <v/>
      </c>
      <c r="AA697" s="20">
        <f>IF($U697="",0,$K697*$T697)</f>
        <v/>
      </c>
    </row>
    <row r="698">
      <c r="A698" s="27" t="n"/>
      <c r="B698" s="29">
        <f>IF($A698="","",IFERROR(INDEX(Roster!$B$2:$B$40,MATCH($A698,Roster!$A$2:$A$40,0)),"?"))</f>
        <v/>
      </c>
      <c r="C698" s="27" t="n"/>
      <c r="D698" s="29">
        <f>IF($C698="","",IFERROR(IF(INDEX(Deals!$C$2:$C$355,MATCH($C698,Deals!$A$2:$A$355,0))=0,"",INDEX(Deals!$C$2:$C$355,MATCH($C698,Deals!$A$2:$A$355,0))),"?"))</f>
        <v/>
      </c>
      <c r="E698" s="29">
        <f>IF($C698="","",IFERROR(INDEX(Deals!$F$2:$F$355,MATCH($C698,Deals!$A$2:$A$355,0)),"?"))</f>
        <v/>
      </c>
      <c r="F698" s="27" t="n"/>
      <c r="G698" s="27" t="n"/>
      <c r="H698" s="27" t="n"/>
      <c r="I698" s="20">
        <f>IF(OR($A698="",$G698&lt;&gt;"Active"),0,IF($H698&lt;&gt;"",$H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</f>
        <v/>
      </c>
      <c r="J698" s="23">
        <f>IF($C698="",0,IFERROR(INDEX(Deals!$H$2:$H$355,MATCH($C698,Deals!$A$2:$A$355,0)),0))</f>
        <v/>
      </c>
      <c r="K698" s="20">
        <f>IF(Settings!$B$4="Yes",$I698*$J698,$I698)</f>
        <v/>
      </c>
      <c r="L698" s="31">
        <f>IF($C698="","",IFERROR(IF(INDEX(Deals!$I$2:$I$355,MATCH($C698,Deals!$A$2:$A$355,0))=0,"",INDEX(Deals!$I$2:$I$355,MATCH($C698,Deals!$A$2:$A$355,0))),""))</f>
        <v/>
      </c>
      <c r="M698" s="31">
        <f>IF($C698="","",IFERROR(IF(INDEX(Deals!$J$2:$J$355,MATCH($C698,Deals!$A$2:$A$355,0))=0,"",INDEX(Deals!$J$2:$J$355,MATCH($C698,Deals!$A$2:$A$355,0))),""))</f>
        <v/>
      </c>
      <c r="N698" s="24">
        <f>IF($L698="",DATE(1900,1,1),$L698)</f>
        <v/>
      </c>
      <c r="O698" s="24">
        <f>IF($M698="",DATE(2100,12,31),$M698)</f>
        <v/>
      </c>
      <c r="P698" s="27" t="n"/>
      <c r="Q698" s="27" t="n"/>
      <c r="R698" s="29">
        <f>IF($C698="","",IFERROR(IF(INDEX(Deals!$U$2:$U$355,MATCH($C698,Deals!$A$2:$A$355,0))=0,"",INDEX(Deals!$U$2:$U$355,MATCH($C698,Deals!$A$2:$A$355,0))),""))</f>
        <v/>
      </c>
      <c r="S698" s="22">
        <f>IFERROR(IF($U698="",1,INDEX(Deals!$V$2:$V$355,MATCH($C698,Deals!$A$2:$A$355,0))),1)</f>
        <v/>
      </c>
      <c r="T698" s="22">
        <f>IFERROR(IF($U698="",1,INDEX(Deals!$W$2:$W$355,MATCH($C698,Deals!$A$2:$A$355,0))),1)</f>
        <v/>
      </c>
      <c r="U698" s="31">
        <f>IF($C698="","",IFERROR(IF(INDEX(Deals!$Y$2:$Y$355,MATCH($C698,Deals!$A$2:$A$355,0))=0,"",INDEX(Deals!$Y$2:$Y$355,MATCH($C698,Deals!$A$2:$A$355,0))),""))</f>
        <v/>
      </c>
      <c r="V698" s="24">
        <f>IF($U698="",DATE(1900,1,1),$N698)</f>
        <v/>
      </c>
      <c r="W698" s="24">
        <f>IF($U698="",DATE(2100,12,31),$U698)</f>
        <v/>
      </c>
      <c r="X698" s="20">
        <f>IF($U698="",$K698,$K698*$S698)</f>
        <v/>
      </c>
      <c r="Y698" s="24">
        <f>IF($U698="",DATE(2100,12,31),$U698+1)</f>
        <v/>
      </c>
      <c r="Z698" s="24">
        <f>IF($U698="",DATE(1900,1,1),$O698)</f>
        <v/>
      </c>
      <c r="AA698" s="20">
        <f>IF($U698="",0,$K698*$T698)</f>
        <v/>
      </c>
    </row>
    <row r="699">
      <c r="A699" s="27" t="n"/>
      <c r="B699" s="29">
        <f>IF($A699="","",IFERROR(INDEX(Roster!$B$2:$B$40,MATCH($A699,Roster!$A$2:$A$40,0)),"?"))</f>
        <v/>
      </c>
      <c r="C699" s="27" t="n"/>
      <c r="D699" s="29">
        <f>IF($C699="","",IFERROR(IF(INDEX(Deals!$C$2:$C$355,MATCH($C699,Deals!$A$2:$A$355,0))=0,"",INDEX(Deals!$C$2:$C$355,MATCH($C699,Deals!$A$2:$A$355,0))),"?"))</f>
        <v/>
      </c>
      <c r="E699" s="29">
        <f>IF($C699="","",IFERROR(INDEX(Deals!$F$2:$F$355,MATCH($C699,Deals!$A$2:$A$355,0)),"?"))</f>
        <v/>
      </c>
      <c r="F699" s="27" t="n"/>
      <c r="G699" s="27" t="n"/>
      <c r="H699" s="27" t="n"/>
      <c r="I699" s="20">
        <f>IF(OR($A699="",$G699&lt;&gt;"Active"),0,IF($H699&lt;&gt;"",$H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</f>
        <v/>
      </c>
      <c r="J699" s="23">
        <f>IF($C699="",0,IFERROR(INDEX(Deals!$H$2:$H$355,MATCH($C699,Deals!$A$2:$A$355,0)),0))</f>
        <v/>
      </c>
      <c r="K699" s="20">
        <f>IF(Settings!$B$4="Yes",$I699*$J699,$I699)</f>
        <v/>
      </c>
      <c r="L699" s="31">
        <f>IF($C699="","",IFERROR(IF(INDEX(Deals!$I$2:$I$355,MATCH($C699,Deals!$A$2:$A$355,0))=0,"",INDEX(Deals!$I$2:$I$355,MATCH($C699,Deals!$A$2:$A$355,0))),""))</f>
        <v/>
      </c>
      <c r="M699" s="31">
        <f>IF($C699="","",IFERROR(IF(INDEX(Deals!$J$2:$J$355,MATCH($C699,Deals!$A$2:$A$355,0))=0,"",INDEX(Deals!$J$2:$J$355,MATCH($C699,Deals!$A$2:$A$355,0))),""))</f>
        <v/>
      </c>
      <c r="N699" s="24">
        <f>IF($L699="",DATE(1900,1,1),$L699)</f>
        <v/>
      </c>
      <c r="O699" s="24">
        <f>IF($M699="",DATE(2100,12,31),$M699)</f>
        <v/>
      </c>
      <c r="P699" s="27" t="n"/>
      <c r="Q699" s="27" t="n"/>
      <c r="R699" s="29">
        <f>IF($C699="","",IFERROR(IF(INDEX(Deals!$U$2:$U$355,MATCH($C699,Deals!$A$2:$A$355,0))=0,"",INDEX(Deals!$U$2:$U$355,MATCH($C699,Deals!$A$2:$A$355,0))),""))</f>
        <v/>
      </c>
      <c r="S699" s="22">
        <f>IFERROR(IF($U699="",1,INDEX(Deals!$V$2:$V$355,MATCH($C699,Deals!$A$2:$A$355,0))),1)</f>
        <v/>
      </c>
      <c r="T699" s="22">
        <f>IFERROR(IF($U699="",1,INDEX(Deals!$W$2:$W$355,MATCH($C699,Deals!$A$2:$A$355,0))),1)</f>
        <v/>
      </c>
      <c r="U699" s="31">
        <f>IF($C699="","",IFERROR(IF(INDEX(Deals!$Y$2:$Y$355,MATCH($C699,Deals!$A$2:$A$355,0))=0,"",INDEX(Deals!$Y$2:$Y$355,MATCH($C699,Deals!$A$2:$A$355,0))),""))</f>
        <v/>
      </c>
      <c r="V699" s="24">
        <f>IF($U699="",DATE(1900,1,1),$N699)</f>
        <v/>
      </c>
      <c r="W699" s="24">
        <f>IF($U699="",DATE(2100,12,31),$U699)</f>
        <v/>
      </c>
      <c r="X699" s="20">
        <f>IF($U699="",$K699,$K699*$S699)</f>
        <v/>
      </c>
      <c r="Y699" s="24">
        <f>IF($U699="",DATE(2100,12,31),$U699+1)</f>
        <v/>
      </c>
      <c r="Z699" s="24">
        <f>IF($U699="",DATE(1900,1,1),$O699)</f>
        <v/>
      </c>
      <c r="AA699" s="20">
        <f>IF($U699="",0,$K699*$T699)</f>
        <v/>
      </c>
    </row>
    <row r="700">
      <c r="A700" s="27" t="n"/>
      <c r="B700" s="29">
        <f>IF($A700="","",IFERROR(INDEX(Roster!$B$2:$B$40,MATCH($A700,Roster!$A$2:$A$40,0)),"?"))</f>
        <v/>
      </c>
      <c r="C700" s="27" t="n"/>
      <c r="D700" s="29">
        <f>IF($C700="","",IFERROR(IF(INDEX(Deals!$C$2:$C$355,MATCH($C700,Deals!$A$2:$A$355,0))=0,"",INDEX(Deals!$C$2:$C$355,MATCH($C700,Deals!$A$2:$A$355,0))),"?"))</f>
        <v/>
      </c>
      <c r="E700" s="29">
        <f>IF($C700="","",IFERROR(INDEX(Deals!$F$2:$F$355,MATCH($C700,Deals!$A$2:$A$355,0)),"?"))</f>
        <v/>
      </c>
      <c r="F700" s="27" t="n"/>
      <c r="G700" s="27" t="n"/>
      <c r="H700" s="27" t="n"/>
      <c r="I700" s="20">
        <f>IF(OR($A700="",$G700&lt;&gt;"Active"),0,IF($H700&lt;&gt;"",$H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</f>
        <v/>
      </c>
      <c r="J700" s="23">
        <f>IF($C700="",0,IFERROR(INDEX(Deals!$H$2:$H$355,MATCH($C700,Deals!$A$2:$A$355,0)),0))</f>
        <v/>
      </c>
      <c r="K700" s="20">
        <f>IF(Settings!$B$4="Yes",$I700*$J700,$I700)</f>
        <v/>
      </c>
      <c r="L700" s="31">
        <f>IF($C700="","",IFERROR(IF(INDEX(Deals!$I$2:$I$355,MATCH($C700,Deals!$A$2:$A$355,0))=0,"",INDEX(Deals!$I$2:$I$355,MATCH($C700,Deals!$A$2:$A$355,0))),""))</f>
        <v/>
      </c>
      <c r="M700" s="31">
        <f>IF($C700="","",IFERROR(IF(INDEX(Deals!$J$2:$J$355,MATCH($C700,Deals!$A$2:$A$355,0))=0,"",INDEX(Deals!$J$2:$J$355,MATCH($C700,Deals!$A$2:$A$355,0))),""))</f>
        <v/>
      </c>
      <c r="N700" s="24">
        <f>IF($L700="",DATE(1900,1,1),$L700)</f>
        <v/>
      </c>
      <c r="O700" s="24">
        <f>IF($M700="",DATE(2100,12,31),$M700)</f>
        <v/>
      </c>
      <c r="P700" s="27" t="n"/>
      <c r="Q700" s="27" t="n"/>
      <c r="R700" s="29">
        <f>IF($C700="","",IFERROR(IF(INDEX(Deals!$U$2:$U$355,MATCH($C700,Deals!$A$2:$A$355,0))=0,"",INDEX(Deals!$U$2:$U$355,MATCH($C700,Deals!$A$2:$A$355,0))),""))</f>
        <v/>
      </c>
      <c r="S700" s="22">
        <f>IFERROR(IF($U700="",1,INDEX(Deals!$V$2:$V$355,MATCH($C700,Deals!$A$2:$A$355,0))),1)</f>
        <v/>
      </c>
      <c r="T700" s="22">
        <f>IFERROR(IF($U700="",1,INDEX(Deals!$W$2:$W$355,MATCH($C700,Deals!$A$2:$A$355,0))),1)</f>
        <v/>
      </c>
      <c r="U700" s="31">
        <f>IF($C700="","",IFERROR(IF(INDEX(Deals!$Y$2:$Y$355,MATCH($C700,Deals!$A$2:$A$355,0))=0,"",INDEX(Deals!$Y$2:$Y$355,MATCH($C700,Deals!$A$2:$A$355,0))),""))</f>
        <v/>
      </c>
      <c r="V700" s="24">
        <f>IF($U700="",DATE(1900,1,1),$N700)</f>
        <v/>
      </c>
      <c r="W700" s="24">
        <f>IF($U700="",DATE(2100,12,31),$U700)</f>
        <v/>
      </c>
      <c r="X700" s="20">
        <f>IF($U700="",$K700,$K700*$S700)</f>
        <v/>
      </c>
      <c r="Y700" s="24">
        <f>IF($U700="",DATE(2100,12,31),$U700+1)</f>
        <v/>
      </c>
      <c r="Z700" s="24">
        <f>IF($U700="",DATE(1900,1,1),$O700)</f>
        <v/>
      </c>
      <c r="AA700" s="20">
        <f>IF($U700="",0,$K700*$T700)</f>
        <v/>
      </c>
    </row>
    <row r="701">
      <c r="A701" s="27" t="n"/>
      <c r="B701" s="29">
        <f>IF($A701="","",IFERROR(INDEX(Roster!$B$2:$B$40,MATCH($A701,Roster!$A$2:$A$40,0)),"?"))</f>
        <v/>
      </c>
      <c r="C701" s="27" t="n"/>
      <c r="D701" s="29">
        <f>IF($C701="","",IFERROR(IF(INDEX(Deals!$C$2:$C$355,MATCH($C701,Deals!$A$2:$A$355,0))=0,"",INDEX(Deals!$C$2:$C$355,MATCH($C701,Deals!$A$2:$A$355,0))),"?"))</f>
        <v/>
      </c>
      <c r="E701" s="29">
        <f>IF($C701="","",IFERROR(INDEX(Deals!$F$2:$F$355,MATCH($C701,Deals!$A$2:$A$355,0)),"?"))</f>
        <v/>
      </c>
      <c r="F701" s="27" t="n"/>
      <c r="G701" s="27" t="n"/>
      <c r="H701" s="27" t="n"/>
      <c r="I701" s="20">
        <f>IF(OR($A701="",$G701&lt;&gt;"Active"),0,IF($H701&lt;&gt;"",$H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</f>
        <v/>
      </c>
      <c r="J701" s="23">
        <f>IF($C701="",0,IFERROR(INDEX(Deals!$H$2:$H$355,MATCH($C701,Deals!$A$2:$A$355,0)),0))</f>
        <v/>
      </c>
      <c r="K701" s="20">
        <f>IF(Settings!$B$4="Yes",$I701*$J701,$I701)</f>
        <v/>
      </c>
      <c r="L701" s="31">
        <f>IF($C701="","",IFERROR(IF(INDEX(Deals!$I$2:$I$355,MATCH($C701,Deals!$A$2:$A$355,0))=0,"",INDEX(Deals!$I$2:$I$355,MATCH($C701,Deals!$A$2:$A$355,0))),""))</f>
        <v/>
      </c>
      <c r="M701" s="31">
        <f>IF($C701="","",IFERROR(IF(INDEX(Deals!$J$2:$J$355,MATCH($C701,Deals!$A$2:$A$355,0))=0,"",INDEX(Deals!$J$2:$J$355,MATCH($C701,Deals!$A$2:$A$355,0))),""))</f>
        <v/>
      </c>
      <c r="N701" s="24">
        <f>IF($L701="",DATE(1900,1,1),$L701)</f>
        <v/>
      </c>
      <c r="O701" s="24">
        <f>IF($M701="",DATE(2100,12,31),$M701)</f>
        <v/>
      </c>
      <c r="P701" s="27" t="n"/>
      <c r="Q701" s="27" t="n"/>
      <c r="R701" s="29">
        <f>IF($C701="","",IFERROR(IF(INDEX(Deals!$U$2:$U$355,MATCH($C701,Deals!$A$2:$A$355,0))=0,"",INDEX(Deals!$U$2:$U$355,MATCH($C701,Deals!$A$2:$A$355,0))),""))</f>
        <v/>
      </c>
      <c r="S701" s="22">
        <f>IFERROR(IF($U701="",1,INDEX(Deals!$V$2:$V$355,MATCH($C701,Deals!$A$2:$A$355,0))),1)</f>
        <v/>
      </c>
      <c r="T701" s="22">
        <f>IFERROR(IF($U701="",1,INDEX(Deals!$W$2:$W$355,MATCH($C701,Deals!$A$2:$A$355,0))),1)</f>
        <v/>
      </c>
      <c r="U701" s="31">
        <f>IF($C701="","",IFERROR(IF(INDEX(Deals!$Y$2:$Y$355,MATCH($C701,Deals!$A$2:$A$355,0))=0,"",INDEX(Deals!$Y$2:$Y$355,MATCH($C701,Deals!$A$2:$A$355,0))),""))</f>
        <v/>
      </c>
      <c r="V701" s="24">
        <f>IF($U701="",DATE(1900,1,1),$N701)</f>
        <v/>
      </c>
      <c r="W701" s="24">
        <f>IF($U701="",DATE(2100,12,31),$U701)</f>
        <v/>
      </c>
      <c r="X701" s="20">
        <f>IF($U701="",$K701,$K701*$S701)</f>
        <v/>
      </c>
      <c r="Y701" s="24">
        <f>IF($U701="",DATE(2100,12,31),$U701+1)</f>
        <v/>
      </c>
      <c r="Z701" s="24">
        <f>IF($U701="",DATE(1900,1,1),$O701)</f>
        <v/>
      </c>
      <c r="AA701" s="20">
        <f>IF($U701="",0,$K701*$T701)</f>
        <v/>
      </c>
    </row>
    <row r="702">
      <c r="A702" s="27" t="n"/>
      <c r="B702" s="29">
        <f>IF($A702="","",IFERROR(INDEX(Roster!$B$2:$B$40,MATCH($A702,Roster!$A$2:$A$40,0)),"?"))</f>
        <v/>
      </c>
      <c r="C702" s="27" t="n"/>
      <c r="D702" s="29">
        <f>IF($C702="","",IFERROR(IF(INDEX(Deals!$C$2:$C$355,MATCH($C702,Deals!$A$2:$A$355,0))=0,"",INDEX(Deals!$C$2:$C$355,MATCH($C702,Deals!$A$2:$A$355,0))),"?"))</f>
        <v/>
      </c>
      <c r="E702" s="29">
        <f>IF($C702="","",IFERROR(INDEX(Deals!$F$2:$F$355,MATCH($C702,Deals!$A$2:$A$355,0)),"?"))</f>
        <v/>
      </c>
      <c r="F702" s="27" t="n"/>
      <c r="G702" s="27" t="n"/>
      <c r="H702" s="27" t="n"/>
      <c r="I702" s="20">
        <f>IF(OR($A702="",$G702&lt;&gt;"Active"),0,IF($H702&lt;&gt;"",$H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</f>
        <v/>
      </c>
      <c r="J702" s="23">
        <f>IF($C702="",0,IFERROR(INDEX(Deals!$H$2:$H$355,MATCH($C702,Deals!$A$2:$A$355,0)),0))</f>
        <v/>
      </c>
      <c r="K702" s="20">
        <f>IF(Settings!$B$4="Yes",$I702*$J702,$I702)</f>
        <v/>
      </c>
      <c r="L702" s="31">
        <f>IF($C702="","",IFERROR(IF(INDEX(Deals!$I$2:$I$355,MATCH($C702,Deals!$A$2:$A$355,0))=0,"",INDEX(Deals!$I$2:$I$355,MATCH($C702,Deals!$A$2:$A$355,0))),""))</f>
        <v/>
      </c>
      <c r="M702" s="31">
        <f>IF($C702="","",IFERROR(IF(INDEX(Deals!$J$2:$J$355,MATCH($C702,Deals!$A$2:$A$355,0))=0,"",INDEX(Deals!$J$2:$J$355,MATCH($C702,Deals!$A$2:$A$355,0))),""))</f>
        <v/>
      </c>
      <c r="N702" s="24">
        <f>IF($L702="",DATE(1900,1,1),$L702)</f>
        <v/>
      </c>
      <c r="O702" s="24">
        <f>IF($M702="",DATE(2100,12,31),$M702)</f>
        <v/>
      </c>
      <c r="P702" s="27" t="n"/>
      <c r="Q702" s="27" t="n"/>
      <c r="R702" s="29">
        <f>IF($C702="","",IFERROR(IF(INDEX(Deals!$U$2:$U$355,MATCH($C702,Deals!$A$2:$A$355,0))=0,"",INDEX(Deals!$U$2:$U$355,MATCH($C702,Deals!$A$2:$A$355,0))),""))</f>
        <v/>
      </c>
      <c r="S702" s="22">
        <f>IFERROR(IF($U702="",1,INDEX(Deals!$V$2:$V$355,MATCH($C702,Deals!$A$2:$A$355,0))),1)</f>
        <v/>
      </c>
      <c r="T702" s="22">
        <f>IFERROR(IF($U702="",1,INDEX(Deals!$W$2:$W$355,MATCH($C702,Deals!$A$2:$A$355,0))),1)</f>
        <v/>
      </c>
      <c r="U702" s="31">
        <f>IF($C702="","",IFERROR(IF(INDEX(Deals!$Y$2:$Y$355,MATCH($C702,Deals!$A$2:$A$355,0))=0,"",INDEX(Deals!$Y$2:$Y$355,MATCH($C702,Deals!$A$2:$A$355,0))),""))</f>
        <v/>
      </c>
      <c r="V702" s="24">
        <f>IF($U702="",DATE(1900,1,1),$N702)</f>
        <v/>
      </c>
      <c r="W702" s="24">
        <f>IF($U702="",DATE(2100,12,31),$U702)</f>
        <v/>
      </c>
      <c r="X702" s="20">
        <f>IF($U702="",$K702,$K702*$S702)</f>
        <v/>
      </c>
      <c r="Y702" s="24">
        <f>IF($U702="",DATE(2100,12,31),$U702+1)</f>
        <v/>
      </c>
      <c r="Z702" s="24">
        <f>IF($U702="",DATE(1900,1,1),$O702)</f>
        <v/>
      </c>
      <c r="AA702" s="20">
        <f>IF($U702="",0,$K702*$T702)</f>
        <v/>
      </c>
    </row>
    <row r="703">
      <c r="A703" s="27" t="n"/>
      <c r="B703" s="29">
        <f>IF($A703="","",IFERROR(INDEX(Roster!$B$2:$B$40,MATCH($A703,Roster!$A$2:$A$40,0)),"?"))</f>
        <v/>
      </c>
      <c r="C703" s="27" t="n"/>
      <c r="D703" s="29">
        <f>IF($C703="","",IFERROR(IF(INDEX(Deals!$C$2:$C$355,MATCH($C703,Deals!$A$2:$A$355,0))=0,"",INDEX(Deals!$C$2:$C$355,MATCH($C703,Deals!$A$2:$A$355,0))),"?"))</f>
        <v/>
      </c>
      <c r="E703" s="29">
        <f>IF($C703="","",IFERROR(INDEX(Deals!$F$2:$F$355,MATCH($C703,Deals!$A$2:$A$355,0)),"?"))</f>
        <v/>
      </c>
      <c r="F703" s="27" t="n"/>
      <c r="G703" s="27" t="n"/>
      <c r="H703" s="27" t="n"/>
      <c r="I703" s="20">
        <f>IF(OR($A703="",$G703&lt;&gt;"Active"),0,IF($H703&lt;&gt;"",$H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</f>
        <v/>
      </c>
      <c r="J703" s="23">
        <f>IF($C703="",0,IFERROR(INDEX(Deals!$H$2:$H$355,MATCH($C703,Deals!$A$2:$A$355,0)),0))</f>
        <v/>
      </c>
      <c r="K703" s="20">
        <f>IF(Settings!$B$4="Yes",$I703*$J703,$I703)</f>
        <v/>
      </c>
      <c r="L703" s="31">
        <f>IF($C703="","",IFERROR(IF(INDEX(Deals!$I$2:$I$355,MATCH($C703,Deals!$A$2:$A$355,0))=0,"",INDEX(Deals!$I$2:$I$355,MATCH($C703,Deals!$A$2:$A$355,0))),""))</f>
        <v/>
      </c>
      <c r="M703" s="31">
        <f>IF($C703="","",IFERROR(IF(INDEX(Deals!$J$2:$J$355,MATCH($C703,Deals!$A$2:$A$355,0))=0,"",INDEX(Deals!$J$2:$J$355,MATCH($C703,Deals!$A$2:$A$355,0))),""))</f>
        <v/>
      </c>
      <c r="N703" s="24">
        <f>IF($L703="",DATE(1900,1,1),$L703)</f>
        <v/>
      </c>
      <c r="O703" s="24">
        <f>IF($M703="",DATE(2100,12,31),$M703)</f>
        <v/>
      </c>
      <c r="P703" s="27" t="n"/>
      <c r="Q703" s="27" t="n"/>
      <c r="R703" s="29">
        <f>IF($C703="","",IFERROR(IF(INDEX(Deals!$U$2:$U$355,MATCH($C703,Deals!$A$2:$A$355,0))=0,"",INDEX(Deals!$U$2:$U$355,MATCH($C703,Deals!$A$2:$A$355,0))),""))</f>
        <v/>
      </c>
      <c r="S703" s="22">
        <f>IFERROR(IF($U703="",1,INDEX(Deals!$V$2:$V$355,MATCH($C703,Deals!$A$2:$A$355,0))),1)</f>
        <v/>
      </c>
      <c r="T703" s="22">
        <f>IFERROR(IF($U703="",1,INDEX(Deals!$W$2:$W$355,MATCH($C703,Deals!$A$2:$A$355,0))),1)</f>
        <v/>
      </c>
      <c r="U703" s="31">
        <f>IF($C703="","",IFERROR(IF(INDEX(Deals!$Y$2:$Y$355,MATCH($C703,Deals!$A$2:$A$355,0))=0,"",INDEX(Deals!$Y$2:$Y$355,MATCH($C703,Deals!$A$2:$A$355,0))),""))</f>
        <v/>
      </c>
      <c r="V703" s="24">
        <f>IF($U703="",DATE(1900,1,1),$N703)</f>
        <v/>
      </c>
      <c r="W703" s="24">
        <f>IF($U703="",DATE(2100,12,31),$U703)</f>
        <v/>
      </c>
      <c r="X703" s="20">
        <f>IF($U703="",$K703,$K703*$S703)</f>
        <v/>
      </c>
      <c r="Y703" s="24">
        <f>IF($U703="",DATE(2100,12,31),$U703+1)</f>
        <v/>
      </c>
      <c r="Z703" s="24">
        <f>IF($U703="",DATE(1900,1,1),$O703)</f>
        <v/>
      </c>
      <c r="AA703" s="20">
        <f>IF($U703="",0,$K703*$T703)</f>
        <v/>
      </c>
    </row>
    <row r="704">
      <c r="A704" s="27" t="n"/>
      <c r="B704" s="29">
        <f>IF($A704="","",IFERROR(INDEX(Roster!$B$2:$B$40,MATCH($A704,Roster!$A$2:$A$40,0)),"?"))</f>
        <v/>
      </c>
      <c r="C704" s="27" t="n"/>
      <c r="D704" s="29">
        <f>IF($C704="","",IFERROR(IF(INDEX(Deals!$C$2:$C$355,MATCH($C704,Deals!$A$2:$A$355,0))=0,"",INDEX(Deals!$C$2:$C$355,MATCH($C704,Deals!$A$2:$A$355,0))),"?"))</f>
        <v/>
      </c>
      <c r="E704" s="29">
        <f>IF($C704="","",IFERROR(INDEX(Deals!$F$2:$F$355,MATCH($C704,Deals!$A$2:$A$355,0)),"?"))</f>
        <v/>
      </c>
      <c r="F704" s="27" t="n"/>
      <c r="G704" s="27" t="n"/>
      <c r="H704" s="27" t="n"/>
      <c r="I704" s="20">
        <f>IF(OR($A704="",$G704&lt;&gt;"Active"),0,IF($H704&lt;&gt;"",$H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</f>
        <v/>
      </c>
      <c r="J704" s="23">
        <f>IF($C704="",0,IFERROR(INDEX(Deals!$H$2:$H$355,MATCH($C704,Deals!$A$2:$A$355,0)),0))</f>
        <v/>
      </c>
      <c r="K704" s="20">
        <f>IF(Settings!$B$4="Yes",$I704*$J704,$I704)</f>
        <v/>
      </c>
      <c r="L704" s="31">
        <f>IF($C704="","",IFERROR(IF(INDEX(Deals!$I$2:$I$355,MATCH($C704,Deals!$A$2:$A$355,0))=0,"",INDEX(Deals!$I$2:$I$355,MATCH($C704,Deals!$A$2:$A$355,0))),""))</f>
        <v/>
      </c>
      <c r="M704" s="31">
        <f>IF($C704="","",IFERROR(IF(INDEX(Deals!$J$2:$J$355,MATCH($C704,Deals!$A$2:$A$355,0))=0,"",INDEX(Deals!$J$2:$J$355,MATCH($C704,Deals!$A$2:$A$355,0))),""))</f>
        <v/>
      </c>
      <c r="N704" s="24">
        <f>IF($L704="",DATE(1900,1,1),$L704)</f>
        <v/>
      </c>
      <c r="O704" s="24">
        <f>IF($M704="",DATE(2100,12,31),$M704)</f>
        <v/>
      </c>
      <c r="P704" s="27" t="n"/>
      <c r="Q704" s="27" t="n"/>
      <c r="R704" s="29">
        <f>IF($C704="","",IFERROR(IF(INDEX(Deals!$U$2:$U$355,MATCH($C704,Deals!$A$2:$A$355,0))=0,"",INDEX(Deals!$U$2:$U$355,MATCH($C704,Deals!$A$2:$A$355,0))),""))</f>
        <v/>
      </c>
      <c r="S704" s="22">
        <f>IFERROR(IF($U704="",1,INDEX(Deals!$V$2:$V$355,MATCH($C704,Deals!$A$2:$A$355,0))),1)</f>
        <v/>
      </c>
      <c r="T704" s="22">
        <f>IFERROR(IF($U704="",1,INDEX(Deals!$W$2:$W$355,MATCH($C704,Deals!$A$2:$A$355,0))),1)</f>
        <v/>
      </c>
      <c r="U704" s="31">
        <f>IF($C704="","",IFERROR(IF(INDEX(Deals!$Y$2:$Y$355,MATCH($C704,Deals!$A$2:$A$355,0))=0,"",INDEX(Deals!$Y$2:$Y$355,MATCH($C704,Deals!$A$2:$A$355,0))),""))</f>
        <v/>
      </c>
      <c r="V704" s="24">
        <f>IF($U704="",DATE(1900,1,1),$N704)</f>
        <v/>
      </c>
      <c r="W704" s="24">
        <f>IF($U704="",DATE(2100,12,31),$U704)</f>
        <v/>
      </c>
      <c r="X704" s="20">
        <f>IF($U704="",$K704,$K704*$S704)</f>
        <v/>
      </c>
      <c r="Y704" s="24">
        <f>IF($U704="",DATE(2100,12,31),$U704+1)</f>
        <v/>
      </c>
      <c r="Z704" s="24">
        <f>IF($U704="",DATE(1900,1,1),$O704)</f>
        <v/>
      </c>
      <c r="AA704" s="20">
        <f>IF($U704="",0,$K704*$T704)</f>
        <v/>
      </c>
    </row>
    <row r="705">
      <c r="A705" s="27" t="n"/>
      <c r="B705" s="29">
        <f>IF($A705="","",IFERROR(INDEX(Roster!$B$2:$B$40,MATCH($A705,Roster!$A$2:$A$40,0)),"?"))</f>
        <v/>
      </c>
      <c r="C705" s="27" t="n"/>
      <c r="D705" s="29">
        <f>IF($C705="","",IFERROR(IF(INDEX(Deals!$C$2:$C$355,MATCH($C705,Deals!$A$2:$A$355,0))=0,"",INDEX(Deals!$C$2:$C$355,MATCH($C705,Deals!$A$2:$A$355,0))),"?"))</f>
        <v/>
      </c>
      <c r="E705" s="29">
        <f>IF($C705="","",IFERROR(INDEX(Deals!$F$2:$F$355,MATCH($C705,Deals!$A$2:$A$355,0)),"?"))</f>
        <v/>
      </c>
      <c r="F705" s="27" t="n"/>
      <c r="G705" s="27" t="n"/>
      <c r="H705" s="27" t="n"/>
      <c r="I705" s="20">
        <f>IF(OR($A705="",$G705&lt;&gt;"Active"),0,IF($H705&lt;&gt;"",$H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</f>
        <v/>
      </c>
      <c r="J705" s="23">
        <f>IF($C705="",0,IFERROR(INDEX(Deals!$H$2:$H$355,MATCH($C705,Deals!$A$2:$A$355,0)),0))</f>
        <v/>
      </c>
      <c r="K705" s="20">
        <f>IF(Settings!$B$4="Yes",$I705*$J705,$I705)</f>
        <v/>
      </c>
      <c r="L705" s="31">
        <f>IF($C705="","",IFERROR(IF(INDEX(Deals!$I$2:$I$355,MATCH($C705,Deals!$A$2:$A$355,0))=0,"",INDEX(Deals!$I$2:$I$355,MATCH($C705,Deals!$A$2:$A$355,0))),""))</f>
        <v/>
      </c>
      <c r="M705" s="31">
        <f>IF($C705="","",IFERROR(IF(INDEX(Deals!$J$2:$J$355,MATCH($C705,Deals!$A$2:$A$355,0))=0,"",INDEX(Deals!$J$2:$J$355,MATCH($C705,Deals!$A$2:$A$355,0))),""))</f>
        <v/>
      </c>
      <c r="N705" s="24">
        <f>IF($L705="",DATE(1900,1,1),$L705)</f>
        <v/>
      </c>
      <c r="O705" s="24">
        <f>IF($M705="",DATE(2100,12,31),$M705)</f>
        <v/>
      </c>
      <c r="P705" s="27" t="n"/>
      <c r="Q705" s="27" t="n"/>
      <c r="R705" s="29">
        <f>IF($C705="","",IFERROR(IF(INDEX(Deals!$U$2:$U$355,MATCH($C705,Deals!$A$2:$A$355,0))=0,"",INDEX(Deals!$U$2:$U$355,MATCH($C705,Deals!$A$2:$A$355,0))),""))</f>
        <v/>
      </c>
      <c r="S705" s="22">
        <f>IFERROR(IF($U705="",1,INDEX(Deals!$V$2:$V$355,MATCH($C705,Deals!$A$2:$A$355,0))),1)</f>
        <v/>
      </c>
      <c r="T705" s="22">
        <f>IFERROR(IF($U705="",1,INDEX(Deals!$W$2:$W$355,MATCH($C705,Deals!$A$2:$A$355,0))),1)</f>
        <v/>
      </c>
      <c r="U705" s="31">
        <f>IF($C705="","",IFERROR(IF(INDEX(Deals!$Y$2:$Y$355,MATCH($C705,Deals!$A$2:$A$355,0))=0,"",INDEX(Deals!$Y$2:$Y$355,MATCH($C705,Deals!$A$2:$A$355,0))),""))</f>
        <v/>
      </c>
      <c r="V705" s="24">
        <f>IF($U705="",DATE(1900,1,1),$N705)</f>
        <v/>
      </c>
      <c r="W705" s="24">
        <f>IF($U705="",DATE(2100,12,31),$U705)</f>
        <v/>
      </c>
      <c r="X705" s="20">
        <f>IF($U705="",$K705,$K705*$S705)</f>
        <v/>
      </c>
      <c r="Y705" s="24">
        <f>IF($U705="",DATE(2100,12,31),$U705+1)</f>
        <v/>
      </c>
      <c r="Z705" s="24">
        <f>IF($U705="",DATE(1900,1,1),$O705)</f>
        <v/>
      </c>
      <c r="AA705" s="20">
        <f>IF($U705="",0,$K705*$T705)</f>
        <v/>
      </c>
    </row>
    <row r="706">
      <c r="A706" s="27" t="n"/>
      <c r="B706" s="29">
        <f>IF($A706="","",IFERROR(INDEX(Roster!$B$2:$B$40,MATCH($A706,Roster!$A$2:$A$40,0)),"?"))</f>
        <v/>
      </c>
      <c r="C706" s="27" t="n"/>
      <c r="D706" s="29">
        <f>IF($C706="","",IFERROR(IF(INDEX(Deals!$C$2:$C$355,MATCH($C706,Deals!$A$2:$A$355,0))=0,"",INDEX(Deals!$C$2:$C$355,MATCH($C706,Deals!$A$2:$A$355,0))),"?"))</f>
        <v/>
      </c>
      <c r="E706" s="29">
        <f>IF($C706="","",IFERROR(INDEX(Deals!$F$2:$F$355,MATCH($C706,Deals!$A$2:$A$355,0)),"?"))</f>
        <v/>
      </c>
      <c r="F706" s="27" t="n"/>
      <c r="G706" s="27" t="n"/>
      <c r="H706" s="27" t="n"/>
      <c r="I706" s="20">
        <f>IF(OR($A706="",$G706&lt;&gt;"Active"),0,IF($H706&lt;&gt;"",$H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</f>
        <v/>
      </c>
      <c r="J706" s="23">
        <f>IF($C706="",0,IFERROR(INDEX(Deals!$H$2:$H$355,MATCH($C706,Deals!$A$2:$A$355,0)),0))</f>
        <v/>
      </c>
      <c r="K706" s="20">
        <f>IF(Settings!$B$4="Yes",$I706*$J706,$I706)</f>
        <v/>
      </c>
      <c r="L706" s="31">
        <f>IF($C706="","",IFERROR(IF(INDEX(Deals!$I$2:$I$355,MATCH($C706,Deals!$A$2:$A$355,0))=0,"",INDEX(Deals!$I$2:$I$355,MATCH($C706,Deals!$A$2:$A$355,0))),""))</f>
        <v/>
      </c>
      <c r="M706" s="31">
        <f>IF($C706="","",IFERROR(IF(INDEX(Deals!$J$2:$J$355,MATCH($C706,Deals!$A$2:$A$355,0))=0,"",INDEX(Deals!$J$2:$J$355,MATCH($C706,Deals!$A$2:$A$355,0))),""))</f>
        <v/>
      </c>
      <c r="N706" s="24">
        <f>IF($L706="",DATE(1900,1,1),$L706)</f>
        <v/>
      </c>
      <c r="O706" s="24">
        <f>IF($M706="",DATE(2100,12,31),$M706)</f>
        <v/>
      </c>
      <c r="P706" s="27" t="n"/>
      <c r="Q706" s="27" t="n"/>
      <c r="R706" s="29">
        <f>IF($C706="","",IFERROR(IF(INDEX(Deals!$U$2:$U$355,MATCH($C706,Deals!$A$2:$A$355,0))=0,"",INDEX(Deals!$U$2:$U$355,MATCH($C706,Deals!$A$2:$A$355,0))),""))</f>
        <v/>
      </c>
      <c r="S706" s="22">
        <f>IFERROR(IF($U706="",1,INDEX(Deals!$V$2:$V$355,MATCH($C706,Deals!$A$2:$A$355,0))),1)</f>
        <v/>
      </c>
      <c r="T706" s="22">
        <f>IFERROR(IF($U706="",1,INDEX(Deals!$W$2:$W$355,MATCH($C706,Deals!$A$2:$A$355,0))),1)</f>
        <v/>
      </c>
      <c r="U706" s="31">
        <f>IF($C706="","",IFERROR(IF(INDEX(Deals!$Y$2:$Y$355,MATCH($C706,Deals!$A$2:$A$355,0))=0,"",INDEX(Deals!$Y$2:$Y$355,MATCH($C706,Deals!$A$2:$A$355,0))),""))</f>
        <v/>
      </c>
      <c r="V706" s="24">
        <f>IF($U706="",DATE(1900,1,1),$N706)</f>
        <v/>
      </c>
      <c r="W706" s="24">
        <f>IF($U706="",DATE(2100,12,31),$U706)</f>
        <v/>
      </c>
      <c r="X706" s="20">
        <f>IF($U706="",$K706,$K706*$S706)</f>
        <v/>
      </c>
      <c r="Y706" s="24">
        <f>IF($U706="",DATE(2100,12,31),$U706+1)</f>
        <v/>
      </c>
      <c r="Z706" s="24">
        <f>IF($U706="",DATE(1900,1,1),$O706)</f>
        <v/>
      </c>
      <c r="AA706" s="20">
        <f>IF($U706="",0,$K706*$T706)</f>
        <v/>
      </c>
    </row>
    <row r="707">
      <c r="A707" s="27" t="n"/>
      <c r="B707" s="29">
        <f>IF($A707="","",IFERROR(INDEX(Roster!$B$2:$B$40,MATCH($A707,Roster!$A$2:$A$40,0)),"?"))</f>
        <v/>
      </c>
      <c r="C707" s="27" t="n"/>
      <c r="D707" s="29">
        <f>IF($C707="","",IFERROR(IF(INDEX(Deals!$C$2:$C$355,MATCH($C707,Deals!$A$2:$A$355,0))=0,"",INDEX(Deals!$C$2:$C$355,MATCH($C707,Deals!$A$2:$A$355,0))),"?"))</f>
        <v/>
      </c>
      <c r="E707" s="29">
        <f>IF($C707="","",IFERROR(INDEX(Deals!$F$2:$F$355,MATCH($C707,Deals!$A$2:$A$355,0)),"?"))</f>
        <v/>
      </c>
      <c r="F707" s="27" t="n"/>
      <c r="G707" s="27" t="n"/>
      <c r="H707" s="27" t="n"/>
      <c r="I707" s="20">
        <f>IF(OR($A707="",$G707&lt;&gt;"Active"),0,IF($H707&lt;&gt;"",$H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</f>
        <v/>
      </c>
      <c r="J707" s="23">
        <f>IF($C707="",0,IFERROR(INDEX(Deals!$H$2:$H$355,MATCH($C707,Deals!$A$2:$A$355,0)),0))</f>
        <v/>
      </c>
      <c r="K707" s="20">
        <f>IF(Settings!$B$4="Yes",$I707*$J707,$I707)</f>
        <v/>
      </c>
      <c r="L707" s="31">
        <f>IF($C707="","",IFERROR(IF(INDEX(Deals!$I$2:$I$355,MATCH($C707,Deals!$A$2:$A$355,0))=0,"",INDEX(Deals!$I$2:$I$355,MATCH($C707,Deals!$A$2:$A$355,0))),""))</f>
        <v/>
      </c>
      <c r="M707" s="31">
        <f>IF($C707="","",IFERROR(IF(INDEX(Deals!$J$2:$J$355,MATCH($C707,Deals!$A$2:$A$355,0))=0,"",INDEX(Deals!$J$2:$J$355,MATCH($C707,Deals!$A$2:$A$355,0))),""))</f>
        <v/>
      </c>
      <c r="N707" s="24">
        <f>IF($L707="",DATE(1900,1,1),$L707)</f>
        <v/>
      </c>
      <c r="O707" s="24">
        <f>IF($M707="",DATE(2100,12,31),$M707)</f>
        <v/>
      </c>
      <c r="P707" s="27" t="n"/>
      <c r="Q707" s="27" t="n"/>
      <c r="R707" s="29">
        <f>IF($C707="","",IFERROR(IF(INDEX(Deals!$U$2:$U$355,MATCH($C707,Deals!$A$2:$A$355,0))=0,"",INDEX(Deals!$U$2:$U$355,MATCH($C707,Deals!$A$2:$A$355,0))),""))</f>
        <v/>
      </c>
      <c r="S707" s="22">
        <f>IFERROR(IF($U707="",1,INDEX(Deals!$V$2:$V$355,MATCH($C707,Deals!$A$2:$A$355,0))),1)</f>
        <v/>
      </c>
      <c r="T707" s="22">
        <f>IFERROR(IF($U707="",1,INDEX(Deals!$W$2:$W$355,MATCH($C707,Deals!$A$2:$A$355,0))),1)</f>
        <v/>
      </c>
      <c r="U707" s="31">
        <f>IF($C707="","",IFERROR(IF(INDEX(Deals!$Y$2:$Y$355,MATCH($C707,Deals!$A$2:$A$355,0))=0,"",INDEX(Deals!$Y$2:$Y$355,MATCH($C707,Deals!$A$2:$A$355,0))),""))</f>
        <v/>
      </c>
      <c r="V707" s="24">
        <f>IF($U707="",DATE(1900,1,1),$N707)</f>
        <v/>
      </c>
      <c r="W707" s="24">
        <f>IF($U707="",DATE(2100,12,31),$U707)</f>
        <v/>
      </c>
      <c r="X707" s="20">
        <f>IF($U707="",$K707,$K707*$S707)</f>
        <v/>
      </c>
      <c r="Y707" s="24">
        <f>IF($U707="",DATE(2100,12,31),$U707+1)</f>
        <v/>
      </c>
      <c r="Z707" s="24">
        <f>IF($U707="",DATE(1900,1,1),$O707)</f>
        <v/>
      </c>
      <c r="AA707" s="20">
        <f>IF($U707="",0,$K707*$T707)</f>
        <v/>
      </c>
    </row>
    <row r="708">
      <c r="A708" s="27" t="n"/>
      <c r="B708" s="29">
        <f>IF($A708="","",IFERROR(INDEX(Roster!$B$2:$B$40,MATCH($A708,Roster!$A$2:$A$40,0)),"?"))</f>
        <v/>
      </c>
      <c r="C708" s="27" t="n"/>
      <c r="D708" s="29">
        <f>IF($C708="","",IFERROR(IF(INDEX(Deals!$C$2:$C$355,MATCH($C708,Deals!$A$2:$A$355,0))=0,"",INDEX(Deals!$C$2:$C$355,MATCH($C708,Deals!$A$2:$A$355,0))),"?"))</f>
        <v/>
      </c>
      <c r="E708" s="29">
        <f>IF($C708="","",IFERROR(INDEX(Deals!$F$2:$F$355,MATCH($C708,Deals!$A$2:$A$355,0)),"?"))</f>
        <v/>
      </c>
      <c r="F708" s="27" t="n"/>
      <c r="G708" s="27" t="n"/>
      <c r="H708" s="27" t="n"/>
      <c r="I708" s="20">
        <f>IF(OR($A708="",$G708&lt;&gt;"Active"),0,IF($H708&lt;&gt;"",$H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</f>
        <v/>
      </c>
      <c r="J708" s="23">
        <f>IF($C708="",0,IFERROR(INDEX(Deals!$H$2:$H$355,MATCH($C708,Deals!$A$2:$A$355,0)),0))</f>
        <v/>
      </c>
      <c r="K708" s="20">
        <f>IF(Settings!$B$4="Yes",$I708*$J708,$I708)</f>
        <v/>
      </c>
      <c r="L708" s="31">
        <f>IF($C708="","",IFERROR(IF(INDEX(Deals!$I$2:$I$355,MATCH($C708,Deals!$A$2:$A$355,0))=0,"",INDEX(Deals!$I$2:$I$355,MATCH($C708,Deals!$A$2:$A$355,0))),""))</f>
        <v/>
      </c>
      <c r="M708" s="31">
        <f>IF($C708="","",IFERROR(IF(INDEX(Deals!$J$2:$J$355,MATCH($C708,Deals!$A$2:$A$355,0))=0,"",INDEX(Deals!$J$2:$J$355,MATCH($C708,Deals!$A$2:$A$355,0))),""))</f>
        <v/>
      </c>
      <c r="N708" s="24">
        <f>IF($L708="",DATE(1900,1,1),$L708)</f>
        <v/>
      </c>
      <c r="O708" s="24">
        <f>IF($M708="",DATE(2100,12,31),$M708)</f>
        <v/>
      </c>
      <c r="P708" s="27" t="n"/>
      <c r="Q708" s="27" t="n"/>
      <c r="R708" s="29">
        <f>IF($C708="","",IFERROR(IF(INDEX(Deals!$U$2:$U$355,MATCH($C708,Deals!$A$2:$A$355,0))=0,"",INDEX(Deals!$U$2:$U$355,MATCH($C708,Deals!$A$2:$A$355,0))),""))</f>
        <v/>
      </c>
      <c r="S708" s="22">
        <f>IFERROR(IF($U708="",1,INDEX(Deals!$V$2:$V$355,MATCH($C708,Deals!$A$2:$A$355,0))),1)</f>
        <v/>
      </c>
      <c r="T708" s="22">
        <f>IFERROR(IF($U708="",1,INDEX(Deals!$W$2:$W$355,MATCH($C708,Deals!$A$2:$A$355,0))),1)</f>
        <v/>
      </c>
      <c r="U708" s="31">
        <f>IF($C708="","",IFERROR(IF(INDEX(Deals!$Y$2:$Y$355,MATCH($C708,Deals!$A$2:$A$355,0))=0,"",INDEX(Deals!$Y$2:$Y$355,MATCH($C708,Deals!$A$2:$A$355,0))),""))</f>
        <v/>
      </c>
      <c r="V708" s="24">
        <f>IF($U708="",DATE(1900,1,1),$N708)</f>
        <v/>
      </c>
      <c r="W708" s="24">
        <f>IF($U708="",DATE(2100,12,31),$U708)</f>
        <v/>
      </c>
      <c r="X708" s="20">
        <f>IF($U708="",$K708,$K708*$S708)</f>
        <v/>
      </c>
      <c r="Y708" s="24">
        <f>IF($U708="",DATE(2100,12,31),$U708+1)</f>
        <v/>
      </c>
      <c r="Z708" s="24">
        <f>IF($U708="",DATE(1900,1,1),$O708)</f>
        <v/>
      </c>
      <c r="AA708" s="20">
        <f>IF($U708="",0,$K708*$T708)</f>
        <v/>
      </c>
    </row>
    <row r="709">
      <c r="A709" s="27" t="n"/>
      <c r="B709" s="29">
        <f>IF($A709="","",IFERROR(INDEX(Roster!$B$2:$B$40,MATCH($A709,Roster!$A$2:$A$40,0)),"?"))</f>
        <v/>
      </c>
      <c r="C709" s="27" t="n"/>
      <c r="D709" s="29">
        <f>IF($C709="","",IFERROR(IF(INDEX(Deals!$C$2:$C$355,MATCH($C709,Deals!$A$2:$A$355,0))=0,"",INDEX(Deals!$C$2:$C$355,MATCH($C709,Deals!$A$2:$A$355,0))),"?"))</f>
        <v/>
      </c>
      <c r="E709" s="29">
        <f>IF($C709="","",IFERROR(INDEX(Deals!$F$2:$F$355,MATCH($C709,Deals!$A$2:$A$355,0)),"?"))</f>
        <v/>
      </c>
      <c r="F709" s="27" t="n"/>
      <c r="G709" s="27" t="n"/>
      <c r="H709" s="27" t="n"/>
      <c r="I709" s="20">
        <f>IF(OR($A709="",$G709&lt;&gt;"Active"),0,IF($H709&lt;&gt;"",$H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</f>
        <v/>
      </c>
      <c r="J709" s="23">
        <f>IF($C709="",0,IFERROR(INDEX(Deals!$H$2:$H$355,MATCH($C709,Deals!$A$2:$A$355,0)),0))</f>
        <v/>
      </c>
      <c r="K709" s="20">
        <f>IF(Settings!$B$4="Yes",$I709*$J709,$I709)</f>
        <v/>
      </c>
      <c r="L709" s="31">
        <f>IF($C709="","",IFERROR(IF(INDEX(Deals!$I$2:$I$355,MATCH($C709,Deals!$A$2:$A$355,0))=0,"",INDEX(Deals!$I$2:$I$355,MATCH($C709,Deals!$A$2:$A$355,0))),""))</f>
        <v/>
      </c>
      <c r="M709" s="31">
        <f>IF($C709="","",IFERROR(IF(INDEX(Deals!$J$2:$J$355,MATCH($C709,Deals!$A$2:$A$355,0))=0,"",INDEX(Deals!$J$2:$J$355,MATCH($C709,Deals!$A$2:$A$355,0))),""))</f>
        <v/>
      </c>
      <c r="N709" s="24">
        <f>IF($L709="",DATE(1900,1,1),$L709)</f>
        <v/>
      </c>
      <c r="O709" s="24">
        <f>IF($M709="",DATE(2100,12,31),$M709)</f>
        <v/>
      </c>
      <c r="P709" s="27" t="n"/>
      <c r="Q709" s="27" t="n"/>
      <c r="R709" s="29">
        <f>IF($C709="","",IFERROR(IF(INDEX(Deals!$U$2:$U$355,MATCH($C709,Deals!$A$2:$A$355,0))=0,"",INDEX(Deals!$U$2:$U$355,MATCH($C709,Deals!$A$2:$A$355,0))),""))</f>
        <v/>
      </c>
      <c r="S709" s="22">
        <f>IFERROR(IF($U709="",1,INDEX(Deals!$V$2:$V$355,MATCH($C709,Deals!$A$2:$A$355,0))),1)</f>
        <v/>
      </c>
      <c r="T709" s="22">
        <f>IFERROR(IF($U709="",1,INDEX(Deals!$W$2:$W$355,MATCH($C709,Deals!$A$2:$A$355,0))),1)</f>
        <v/>
      </c>
      <c r="U709" s="31">
        <f>IF($C709="","",IFERROR(IF(INDEX(Deals!$Y$2:$Y$355,MATCH($C709,Deals!$A$2:$A$355,0))=0,"",INDEX(Deals!$Y$2:$Y$355,MATCH($C709,Deals!$A$2:$A$355,0))),""))</f>
        <v/>
      </c>
      <c r="V709" s="24">
        <f>IF($U709="",DATE(1900,1,1),$N709)</f>
        <v/>
      </c>
      <c r="W709" s="24">
        <f>IF($U709="",DATE(2100,12,31),$U709)</f>
        <v/>
      </c>
      <c r="X709" s="20">
        <f>IF($U709="",$K709,$K709*$S709)</f>
        <v/>
      </c>
      <c r="Y709" s="24">
        <f>IF($U709="",DATE(2100,12,31),$U709+1)</f>
        <v/>
      </c>
      <c r="Z709" s="24">
        <f>IF($U709="",DATE(1900,1,1),$O709)</f>
        <v/>
      </c>
      <c r="AA709" s="20">
        <f>IF($U709="",0,$K709*$T709)</f>
        <v/>
      </c>
    </row>
    <row r="710">
      <c r="A710" s="27" t="n"/>
      <c r="B710" s="29">
        <f>IF($A710="","",IFERROR(INDEX(Roster!$B$2:$B$40,MATCH($A710,Roster!$A$2:$A$40,0)),"?"))</f>
        <v/>
      </c>
      <c r="C710" s="27" t="n"/>
      <c r="D710" s="29">
        <f>IF($C710="","",IFERROR(IF(INDEX(Deals!$C$2:$C$355,MATCH($C710,Deals!$A$2:$A$355,0))=0,"",INDEX(Deals!$C$2:$C$355,MATCH($C710,Deals!$A$2:$A$355,0))),"?"))</f>
        <v/>
      </c>
      <c r="E710" s="29">
        <f>IF($C710="","",IFERROR(INDEX(Deals!$F$2:$F$355,MATCH($C710,Deals!$A$2:$A$355,0)),"?"))</f>
        <v/>
      </c>
      <c r="F710" s="27" t="n"/>
      <c r="G710" s="27" t="n"/>
      <c r="H710" s="27" t="n"/>
      <c r="I710" s="20">
        <f>IF(OR($A710="",$G710&lt;&gt;"Active"),0,IF($H710&lt;&gt;"",$H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</f>
        <v/>
      </c>
      <c r="J710" s="23">
        <f>IF($C710="",0,IFERROR(INDEX(Deals!$H$2:$H$355,MATCH($C710,Deals!$A$2:$A$355,0)),0))</f>
        <v/>
      </c>
      <c r="K710" s="20">
        <f>IF(Settings!$B$4="Yes",$I710*$J710,$I710)</f>
        <v/>
      </c>
      <c r="L710" s="31">
        <f>IF($C710="","",IFERROR(IF(INDEX(Deals!$I$2:$I$355,MATCH($C710,Deals!$A$2:$A$355,0))=0,"",INDEX(Deals!$I$2:$I$355,MATCH($C710,Deals!$A$2:$A$355,0))),""))</f>
        <v/>
      </c>
      <c r="M710" s="31">
        <f>IF($C710="","",IFERROR(IF(INDEX(Deals!$J$2:$J$355,MATCH($C710,Deals!$A$2:$A$355,0))=0,"",INDEX(Deals!$J$2:$J$355,MATCH($C710,Deals!$A$2:$A$355,0))),""))</f>
        <v/>
      </c>
      <c r="N710" s="24">
        <f>IF($L710="",DATE(1900,1,1),$L710)</f>
        <v/>
      </c>
      <c r="O710" s="24">
        <f>IF($M710="",DATE(2100,12,31),$M710)</f>
        <v/>
      </c>
      <c r="P710" s="27" t="n"/>
      <c r="Q710" s="27" t="n"/>
      <c r="R710" s="29">
        <f>IF($C710="","",IFERROR(IF(INDEX(Deals!$U$2:$U$355,MATCH($C710,Deals!$A$2:$A$355,0))=0,"",INDEX(Deals!$U$2:$U$355,MATCH($C710,Deals!$A$2:$A$355,0))),""))</f>
        <v/>
      </c>
      <c r="S710" s="22">
        <f>IFERROR(IF($U710="",1,INDEX(Deals!$V$2:$V$355,MATCH($C710,Deals!$A$2:$A$355,0))),1)</f>
        <v/>
      </c>
      <c r="T710" s="22">
        <f>IFERROR(IF($U710="",1,INDEX(Deals!$W$2:$W$355,MATCH($C710,Deals!$A$2:$A$355,0))),1)</f>
        <v/>
      </c>
      <c r="U710" s="31">
        <f>IF($C710="","",IFERROR(IF(INDEX(Deals!$Y$2:$Y$355,MATCH($C710,Deals!$A$2:$A$355,0))=0,"",INDEX(Deals!$Y$2:$Y$355,MATCH($C710,Deals!$A$2:$A$355,0))),""))</f>
        <v/>
      </c>
      <c r="V710" s="24">
        <f>IF($U710="",DATE(1900,1,1),$N710)</f>
        <v/>
      </c>
      <c r="W710" s="24">
        <f>IF($U710="",DATE(2100,12,31),$U710)</f>
        <v/>
      </c>
      <c r="X710" s="20">
        <f>IF($U710="",$K710,$K710*$S710)</f>
        <v/>
      </c>
      <c r="Y710" s="24">
        <f>IF($U710="",DATE(2100,12,31),$U710+1)</f>
        <v/>
      </c>
      <c r="Z710" s="24">
        <f>IF($U710="",DATE(1900,1,1),$O710)</f>
        <v/>
      </c>
      <c r="AA710" s="20">
        <f>IF($U710="",0,$K710*$T710)</f>
        <v/>
      </c>
    </row>
    <row r="711">
      <c r="A711" s="27" t="n"/>
      <c r="B711" s="29">
        <f>IF($A711="","",IFERROR(INDEX(Roster!$B$2:$B$40,MATCH($A711,Roster!$A$2:$A$40,0)),"?"))</f>
        <v/>
      </c>
      <c r="C711" s="27" t="n"/>
      <c r="D711" s="29">
        <f>IF($C711="","",IFERROR(IF(INDEX(Deals!$C$2:$C$355,MATCH($C711,Deals!$A$2:$A$355,0))=0,"",INDEX(Deals!$C$2:$C$355,MATCH($C711,Deals!$A$2:$A$355,0))),"?"))</f>
        <v/>
      </c>
      <c r="E711" s="29">
        <f>IF($C711="","",IFERROR(INDEX(Deals!$F$2:$F$355,MATCH($C711,Deals!$A$2:$A$355,0)),"?"))</f>
        <v/>
      </c>
      <c r="F711" s="27" t="n"/>
      <c r="G711" s="27" t="n"/>
      <c r="H711" s="27" t="n"/>
      <c r="I711" s="20">
        <f>IF(OR($A711="",$G711&lt;&gt;"Active"),0,IF($H711&lt;&gt;"",$H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</f>
        <v/>
      </c>
      <c r="J711" s="23">
        <f>IF($C711="",0,IFERROR(INDEX(Deals!$H$2:$H$355,MATCH($C711,Deals!$A$2:$A$355,0)),0))</f>
        <v/>
      </c>
      <c r="K711" s="20">
        <f>IF(Settings!$B$4="Yes",$I711*$J711,$I711)</f>
        <v/>
      </c>
      <c r="L711" s="31">
        <f>IF($C711="","",IFERROR(IF(INDEX(Deals!$I$2:$I$355,MATCH($C711,Deals!$A$2:$A$355,0))=0,"",INDEX(Deals!$I$2:$I$355,MATCH($C711,Deals!$A$2:$A$355,0))),""))</f>
        <v/>
      </c>
      <c r="M711" s="31">
        <f>IF($C711="","",IFERROR(IF(INDEX(Deals!$J$2:$J$355,MATCH($C711,Deals!$A$2:$A$355,0))=0,"",INDEX(Deals!$J$2:$J$355,MATCH($C711,Deals!$A$2:$A$355,0))),""))</f>
        <v/>
      </c>
      <c r="N711" s="24">
        <f>IF($L711="",DATE(1900,1,1),$L711)</f>
        <v/>
      </c>
      <c r="O711" s="24">
        <f>IF($M711="",DATE(2100,12,31),$M711)</f>
        <v/>
      </c>
      <c r="P711" s="27" t="n"/>
      <c r="Q711" s="27" t="n"/>
      <c r="R711" s="29">
        <f>IF($C711="","",IFERROR(IF(INDEX(Deals!$U$2:$U$355,MATCH($C711,Deals!$A$2:$A$355,0))=0,"",INDEX(Deals!$U$2:$U$355,MATCH($C711,Deals!$A$2:$A$355,0))),""))</f>
        <v/>
      </c>
      <c r="S711" s="22">
        <f>IFERROR(IF($U711="",1,INDEX(Deals!$V$2:$V$355,MATCH($C711,Deals!$A$2:$A$355,0))),1)</f>
        <v/>
      </c>
      <c r="T711" s="22">
        <f>IFERROR(IF($U711="",1,INDEX(Deals!$W$2:$W$355,MATCH($C711,Deals!$A$2:$A$355,0))),1)</f>
        <v/>
      </c>
      <c r="U711" s="31">
        <f>IF($C711="","",IFERROR(IF(INDEX(Deals!$Y$2:$Y$355,MATCH($C711,Deals!$A$2:$A$355,0))=0,"",INDEX(Deals!$Y$2:$Y$355,MATCH($C711,Deals!$A$2:$A$355,0))),""))</f>
        <v/>
      </c>
      <c r="V711" s="24">
        <f>IF($U711="",DATE(1900,1,1),$N711)</f>
        <v/>
      </c>
      <c r="W711" s="24">
        <f>IF($U711="",DATE(2100,12,31),$U711)</f>
        <v/>
      </c>
      <c r="X711" s="20">
        <f>IF($U711="",$K711,$K711*$S711)</f>
        <v/>
      </c>
      <c r="Y711" s="24">
        <f>IF($U711="",DATE(2100,12,31),$U711+1)</f>
        <v/>
      </c>
      <c r="Z711" s="24">
        <f>IF($U711="",DATE(1900,1,1),$O711)</f>
        <v/>
      </c>
      <c r="AA711" s="20">
        <f>IF($U711="",0,$K711*$T711)</f>
        <v/>
      </c>
    </row>
    <row r="712">
      <c r="A712" s="27" t="n"/>
      <c r="B712" s="29">
        <f>IF($A712="","",IFERROR(INDEX(Roster!$B$2:$B$40,MATCH($A712,Roster!$A$2:$A$40,0)),"?"))</f>
        <v/>
      </c>
      <c r="C712" s="27" t="n"/>
      <c r="D712" s="29">
        <f>IF($C712="","",IFERROR(IF(INDEX(Deals!$C$2:$C$355,MATCH($C712,Deals!$A$2:$A$355,0))=0,"",INDEX(Deals!$C$2:$C$355,MATCH($C712,Deals!$A$2:$A$355,0))),"?"))</f>
        <v/>
      </c>
      <c r="E712" s="29">
        <f>IF($C712="","",IFERROR(INDEX(Deals!$F$2:$F$355,MATCH($C712,Deals!$A$2:$A$355,0)),"?"))</f>
        <v/>
      </c>
      <c r="F712" s="27" t="n"/>
      <c r="G712" s="27" t="n"/>
      <c r="H712" s="27" t="n"/>
      <c r="I712" s="20">
        <f>IF(OR($A712="",$G712&lt;&gt;"Active"),0,IF($H712&lt;&gt;"",$H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</f>
        <v/>
      </c>
      <c r="J712" s="23">
        <f>IF($C712="",0,IFERROR(INDEX(Deals!$H$2:$H$355,MATCH($C712,Deals!$A$2:$A$355,0)),0))</f>
        <v/>
      </c>
      <c r="K712" s="20">
        <f>IF(Settings!$B$4="Yes",$I712*$J712,$I712)</f>
        <v/>
      </c>
      <c r="L712" s="31">
        <f>IF($C712="","",IFERROR(IF(INDEX(Deals!$I$2:$I$355,MATCH($C712,Deals!$A$2:$A$355,0))=0,"",INDEX(Deals!$I$2:$I$355,MATCH($C712,Deals!$A$2:$A$355,0))),""))</f>
        <v/>
      </c>
      <c r="M712" s="31">
        <f>IF($C712="","",IFERROR(IF(INDEX(Deals!$J$2:$J$355,MATCH($C712,Deals!$A$2:$A$355,0))=0,"",INDEX(Deals!$J$2:$J$355,MATCH($C712,Deals!$A$2:$A$355,0))),""))</f>
        <v/>
      </c>
      <c r="N712" s="24">
        <f>IF($L712="",DATE(1900,1,1),$L712)</f>
        <v/>
      </c>
      <c r="O712" s="24">
        <f>IF($M712="",DATE(2100,12,31),$M712)</f>
        <v/>
      </c>
      <c r="P712" s="27" t="n"/>
      <c r="Q712" s="27" t="n"/>
      <c r="R712" s="29">
        <f>IF($C712="","",IFERROR(IF(INDEX(Deals!$U$2:$U$355,MATCH($C712,Deals!$A$2:$A$355,0))=0,"",INDEX(Deals!$U$2:$U$355,MATCH($C712,Deals!$A$2:$A$355,0))),""))</f>
        <v/>
      </c>
      <c r="S712" s="22">
        <f>IFERROR(IF($U712="",1,INDEX(Deals!$V$2:$V$355,MATCH($C712,Deals!$A$2:$A$355,0))),1)</f>
        <v/>
      </c>
      <c r="T712" s="22">
        <f>IFERROR(IF($U712="",1,INDEX(Deals!$W$2:$W$355,MATCH($C712,Deals!$A$2:$A$355,0))),1)</f>
        <v/>
      </c>
      <c r="U712" s="31">
        <f>IF($C712="","",IFERROR(IF(INDEX(Deals!$Y$2:$Y$355,MATCH($C712,Deals!$A$2:$A$355,0))=0,"",INDEX(Deals!$Y$2:$Y$355,MATCH($C712,Deals!$A$2:$A$355,0))),""))</f>
        <v/>
      </c>
      <c r="V712" s="24">
        <f>IF($U712="",DATE(1900,1,1),$N712)</f>
        <v/>
      </c>
      <c r="W712" s="24">
        <f>IF($U712="",DATE(2100,12,31),$U712)</f>
        <v/>
      </c>
      <c r="X712" s="20">
        <f>IF($U712="",$K712,$K712*$S712)</f>
        <v/>
      </c>
      <c r="Y712" s="24">
        <f>IF($U712="",DATE(2100,12,31),$U712+1)</f>
        <v/>
      </c>
      <c r="Z712" s="24">
        <f>IF($U712="",DATE(1900,1,1),$O712)</f>
        <v/>
      </c>
      <c r="AA712" s="20">
        <f>IF($U712="",0,$K712*$T712)</f>
        <v/>
      </c>
    </row>
    <row r="713">
      <c r="A713" s="27" t="n"/>
      <c r="B713" s="29">
        <f>IF($A713="","",IFERROR(INDEX(Roster!$B$2:$B$40,MATCH($A713,Roster!$A$2:$A$40,0)),"?"))</f>
        <v/>
      </c>
      <c r="C713" s="27" t="n"/>
      <c r="D713" s="29">
        <f>IF($C713="","",IFERROR(IF(INDEX(Deals!$C$2:$C$355,MATCH($C713,Deals!$A$2:$A$355,0))=0,"",INDEX(Deals!$C$2:$C$355,MATCH($C713,Deals!$A$2:$A$355,0))),"?"))</f>
        <v/>
      </c>
      <c r="E713" s="29">
        <f>IF($C713="","",IFERROR(INDEX(Deals!$F$2:$F$355,MATCH($C713,Deals!$A$2:$A$355,0)),"?"))</f>
        <v/>
      </c>
      <c r="F713" s="27" t="n"/>
      <c r="G713" s="27" t="n"/>
      <c r="H713" s="27" t="n"/>
      <c r="I713" s="20">
        <f>IF(OR($A713="",$G713&lt;&gt;"Active"),0,IF($H713&lt;&gt;"",$H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</f>
        <v/>
      </c>
      <c r="J713" s="23">
        <f>IF($C713="",0,IFERROR(INDEX(Deals!$H$2:$H$355,MATCH($C713,Deals!$A$2:$A$355,0)),0))</f>
        <v/>
      </c>
      <c r="K713" s="20">
        <f>IF(Settings!$B$4="Yes",$I713*$J713,$I713)</f>
        <v/>
      </c>
      <c r="L713" s="31">
        <f>IF($C713="","",IFERROR(IF(INDEX(Deals!$I$2:$I$355,MATCH($C713,Deals!$A$2:$A$355,0))=0,"",INDEX(Deals!$I$2:$I$355,MATCH($C713,Deals!$A$2:$A$355,0))),""))</f>
        <v/>
      </c>
      <c r="M713" s="31">
        <f>IF($C713="","",IFERROR(IF(INDEX(Deals!$J$2:$J$355,MATCH($C713,Deals!$A$2:$A$355,0))=0,"",INDEX(Deals!$J$2:$J$355,MATCH($C713,Deals!$A$2:$A$355,0))),""))</f>
        <v/>
      </c>
      <c r="N713" s="24">
        <f>IF($L713="",DATE(1900,1,1),$L713)</f>
        <v/>
      </c>
      <c r="O713" s="24">
        <f>IF($M713="",DATE(2100,12,31),$M713)</f>
        <v/>
      </c>
      <c r="P713" s="27" t="n"/>
      <c r="Q713" s="27" t="n"/>
      <c r="R713" s="29">
        <f>IF($C713="","",IFERROR(IF(INDEX(Deals!$U$2:$U$355,MATCH($C713,Deals!$A$2:$A$355,0))=0,"",INDEX(Deals!$U$2:$U$355,MATCH($C713,Deals!$A$2:$A$355,0))),""))</f>
        <v/>
      </c>
      <c r="S713" s="22">
        <f>IFERROR(IF($U713="",1,INDEX(Deals!$V$2:$V$355,MATCH($C713,Deals!$A$2:$A$355,0))),1)</f>
        <v/>
      </c>
      <c r="T713" s="22">
        <f>IFERROR(IF($U713="",1,INDEX(Deals!$W$2:$W$355,MATCH($C713,Deals!$A$2:$A$355,0))),1)</f>
        <v/>
      </c>
      <c r="U713" s="31">
        <f>IF($C713="","",IFERROR(IF(INDEX(Deals!$Y$2:$Y$355,MATCH($C713,Deals!$A$2:$A$355,0))=0,"",INDEX(Deals!$Y$2:$Y$355,MATCH($C713,Deals!$A$2:$A$355,0))),""))</f>
        <v/>
      </c>
      <c r="V713" s="24">
        <f>IF($U713="",DATE(1900,1,1),$N713)</f>
        <v/>
      </c>
      <c r="W713" s="24">
        <f>IF($U713="",DATE(2100,12,31),$U713)</f>
        <v/>
      </c>
      <c r="X713" s="20">
        <f>IF($U713="",$K713,$K713*$S713)</f>
        <v/>
      </c>
      <c r="Y713" s="24">
        <f>IF($U713="",DATE(2100,12,31),$U713+1)</f>
        <v/>
      </c>
      <c r="Z713" s="24">
        <f>IF($U713="",DATE(1900,1,1),$O713)</f>
        <v/>
      </c>
      <c r="AA713" s="20">
        <f>IF($U713="",0,$K713*$T713)</f>
        <v/>
      </c>
    </row>
    <row r="714">
      <c r="A714" s="27" t="n"/>
      <c r="B714" s="29">
        <f>IF($A714="","",IFERROR(INDEX(Roster!$B$2:$B$40,MATCH($A714,Roster!$A$2:$A$40,0)),"?"))</f>
        <v/>
      </c>
      <c r="C714" s="27" t="n"/>
      <c r="D714" s="29">
        <f>IF($C714="","",IFERROR(IF(INDEX(Deals!$C$2:$C$355,MATCH($C714,Deals!$A$2:$A$355,0))=0,"",INDEX(Deals!$C$2:$C$355,MATCH($C714,Deals!$A$2:$A$355,0))),"?"))</f>
        <v/>
      </c>
      <c r="E714" s="29">
        <f>IF($C714="","",IFERROR(INDEX(Deals!$F$2:$F$355,MATCH($C714,Deals!$A$2:$A$355,0)),"?"))</f>
        <v/>
      </c>
      <c r="F714" s="27" t="n"/>
      <c r="G714" s="27" t="n"/>
      <c r="H714" s="27" t="n"/>
      <c r="I714" s="20">
        <f>IF(OR($A714="",$G714&lt;&gt;"Active"),0,IF($H714&lt;&gt;"",$H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</f>
        <v/>
      </c>
      <c r="J714" s="23">
        <f>IF($C714="",0,IFERROR(INDEX(Deals!$H$2:$H$355,MATCH($C714,Deals!$A$2:$A$355,0)),0))</f>
        <v/>
      </c>
      <c r="K714" s="20">
        <f>IF(Settings!$B$4="Yes",$I714*$J714,$I714)</f>
        <v/>
      </c>
      <c r="L714" s="31">
        <f>IF($C714="","",IFERROR(IF(INDEX(Deals!$I$2:$I$355,MATCH($C714,Deals!$A$2:$A$355,0))=0,"",INDEX(Deals!$I$2:$I$355,MATCH($C714,Deals!$A$2:$A$355,0))),""))</f>
        <v/>
      </c>
      <c r="M714" s="31">
        <f>IF($C714="","",IFERROR(IF(INDEX(Deals!$J$2:$J$355,MATCH($C714,Deals!$A$2:$A$355,0))=0,"",INDEX(Deals!$J$2:$J$355,MATCH($C714,Deals!$A$2:$A$355,0))),""))</f>
        <v/>
      </c>
      <c r="N714" s="24">
        <f>IF($L714="",DATE(1900,1,1),$L714)</f>
        <v/>
      </c>
      <c r="O714" s="24">
        <f>IF($M714="",DATE(2100,12,31),$M714)</f>
        <v/>
      </c>
      <c r="P714" s="27" t="n"/>
      <c r="Q714" s="27" t="n"/>
      <c r="R714" s="29">
        <f>IF($C714="","",IFERROR(IF(INDEX(Deals!$U$2:$U$355,MATCH($C714,Deals!$A$2:$A$355,0))=0,"",INDEX(Deals!$U$2:$U$355,MATCH($C714,Deals!$A$2:$A$355,0))),""))</f>
        <v/>
      </c>
      <c r="S714" s="22">
        <f>IFERROR(IF($U714="",1,INDEX(Deals!$V$2:$V$355,MATCH($C714,Deals!$A$2:$A$355,0))),1)</f>
        <v/>
      </c>
      <c r="T714" s="22">
        <f>IFERROR(IF($U714="",1,INDEX(Deals!$W$2:$W$355,MATCH($C714,Deals!$A$2:$A$355,0))),1)</f>
        <v/>
      </c>
      <c r="U714" s="31">
        <f>IF($C714="","",IFERROR(IF(INDEX(Deals!$Y$2:$Y$355,MATCH($C714,Deals!$A$2:$A$355,0))=0,"",INDEX(Deals!$Y$2:$Y$355,MATCH($C714,Deals!$A$2:$A$355,0))),""))</f>
        <v/>
      </c>
      <c r="V714" s="24">
        <f>IF($U714="",DATE(1900,1,1),$N714)</f>
        <v/>
      </c>
      <c r="W714" s="24">
        <f>IF($U714="",DATE(2100,12,31),$U714)</f>
        <v/>
      </c>
      <c r="X714" s="20">
        <f>IF($U714="",$K714,$K714*$S714)</f>
        <v/>
      </c>
      <c r="Y714" s="24">
        <f>IF($U714="",DATE(2100,12,31),$U714+1)</f>
        <v/>
      </c>
      <c r="Z714" s="24">
        <f>IF($U714="",DATE(1900,1,1),$O714)</f>
        <v/>
      </c>
      <c r="AA714" s="20">
        <f>IF($U714="",0,$K714*$T714)</f>
        <v/>
      </c>
    </row>
    <row r="715">
      <c r="A715" s="27" t="n"/>
      <c r="B715" s="29">
        <f>IF($A715="","",IFERROR(INDEX(Roster!$B$2:$B$40,MATCH($A715,Roster!$A$2:$A$40,0)),"?"))</f>
        <v/>
      </c>
      <c r="C715" s="27" t="n"/>
      <c r="D715" s="29">
        <f>IF($C715="","",IFERROR(IF(INDEX(Deals!$C$2:$C$355,MATCH($C715,Deals!$A$2:$A$355,0))=0,"",INDEX(Deals!$C$2:$C$355,MATCH($C715,Deals!$A$2:$A$355,0))),"?"))</f>
        <v/>
      </c>
      <c r="E715" s="29">
        <f>IF($C715="","",IFERROR(INDEX(Deals!$F$2:$F$355,MATCH($C715,Deals!$A$2:$A$355,0)),"?"))</f>
        <v/>
      </c>
      <c r="F715" s="27" t="n"/>
      <c r="G715" s="27" t="n"/>
      <c r="H715" s="27" t="n"/>
      <c r="I715" s="20">
        <f>IF(OR($A715="",$G715&lt;&gt;"Active"),0,IF($H715&lt;&gt;"",$H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</f>
        <v/>
      </c>
      <c r="J715" s="23">
        <f>IF($C715="",0,IFERROR(INDEX(Deals!$H$2:$H$355,MATCH($C715,Deals!$A$2:$A$355,0)),0))</f>
        <v/>
      </c>
      <c r="K715" s="20">
        <f>IF(Settings!$B$4="Yes",$I715*$J715,$I715)</f>
        <v/>
      </c>
      <c r="L715" s="31">
        <f>IF($C715="","",IFERROR(IF(INDEX(Deals!$I$2:$I$355,MATCH($C715,Deals!$A$2:$A$355,0))=0,"",INDEX(Deals!$I$2:$I$355,MATCH($C715,Deals!$A$2:$A$355,0))),""))</f>
        <v/>
      </c>
      <c r="M715" s="31">
        <f>IF($C715="","",IFERROR(IF(INDEX(Deals!$J$2:$J$355,MATCH($C715,Deals!$A$2:$A$355,0))=0,"",INDEX(Deals!$J$2:$J$355,MATCH($C715,Deals!$A$2:$A$355,0))),""))</f>
        <v/>
      </c>
      <c r="N715" s="24">
        <f>IF($L715="",DATE(1900,1,1),$L715)</f>
        <v/>
      </c>
      <c r="O715" s="24">
        <f>IF($M715="",DATE(2100,12,31),$M715)</f>
        <v/>
      </c>
      <c r="P715" s="27" t="n"/>
      <c r="Q715" s="27" t="n"/>
      <c r="R715" s="29">
        <f>IF($C715="","",IFERROR(IF(INDEX(Deals!$U$2:$U$355,MATCH($C715,Deals!$A$2:$A$355,0))=0,"",INDEX(Deals!$U$2:$U$355,MATCH($C715,Deals!$A$2:$A$355,0))),""))</f>
        <v/>
      </c>
      <c r="S715" s="22">
        <f>IFERROR(IF($U715="",1,INDEX(Deals!$V$2:$V$355,MATCH($C715,Deals!$A$2:$A$355,0))),1)</f>
        <v/>
      </c>
      <c r="T715" s="22">
        <f>IFERROR(IF($U715="",1,INDEX(Deals!$W$2:$W$355,MATCH($C715,Deals!$A$2:$A$355,0))),1)</f>
        <v/>
      </c>
      <c r="U715" s="31">
        <f>IF($C715="","",IFERROR(IF(INDEX(Deals!$Y$2:$Y$355,MATCH($C715,Deals!$A$2:$A$355,0))=0,"",INDEX(Deals!$Y$2:$Y$355,MATCH($C715,Deals!$A$2:$A$355,0))),""))</f>
        <v/>
      </c>
      <c r="V715" s="24">
        <f>IF($U715="",DATE(1900,1,1),$N715)</f>
        <v/>
      </c>
      <c r="W715" s="24">
        <f>IF($U715="",DATE(2100,12,31),$U715)</f>
        <v/>
      </c>
      <c r="X715" s="20">
        <f>IF($U715="",$K715,$K715*$S715)</f>
        <v/>
      </c>
      <c r="Y715" s="24">
        <f>IF($U715="",DATE(2100,12,31),$U715+1)</f>
        <v/>
      </c>
      <c r="Z715" s="24">
        <f>IF($U715="",DATE(1900,1,1),$O715)</f>
        <v/>
      </c>
      <c r="AA715" s="20">
        <f>IF($U715="",0,$K715*$T715)</f>
        <v/>
      </c>
    </row>
    <row r="716">
      <c r="A716" s="27" t="n"/>
      <c r="B716" s="29">
        <f>IF($A716="","",IFERROR(INDEX(Roster!$B$2:$B$40,MATCH($A716,Roster!$A$2:$A$40,0)),"?"))</f>
        <v/>
      </c>
      <c r="C716" s="27" t="n"/>
      <c r="D716" s="29">
        <f>IF($C716="","",IFERROR(IF(INDEX(Deals!$C$2:$C$355,MATCH($C716,Deals!$A$2:$A$355,0))=0,"",INDEX(Deals!$C$2:$C$355,MATCH($C716,Deals!$A$2:$A$355,0))),"?"))</f>
        <v/>
      </c>
      <c r="E716" s="29">
        <f>IF($C716="","",IFERROR(INDEX(Deals!$F$2:$F$355,MATCH($C716,Deals!$A$2:$A$355,0)),"?"))</f>
        <v/>
      </c>
      <c r="F716" s="27" t="n"/>
      <c r="G716" s="27" t="n"/>
      <c r="H716" s="27" t="n"/>
      <c r="I716" s="20">
        <f>IF(OR($A716="",$G716&lt;&gt;"Active"),0,IF($H716&lt;&gt;"",$H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</f>
        <v/>
      </c>
      <c r="J716" s="23">
        <f>IF($C716="",0,IFERROR(INDEX(Deals!$H$2:$H$355,MATCH($C716,Deals!$A$2:$A$355,0)),0))</f>
        <v/>
      </c>
      <c r="K716" s="20">
        <f>IF(Settings!$B$4="Yes",$I716*$J716,$I716)</f>
        <v/>
      </c>
      <c r="L716" s="31">
        <f>IF($C716="","",IFERROR(IF(INDEX(Deals!$I$2:$I$355,MATCH($C716,Deals!$A$2:$A$355,0))=0,"",INDEX(Deals!$I$2:$I$355,MATCH($C716,Deals!$A$2:$A$355,0))),""))</f>
        <v/>
      </c>
      <c r="M716" s="31">
        <f>IF($C716="","",IFERROR(IF(INDEX(Deals!$J$2:$J$355,MATCH($C716,Deals!$A$2:$A$355,0))=0,"",INDEX(Deals!$J$2:$J$355,MATCH($C716,Deals!$A$2:$A$355,0))),""))</f>
        <v/>
      </c>
      <c r="N716" s="24">
        <f>IF($L716="",DATE(1900,1,1),$L716)</f>
        <v/>
      </c>
      <c r="O716" s="24">
        <f>IF($M716="",DATE(2100,12,31),$M716)</f>
        <v/>
      </c>
      <c r="P716" s="27" t="n"/>
      <c r="Q716" s="27" t="n"/>
      <c r="R716" s="29">
        <f>IF($C716="","",IFERROR(IF(INDEX(Deals!$U$2:$U$355,MATCH($C716,Deals!$A$2:$A$355,0))=0,"",INDEX(Deals!$U$2:$U$355,MATCH($C716,Deals!$A$2:$A$355,0))),""))</f>
        <v/>
      </c>
      <c r="S716" s="22">
        <f>IFERROR(IF($U716="",1,INDEX(Deals!$V$2:$V$355,MATCH($C716,Deals!$A$2:$A$355,0))),1)</f>
        <v/>
      </c>
      <c r="T716" s="22">
        <f>IFERROR(IF($U716="",1,INDEX(Deals!$W$2:$W$355,MATCH($C716,Deals!$A$2:$A$355,0))),1)</f>
        <v/>
      </c>
      <c r="U716" s="31">
        <f>IF($C716="","",IFERROR(IF(INDEX(Deals!$Y$2:$Y$355,MATCH($C716,Deals!$A$2:$A$355,0))=0,"",INDEX(Deals!$Y$2:$Y$355,MATCH($C716,Deals!$A$2:$A$355,0))),""))</f>
        <v/>
      </c>
      <c r="V716" s="24">
        <f>IF($U716="",DATE(1900,1,1),$N716)</f>
        <v/>
      </c>
      <c r="W716" s="24">
        <f>IF($U716="",DATE(2100,12,31),$U716)</f>
        <v/>
      </c>
      <c r="X716" s="20">
        <f>IF($U716="",$K716,$K716*$S716)</f>
        <v/>
      </c>
      <c r="Y716" s="24">
        <f>IF($U716="",DATE(2100,12,31),$U716+1)</f>
        <v/>
      </c>
      <c r="Z716" s="24">
        <f>IF($U716="",DATE(1900,1,1),$O716)</f>
        <v/>
      </c>
      <c r="AA716" s="20">
        <f>IF($U716="",0,$K716*$T716)</f>
        <v/>
      </c>
    </row>
    <row r="717">
      <c r="A717" s="27" t="n"/>
      <c r="B717" s="29">
        <f>IF($A717="","",IFERROR(INDEX(Roster!$B$2:$B$40,MATCH($A717,Roster!$A$2:$A$40,0)),"?"))</f>
        <v/>
      </c>
      <c r="C717" s="27" t="n"/>
      <c r="D717" s="29">
        <f>IF($C717="","",IFERROR(IF(INDEX(Deals!$C$2:$C$355,MATCH($C717,Deals!$A$2:$A$355,0))=0,"",INDEX(Deals!$C$2:$C$355,MATCH($C717,Deals!$A$2:$A$355,0))),"?"))</f>
        <v/>
      </c>
      <c r="E717" s="29">
        <f>IF($C717="","",IFERROR(INDEX(Deals!$F$2:$F$355,MATCH($C717,Deals!$A$2:$A$355,0)),"?"))</f>
        <v/>
      </c>
      <c r="F717" s="27" t="n"/>
      <c r="G717" s="27" t="n"/>
      <c r="H717" s="27" t="n"/>
      <c r="I717" s="20">
        <f>IF(OR($A717="",$G717&lt;&gt;"Active"),0,IF($H717&lt;&gt;"",$H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</f>
        <v/>
      </c>
      <c r="J717" s="23">
        <f>IF($C717="",0,IFERROR(INDEX(Deals!$H$2:$H$355,MATCH($C717,Deals!$A$2:$A$355,0)),0))</f>
        <v/>
      </c>
      <c r="K717" s="20">
        <f>IF(Settings!$B$4="Yes",$I717*$J717,$I717)</f>
        <v/>
      </c>
      <c r="L717" s="31">
        <f>IF($C717="","",IFERROR(IF(INDEX(Deals!$I$2:$I$355,MATCH($C717,Deals!$A$2:$A$355,0))=0,"",INDEX(Deals!$I$2:$I$355,MATCH($C717,Deals!$A$2:$A$355,0))),""))</f>
        <v/>
      </c>
      <c r="M717" s="31">
        <f>IF($C717="","",IFERROR(IF(INDEX(Deals!$J$2:$J$355,MATCH($C717,Deals!$A$2:$A$355,0))=0,"",INDEX(Deals!$J$2:$J$355,MATCH($C717,Deals!$A$2:$A$355,0))),""))</f>
        <v/>
      </c>
      <c r="N717" s="24">
        <f>IF($L717="",DATE(1900,1,1),$L717)</f>
        <v/>
      </c>
      <c r="O717" s="24">
        <f>IF($M717="",DATE(2100,12,31),$M717)</f>
        <v/>
      </c>
      <c r="P717" s="27" t="n"/>
      <c r="Q717" s="27" t="n"/>
      <c r="R717" s="29">
        <f>IF($C717="","",IFERROR(IF(INDEX(Deals!$U$2:$U$355,MATCH($C717,Deals!$A$2:$A$355,0))=0,"",INDEX(Deals!$U$2:$U$355,MATCH($C717,Deals!$A$2:$A$355,0))),""))</f>
        <v/>
      </c>
      <c r="S717" s="22">
        <f>IFERROR(IF($U717="",1,INDEX(Deals!$V$2:$V$355,MATCH($C717,Deals!$A$2:$A$355,0))),1)</f>
        <v/>
      </c>
      <c r="T717" s="22">
        <f>IFERROR(IF($U717="",1,INDEX(Deals!$W$2:$W$355,MATCH($C717,Deals!$A$2:$A$355,0))),1)</f>
        <v/>
      </c>
      <c r="U717" s="31">
        <f>IF($C717="","",IFERROR(IF(INDEX(Deals!$Y$2:$Y$355,MATCH($C717,Deals!$A$2:$A$355,0))=0,"",INDEX(Deals!$Y$2:$Y$355,MATCH($C717,Deals!$A$2:$A$355,0))),""))</f>
        <v/>
      </c>
      <c r="V717" s="24">
        <f>IF($U717="",DATE(1900,1,1),$N717)</f>
        <v/>
      </c>
      <c r="W717" s="24">
        <f>IF($U717="",DATE(2100,12,31),$U717)</f>
        <v/>
      </c>
      <c r="X717" s="20">
        <f>IF($U717="",$K717,$K717*$S717)</f>
        <v/>
      </c>
      <c r="Y717" s="24">
        <f>IF($U717="",DATE(2100,12,31),$U717+1)</f>
        <v/>
      </c>
      <c r="Z717" s="24">
        <f>IF($U717="",DATE(1900,1,1),$O717)</f>
        <v/>
      </c>
      <c r="AA717" s="20">
        <f>IF($U717="",0,$K717*$T717)</f>
        <v/>
      </c>
    </row>
    <row r="718">
      <c r="A718" s="27" t="n"/>
      <c r="B718" s="29">
        <f>IF($A718="","",IFERROR(INDEX(Roster!$B$2:$B$40,MATCH($A718,Roster!$A$2:$A$40,0)),"?"))</f>
        <v/>
      </c>
      <c r="C718" s="27" t="n"/>
      <c r="D718" s="29">
        <f>IF($C718="","",IFERROR(IF(INDEX(Deals!$C$2:$C$355,MATCH($C718,Deals!$A$2:$A$355,0))=0,"",INDEX(Deals!$C$2:$C$355,MATCH($C718,Deals!$A$2:$A$355,0))),"?"))</f>
        <v/>
      </c>
      <c r="E718" s="29">
        <f>IF($C718="","",IFERROR(INDEX(Deals!$F$2:$F$355,MATCH($C718,Deals!$A$2:$A$355,0)),"?"))</f>
        <v/>
      </c>
      <c r="F718" s="27" t="n"/>
      <c r="G718" s="27" t="n"/>
      <c r="H718" s="27" t="n"/>
      <c r="I718" s="20">
        <f>IF(OR($A718="",$G718&lt;&gt;"Active"),0,IF($H718&lt;&gt;"",$H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</f>
        <v/>
      </c>
      <c r="J718" s="23">
        <f>IF($C718="",0,IFERROR(INDEX(Deals!$H$2:$H$355,MATCH($C718,Deals!$A$2:$A$355,0)),0))</f>
        <v/>
      </c>
      <c r="K718" s="20">
        <f>IF(Settings!$B$4="Yes",$I718*$J718,$I718)</f>
        <v/>
      </c>
      <c r="L718" s="31">
        <f>IF($C718="","",IFERROR(IF(INDEX(Deals!$I$2:$I$355,MATCH($C718,Deals!$A$2:$A$355,0))=0,"",INDEX(Deals!$I$2:$I$355,MATCH($C718,Deals!$A$2:$A$355,0))),""))</f>
        <v/>
      </c>
      <c r="M718" s="31">
        <f>IF($C718="","",IFERROR(IF(INDEX(Deals!$J$2:$J$355,MATCH($C718,Deals!$A$2:$A$355,0))=0,"",INDEX(Deals!$J$2:$J$355,MATCH($C718,Deals!$A$2:$A$355,0))),""))</f>
        <v/>
      </c>
      <c r="N718" s="24">
        <f>IF($L718="",DATE(1900,1,1),$L718)</f>
        <v/>
      </c>
      <c r="O718" s="24">
        <f>IF($M718="",DATE(2100,12,31),$M718)</f>
        <v/>
      </c>
      <c r="P718" s="27" t="n"/>
      <c r="Q718" s="27" t="n"/>
      <c r="R718" s="29">
        <f>IF($C718="","",IFERROR(IF(INDEX(Deals!$U$2:$U$355,MATCH($C718,Deals!$A$2:$A$355,0))=0,"",INDEX(Deals!$U$2:$U$355,MATCH($C718,Deals!$A$2:$A$355,0))),""))</f>
        <v/>
      </c>
      <c r="S718" s="22">
        <f>IFERROR(IF($U718="",1,INDEX(Deals!$V$2:$V$355,MATCH($C718,Deals!$A$2:$A$355,0))),1)</f>
        <v/>
      </c>
      <c r="T718" s="22">
        <f>IFERROR(IF($U718="",1,INDEX(Deals!$W$2:$W$355,MATCH($C718,Deals!$A$2:$A$355,0))),1)</f>
        <v/>
      </c>
      <c r="U718" s="31">
        <f>IF($C718="","",IFERROR(IF(INDEX(Deals!$Y$2:$Y$355,MATCH($C718,Deals!$A$2:$A$355,0))=0,"",INDEX(Deals!$Y$2:$Y$355,MATCH($C718,Deals!$A$2:$A$355,0))),""))</f>
        <v/>
      </c>
      <c r="V718" s="24">
        <f>IF($U718="",DATE(1900,1,1),$N718)</f>
        <v/>
      </c>
      <c r="W718" s="24">
        <f>IF($U718="",DATE(2100,12,31),$U718)</f>
        <v/>
      </c>
      <c r="X718" s="20">
        <f>IF($U718="",$K718,$K718*$S718)</f>
        <v/>
      </c>
      <c r="Y718" s="24">
        <f>IF($U718="",DATE(2100,12,31),$U718+1)</f>
        <v/>
      </c>
      <c r="Z718" s="24">
        <f>IF($U718="",DATE(1900,1,1),$O718)</f>
        <v/>
      </c>
      <c r="AA718" s="20">
        <f>IF($U718="",0,$K718*$T718)</f>
        <v/>
      </c>
    </row>
    <row r="719">
      <c r="A719" s="27" t="n"/>
      <c r="B719" s="29">
        <f>IF($A719="","",IFERROR(INDEX(Roster!$B$2:$B$40,MATCH($A719,Roster!$A$2:$A$40,0)),"?"))</f>
        <v/>
      </c>
      <c r="C719" s="27" t="n"/>
      <c r="D719" s="29">
        <f>IF($C719="","",IFERROR(IF(INDEX(Deals!$C$2:$C$355,MATCH($C719,Deals!$A$2:$A$355,0))=0,"",INDEX(Deals!$C$2:$C$355,MATCH($C719,Deals!$A$2:$A$355,0))),"?"))</f>
        <v/>
      </c>
      <c r="E719" s="29">
        <f>IF($C719="","",IFERROR(INDEX(Deals!$F$2:$F$355,MATCH($C719,Deals!$A$2:$A$355,0)),"?"))</f>
        <v/>
      </c>
      <c r="F719" s="27" t="n"/>
      <c r="G719" s="27" t="n"/>
      <c r="H719" s="27" t="n"/>
      <c r="I719" s="20">
        <f>IF(OR($A719="",$G719&lt;&gt;"Active"),0,IF($H719&lt;&gt;"",$H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</f>
        <v/>
      </c>
      <c r="J719" s="23">
        <f>IF($C719="",0,IFERROR(INDEX(Deals!$H$2:$H$355,MATCH($C719,Deals!$A$2:$A$355,0)),0))</f>
        <v/>
      </c>
      <c r="K719" s="20">
        <f>IF(Settings!$B$4="Yes",$I719*$J719,$I719)</f>
        <v/>
      </c>
      <c r="L719" s="31">
        <f>IF($C719="","",IFERROR(IF(INDEX(Deals!$I$2:$I$355,MATCH($C719,Deals!$A$2:$A$355,0))=0,"",INDEX(Deals!$I$2:$I$355,MATCH($C719,Deals!$A$2:$A$355,0))),""))</f>
        <v/>
      </c>
      <c r="M719" s="31">
        <f>IF($C719="","",IFERROR(IF(INDEX(Deals!$J$2:$J$355,MATCH($C719,Deals!$A$2:$A$355,0))=0,"",INDEX(Deals!$J$2:$J$355,MATCH($C719,Deals!$A$2:$A$355,0))),""))</f>
        <v/>
      </c>
      <c r="N719" s="24">
        <f>IF($L719="",DATE(1900,1,1),$L719)</f>
        <v/>
      </c>
      <c r="O719" s="24">
        <f>IF($M719="",DATE(2100,12,31),$M719)</f>
        <v/>
      </c>
      <c r="P719" s="27" t="n"/>
      <c r="Q719" s="27" t="n"/>
      <c r="R719" s="29">
        <f>IF($C719="","",IFERROR(IF(INDEX(Deals!$U$2:$U$355,MATCH($C719,Deals!$A$2:$A$355,0))=0,"",INDEX(Deals!$U$2:$U$355,MATCH($C719,Deals!$A$2:$A$355,0))),""))</f>
        <v/>
      </c>
      <c r="S719" s="22">
        <f>IFERROR(IF($U719="",1,INDEX(Deals!$V$2:$V$355,MATCH($C719,Deals!$A$2:$A$355,0))),1)</f>
        <v/>
      </c>
      <c r="T719" s="22">
        <f>IFERROR(IF($U719="",1,INDEX(Deals!$W$2:$W$355,MATCH($C719,Deals!$A$2:$A$355,0))),1)</f>
        <v/>
      </c>
      <c r="U719" s="31">
        <f>IF($C719="","",IFERROR(IF(INDEX(Deals!$Y$2:$Y$355,MATCH($C719,Deals!$A$2:$A$355,0))=0,"",INDEX(Deals!$Y$2:$Y$355,MATCH($C719,Deals!$A$2:$A$355,0))),""))</f>
        <v/>
      </c>
      <c r="V719" s="24">
        <f>IF($U719="",DATE(1900,1,1),$N719)</f>
        <v/>
      </c>
      <c r="W719" s="24">
        <f>IF($U719="",DATE(2100,12,31),$U719)</f>
        <v/>
      </c>
      <c r="X719" s="20">
        <f>IF($U719="",$K719,$K719*$S719)</f>
        <v/>
      </c>
      <c r="Y719" s="24">
        <f>IF($U719="",DATE(2100,12,31),$U719+1)</f>
        <v/>
      </c>
      <c r="Z719" s="24">
        <f>IF($U719="",DATE(1900,1,1),$O719)</f>
        <v/>
      </c>
      <c r="AA719" s="20">
        <f>IF($U719="",0,$K719*$T719)</f>
        <v/>
      </c>
    </row>
    <row r="720">
      <c r="A720" s="27" t="n"/>
      <c r="B720" s="29">
        <f>IF($A720="","",IFERROR(INDEX(Roster!$B$2:$B$40,MATCH($A720,Roster!$A$2:$A$40,0)),"?"))</f>
        <v/>
      </c>
      <c r="C720" s="27" t="n"/>
      <c r="D720" s="29">
        <f>IF($C720="","",IFERROR(IF(INDEX(Deals!$C$2:$C$355,MATCH($C720,Deals!$A$2:$A$355,0))=0,"",INDEX(Deals!$C$2:$C$355,MATCH($C720,Deals!$A$2:$A$355,0))),"?"))</f>
        <v/>
      </c>
      <c r="E720" s="29">
        <f>IF($C720="","",IFERROR(INDEX(Deals!$F$2:$F$355,MATCH($C720,Deals!$A$2:$A$355,0)),"?"))</f>
        <v/>
      </c>
      <c r="F720" s="27" t="n"/>
      <c r="G720" s="27" t="n"/>
      <c r="H720" s="27" t="n"/>
      <c r="I720" s="20">
        <f>IF(OR($A720="",$G720&lt;&gt;"Active"),0,IF($H720&lt;&gt;"",$H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</f>
        <v/>
      </c>
      <c r="J720" s="23">
        <f>IF($C720="",0,IFERROR(INDEX(Deals!$H$2:$H$355,MATCH($C720,Deals!$A$2:$A$355,0)),0))</f>
        <v/>
      </c>
      <c r="K720" s="20">
        <f>IF(Settings!$B$4="Yes",$I720*$J720,$I720)</f>
        <v/>
      </c>
      <c r="L720" s="31">
        <f>IF($C720="","",IFERROR(IF(INDEX(Deals!$I$2:$I$355,MATCH($C720,Deals!$A$2:$A$355,0))=0,"",INDEX(Deals!$I$2:$I$355,MATCH($C720,Deals!$A$2:$A$355,0))),""))</f>
        <v/>
      </c>
      <c r="M720" s="31">
        <f>IF($C720="","",IFERROR(IF(INDEX(Deals!$J$2:$J$355,MATCH($C720,Deals!$A$2:$A$355,0))=0,"",INDEX(Deals!$J$2:$J$355,MATCH($C720,Deals!$A$2:$A$355,0))),""))</f>
        <v/>
      </c>
      <c r="N720" s="24">
        <f>IF($L720="",DATE(1900,1,1),$L720)</f>
        <v/>
      </c>
      <c r="O720" s="24">
        <f>IF($M720="",DATE(2100,12,31),$M720)</f>
        <v/>
      </c>
      <c r="P720" s="27" t="n"/>
      <c r="Q720" s="27" t="n"/>
      <c r="R720" s="29">
        <f>IF($C720="","",IFERROR(IF(INDEX(Deals!$U$2:$U$355,MATCH($C720,Deals!$A$2:$A$355,0))=0,"",INDEX(Deals!$U$2:$U$355,MATCH($C720,Deals!$A$2:$A$355,0))),""))</f>
        <v/>
      </c>
      <c r="S720" s="22">
        <f>IFERROR(IF($U720="",1,INDEX(Deals!$V$2:$V$355,MATCH($C720,Deals!$A$2:$A$355,0))),1)</f>
        <v/>
      </c>
      <c r="T720" s="22">
        <f>IFERROR(IF($U720="",1,INDEX(Deals!$W$2:$W$355,MATCH($C720,Deals!$A$2:$A$355,0))),1)</f>
        <v/>
      </c>
      <c r="U720" s="31">
        <f>IF($C720="","",IFERROR(IF(INDEX(Deals!$Y$2:$Y$355,MATCH($C720,Deals!$A$2:$A$355,0))=0,"",INDEX(Deals!$Y$2:$Y$355,MATCH($C720,Deals!$A$2:$A$355,0))),""))</f>
        <v/>
      </c>
      <c r="V720" s="24">
        <f>IF($U720="",DATE(1900,1,1),$N720)</f>
        <v/>
      </c>
      <c r="W720" s="24">
        <f>IF($U720="",DATE(2100,12,31),$U720)</f>
        <v/>
      </c>
      <c r="X720" s="20">
        <f>IF($U720="",$K720,$K720*$S720)</f>
        <v/>
      </c>
      <c r="Y720" s="24">
        <f>IF($U720="",DATE(2100,12,31),$U720+1)</f>
        <v/>
      </c>
      <c r="Z720" s="24">
        <f>IF($U720="",DATE(1900,1,1),$O720)</f>
        <v/>
      </c>
      <c r="AA720" s="20">
        <f>IF($U720="",0,$K720*$T720)</f>
        <v/>
      </c>
    </row>
    <row r="721">
      <c r="A721" s="27" t="n"/>
      <c r="B721" s="29">
        <f>IF($A721="","",IFERROR(INDEX(Roster!$B$2:$B$40,MATCH($A721,Roster!$A$2:$A$40,0)),"?"))</f>
        <v/>
      </c>
      <c r="C721" s="27" t="n"/>
      <c r="D721" s="29">
        <f>IF($C721="","",IFERROR(IF(INDEX(Deals!$C$2:$C$355,MATCH($C721,Deals!$A$2:$A$355,0))=0,"",INDEX(Deals!$C$2:$C$355,MATCH($C721,Deals!$A$2:$A$355,0))),"?"))</f>
        <v/>
      </c>
      <c r="E721" s="29">
        <f>IF($C721="","",IFERROR(INDEX(Deals!$F$2:$F$355,MATCH($C721,Deals!$A$2:$A$355,0)),"?"))</f>
        <v/>
      </c>
      <c r="F721" s="27" t="n"/>
      <c r="G721" s="27" t="n"/>
      <c r="H721" s="27" t="n"/>
      <c r="I721" s="20">
        <f>IF(OR($A721="",$G721&lt;&gt;"Active"),0,IF($H721&lt;&gt;"",$H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</f>
        <v/>
      </c>
      <c r="J721" s="23">
        <f>IF($C721="",0,IFERROR(INDEX(Deals!$H$2:$H$355,MATCH($C721,Deals!$A$2:$A$355,0)),0))</f>
        <v/>
      </c>
      <c r="K721" s="20">
        <f>IF(Settings!$B$4="Yes",$I721*$J721,$I721)</f>
        <v/>
      </c>
      <c r="L721" s="31">
        <f>IF($C721="","",IFERROR(IF(INDEX(Deals!$I$2:$I$355,MATCH($C721,Deals!$A$2:$A$355,0))=0,"",INDEX(Deals!$I$2:$I$355,MATCH($C721,Deals!$A$2:$A$355,0))),""))</f>
        <v/>
      </c>
      <c r="M721" s="31">
        <f>IF($C721="","",IFERROR(IF(INDEX(Deals!$J$2:$J$355,MATCH($C721,Deals!$A$2:$A$355,0))=0,"",INDEX(Deals!$J$2:$J$355,MATCH($C721,Deals!$A$2:$A$355,0))),""))</f>
        <v/>
      </c>
      <c r="N721" s="24">
        <f>IF($L721="",DATE(1900,1,1),$L721)</f>
        <v/>
      </c>
      <c r="O721" s="24">
        <f>IF($M721="",DATE(2100,12,31),$M721)</f>
        <v/>
      </c>
      <c r="P721" s="27" t="n"/>
      <c r="Q721" s="27" t="n"/>
      <c r="R721" s="29">
        <f>IF($C721="","",IFERROR(IF(INDEX(Deals!$U$2:$U$355,MATCH($C721,Deals!$A$2:$A$355,0))=0,"",INDEX(Deals!$U$2:$U$355,MATCH($C721,Deals!$A$2:$A$355,0))),""))</f>
        <v/>
      </c>
      <c r="S721" s="22">
        <f>IFERROR(IF($U721="",1,INDEX(Deals!$V$2:$V$355,MATCH($C721,Deals!$A$2:$A$355,0))),1)</f>
        <v/>
      </c>
      <c r="T721" s="22">
        <f>IFERROR(IF($U721="",1,INDEX(Deals!$W$2:$W$355,MATCH($C721,Deals!$A$2:$A$355,0))),1)</f>
        <v/>
      </c>
      <c r="U721" s="31">
        <f>IF($C721="","",IFERROR(IF(INDEX(Deals!$Y$2:$Y$355,MATCH($C721,Deals!$A$2:$A$355,0))=0,"",INDEX(Deals!$Y$2:$Y$355,MATCH($C721,Deals!$A$2:$A$355,0))),""))</f>
        <v/>
      </c>
      <c r="V721" s="24">
        <f>IF($U721="",DATE(1900,1,1),$N721)</f>
        <v/>
      </c>
      <c r="W721" s="24">
        <f>IF($U721="",DATE(2100,12,31),$U721)</f>
        <v/>
      </c>
      <c r="X721" s="20">
        <f>IF($U721="",$K721,$K721*$S721)</f>
        <v/>
      </c>
      <c r="Y721" s="24">
        <f>IF($U721="",DATE(2100,12,31),$U721+1)</f>
        <v/>
      </c>
      <c r="Z721" s="24">
        <f>IF($U721="",DATE(1900,1,1),$O721)</f>
        <v/>
      </c>
      <c r="AA721" s="20">
        <f>IF($U721="",0,$K721*$T721)</f>
        <v/>
      </c>
    </row>
    <row r="722">
      <c r="A722" s="27" t="n"/>
      <c r="B722" s="29">
        <f>IF($A722="","",IFERROR(INDEX(Roster!$B$2:$B$40,MATCH($A722,Roster!$A$2:$A$40,0)),"?"))</f>
        <v/>
      </c>
      <c r="C722" s="27" t="n"/>
      <c r="D722" s="29">
        <f>IF($C722="","",IFERROR(IF(INDEX(Deals!$C$2:$C$355,MATCH($C722,Deals!$A$2:$A$355,0))=0,"",INDEX(Deals!$C$2:$C$355,MATCH($C722,Deals!$A$2:$A$355,0))),"?"))</f>
        <v/>
      </c>
      <c r="E722" s="29">
        <f>IF($C722="","",IFERROR(INDEX(Deals!$F$2:$F$355,MATCH($C722,Deals!$A$2:$A$355,0)),"?"))</f>
        <v/>
      </c>
      <c r="F722" s="27" t="n"/>
      <c r="G722" s="27" t="n"/>
      <c r="H722" s="27" t="n"/>
      <c r="I722" s="20">
        <f>IF(OR($A722="",$G722&lt;&gt;"Active"),0,IF($H722&lt;&gt;"",$H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</f>
        <v/>
      </c>
      <c r="J722" s="23">
        <f>IF($C722="",0,IFERROR(INDEX(Deals!$H$2:$H$355,MATCH($C722,Deals!$A$2:$A$355,0)),0))</f>
        <v/>
      </c>
      <c r="K722" s="20">
        <f>IF(Settings!$B$4="Yes",$I722*$J722,$I722)</f>
        <v/>
      </c>
      <c r="L722" s="31">
        <f>IF($C722="","",IFERROR(IF(INDEX(Deals!$I$2:$I$355,MATCH($C722,Deals!$A$2:$A$355,0))=0,"",INDEX(Deals!$I$2:$I$355,MATCH($C722,Deals!$A$2:$A$355,0))),""))</f>
        <v/>
      </c>
      <c r="M722" s="31">
        <f>IF($C722="","",IFERROR(IF(INDEX(Deals!$J$2:$J$355,MATCH($C722,Deals!$A$2:$A$355,0))=0,"",INDEX(Deals!$J$2:$J$355,MATCH($C722,Deals!$A$2:$A$355,0))),""))</f>
        <v/>
      </c>
      <c r="N722" s="24">
        <f>IF($L722="",DATE(1900,1,1),$L722)</f>
        <v/>
      </c>
      <c r="O722" s="24">
        <f>IF($M722="",DATE(2100,12,31),$M722)</f>
        <v/>
      </c>
      <c r="P722" s="27" t="n"/>
      <c r="Q722" s="27" t="n"/>
      <c r="R722" s="29">
        <f>IF($C722="","",IFERROR(IF(INDEX(Deals!$U$2:$U$355,MATCH($C722,Deals!$A$2:$A$355,0))=0,"",INDEX(Deals!$U$2:$U$355,MATCH($C722,Deals!$A$2:$A$355,0))),""))</f>
        <v/>
      </c>
      <c r="S722" s="22">
        <f>IFERROR(IF($U722="",1,INDEX(Deals!$V$2:$V$355,MATCH($C722,Deals!$A$2:$A$355,0))),1)</f>
        <v/>
      </c>
      <c r="T722" s="22">
        <f>IFERROR(IF($U722="",1,INDEX(Deals!$W$2:$W$355,MATCH($C722,Deals!$A$2:$A$355,0))),1)</f>
        <v/>
      </c>
      <c r="U722" s="31">
        <f>IF($C722="","",IFERROR(IF(INDEX(Deals!$Y$2:$Y$355,MATCH($C722,Deals!$A$2:$A$355,0))=0,"",INDEX(Deals!$Y$2:$Y$355,MATCH($C722,Deals!$A$2:$A$355,0))),""))</f>
        <v/>
      </c>
      <c r="V722" s="24">
        <f>IF($U722="",DATE(1900,1,1),$N722)</f>
        <v/>
      </c>
      <c r="W722" s="24">
        <f>IF($U722="",DATE(2100,12,31),$U722)</f>
        <v/>
      </c>
      <c r="X722" s="20">
        <f>IF($U722="",$K722,$K722*$S722)</f>
        <v/>
      </c>
      <c r="Y722" s="24">
        <f>IF($U722="",DATE(2100,12,31),$U722+1)</f>
        <v/>
      </c>
      <c r="Z722" s="24">
        <f>IF($U722="",DATE(1900,1,1),$O722)</f>
        <v/>
      </c>
      <c r="AA722" s="20">
        <f>IF($U722="",0,$K722*$T722)</f>
        <v/>
      </c>
    </row>
    <row r="723">
      <c r="A723" s="27" t="n"/>
      <c r="B723" s="29">
        <f>IF($A723="","",IFERROR(INDEX(Roster!$B$2:$B$40,MATCH($A723,Roster!$A$2:$A$40,0)),"?"))</f>
        <v/>
      </c>
      <c r="C723" s="27" t="n"/>
      <c r="D723" s="29">
        <f>IF($C723="","",IFERROR(IF(INDEX(Deals!$C$2:$C$355,MATCH($C723,Deals!$A$2:$A$355,0))=0,"",INDEX(Deals!$C$2:$C$355,MATCH($C723,Deals!$A$2:$A$355,0))),"?"))</f>
        <v/>
      </c>
      <c r="E723" s="29">
        <f>IF($C723="","",IFERROR(INDEX(Deals!$F$2:$F$355,MATCH($C723,Deals!$A$2:$A$355,0)),"?"))</f>
        <v/>
      </c>
      <c r="F723" s="27" t="n"/>
      <c r="G723" s="27" t="n"/>
      <c r="H723" s="27" t="n"/>
      <c r="I723" s="20">
        <f>IF(OR($A723="",$G723&lt;&gt;"Active"),0,IF($H723&lt;&gt;"",$H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</f>
        <v/>
      </c>
      <c r="J723" s="23">
        <f>IF($C723="",0,IFERROR(INDEX(Deals!$H$2:$H$355,MATCH($C723,Deals!$A$2:$A$355,0)),0))</f>
        <v/>
      </c>
      <c r="K723" s="20">
        <f>IF(Settings!$B$4="Yes",$I723*$J723,$I723)</f>
        <v/>
      </c>
      <c r="L723" s="31">
        <f>IF($C723="","",IFERROR(IF(INDEX(Deals!$I$2:$I$355,MATCH($C723,Deals!$A$2:$A$355,0))=0,"",INDEX(Deals!$I$2:$I$355,MATCH($C723,Deals!$A$2:$A$355,0))),""))</f>
        <v/>
      </c>
      <c r="M723" s="31">
        <f>IF($C723="","",IFERROR(IF(INDEX(Deals!$J$2:$J$355,MATCH($C723,Deals!$A$2:$A$355,0))=0,"",INDEX(Deals!$J$2:$J$355,MATCH($C723,Deals!$A$2:$A$355,0))),""))</f>
        <v/>
      </c>
      <c r="N723" s="24">
        <f>IF($L723="",DATE(1900,1,1),$L723)</f>
        <v/>
      </c>
      <c r="O723" s="24">
        <f>IF($M723="",DATE(2100,12,31),$M723)</f>
        <v/>
      </c>
      <c r="P723" s="27" t="n"/>
      <c r="Q723" s="27" t="n"/>
      <c r="R723" s="29">
        <f>IF($C723="","",IFERROR(IF(INDEX(Deals!$U$2:$U$355,MATCH($C723,Deals!$A$2:$A$355,0))=0,"",INDEX(Deals!$U$2:$U$355,MATCH($C723,Deals!$A$2:$A$355,0))),""))</f>
        <v/>
      </c>
      <c r="S723" s="22">
        <f>IFERROR(IF($U723="",1,INDEX(Deals!$V$2:$V$355,MATCH($C723,Deals!$A$2:$A$355,0))),1)</f>
        <v/>
      </c>
      <c r="T723" s="22">
        <f>IFERROR(IF($U723="",1,INDEX(Deals!$W$2:$W$355,MATCH($C723,Deals!$A$2:$A$355,0))),1)</f>
        <v/>
      </c>
      <c r="U723" s="31">
        <f>IF($C723="","",IFERROR(IF(INDEX(Deals!$Y$2:$Y$355,MATCH($C723,Deals!$A$2:$A$355,0))=0,"",INDEX(Deals!$Y$2:$Y$355,MATCH($C723,Deals!$A$2:$A$355,0))),""))</f>
        <v/>
      </c>
      <c r="V723" s="24">
        <f>IF($U723="",DATE(1900,1,1),$N723)</f>
        <v/>
      </c>
      <c r="W723" s="24">
        <f>IF($U723="",DATE(2100,12,31),$U723)</f>
        <v/>
      </c>
      <c r="X723" s="20">
        <f>IF($U723="",$K723,$K723*$S723)</f>
        <v/>
      </c>
      <c r="Y723" s="24">
        <f>IF($U723="",DATE(2100,12,31),$U723+1)</f>
        <v/>
      </c>
      <c r="Z723" s="24">
        <f>IF($U723="",DATE(1900,1,1),$O723)</f>
        <v/>
      </c>
      <c r="AA723" s="20">
        <f>IF($U723="",0,$K723*$T723)</f>
        <v/>
      </c>
    </row>
    <row r="724">
      <c r="A724" s="27" t="n"/>
      <c r="B724" s="29">
        <f>IF($A724="","",IFERROR(INDEX(Roster!$B$2:$B$40,MATCH($A724,Roster!$A$2:$A$40,0)),"?"))</f>
        <v/>
      </c>
      <c r="C724" s="27" t="n"/>
      <c r="D724" s="29">
        <f>IF($C724="","",IFERROR(IF(INDEX(Deals!$C$2:$C$355,MATCH($C724,Deals!$A$2:$A$355,0))=0,"",INDEX(Deals!$C$2:$C$355,MATCH($C724,Deals!$A$2:$A$355,0))),"?"))</f>
        <v/>
      </c>
      <c r="E724" s="29">
        <f>IF($C724="","",IFERROR(INDEX(Deals!$F$2:$F$355,MATCH($C724,Deals!$A$2:$A$355,0)),"?"))</f>
        <v/>
      </c>
      <c r="F724" s="27" t="n"/>
      <c r="G724" s="27" t="n"/>
      <c r="H724" s="27" t="n"/>
      <c r="I724" s="20">
        <f>IF(OR($A724="",$G724&lt;&gt;"Active"),0,IF($H724&lt;&gt;"",$H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</f>
        <v/>
      </c>
      <c r="J724" s="23">
        <f>IF($C724="",0,IFERROR(INDEX(Deals!$H$2:$H$355,MATCH($C724,Deals!$A$2:$A$355,0)),0))</f>
        <v/>
      </c>
      <c r="K724" s="20">
        <f>IF(Settings!$B$4="Yes",$I724*$J724,$I724)</f>
        <v/>
      </c>
      <c r="L724" s="31">
        <f>IF($C724="","",IFERROR(IF(INDEX(Deals!$I$2:$I$355,MATCH($C724,Deals!$A$2:$A$355,0))=0,"",INDEX(Deals!$I$2:$I$355,MATCH($C724,Deals!$A$2:$A$355,0))),""))</f>
        <v/>
      </c>
      <c r="M724" s="31">
        <f>IF($C724="","",IFERROR(IF(INDEX(Deals!$J$2:$J$355,MATCH($C724,Deals!$A$2:$A$355,0))=0,"",INDEX(Deals!$J$2:$J$355,MATCH($C724,Deals!$A$2:$A$355,0))),""))</f>
        <v/>
      </c>
      <c r="N724" s="24">
        <f>IF($L724="",DATE(1900,1,1),$L724)</f>
        <v/>
      </c>
      <c r="O724" s="24">
        <f>IF($M724="",DATE(2100,12,31),$M724)</f>
        <v/>
      </c>
      <c r="P724" s="27" t="n"/>
      <c r="Q724" s="27" t="n"/>
      <c r="R724" s="29">
        <f>IF($C724="","",IFERROR(IF(INDEX(Deals!$U$2:$U$355,MATCH($C724,Deals!$A$2:$A$355,0))=0,"",INDEX(Deals!$U$2:$U$355,MATCH($C724,Deals!$A$2:$A$355,0))),""))</f>
        <v/>
      </c>
      <c r="S724" s="22">
        <f>IFERROR(IF($U724="",1,INDEX(Deals!$V$2:$V$355,MATCH($C724,Deals!$A$2:$A$355,0))),1)</f>
        <v/>
      </c>
      <c r="T724" s="22">
        <f>IFERROR(IF($U724="",1,INDEX(Deals!$W$2:$W$355,MATCH($C724,Deals!$A$2:$A$355,0))),1)</f>
        <v/>
      </c>
      <c r="U724" s="31">
        <f>IF($C724="","",IFERROR(IF(INDEX(Deals!$Y$2:$Y$355,MATCH($C724,Deals!$A$2:$A$355,0))=0,"",INDEX(Deals!$Y$2:$Y$355,MATCH($C724,Deals!$A$2:$A$355,0))),""))</f>
        <v/>
      </c>
      <c r="V724" s="24">
        <f>IF($U724="",DATE(1900,1,1),$N724)</f>
        <v/>
      </c>
      <c r="W724" s="24">
        <f>IF($U724="",DATE(2100,12,31),$U724)</f>
        <v/>
      </c>
      <c r="X724" s="20">
        <f>IF($U724="",$K724,$K724*$S724)</f>
        <v/>
      </c>
      <c r="Y724" s="24">
        <f>IF($U724="",DATE(2100,12,31),$U724+1)</f>
        <v/>
      </c>
      <c r="Z724" s="24">
        <f>IF($U724="",DATE(1900,1,1),$O724)</f>
        <v/>
      </c>
      <c r="AA724" s="20">
        <f>IF($U724="",0,$K724*$T724)</f>
        <v/>
      </c>
    </row>
    <row r="725">
      <c r="A725" s="27" t="n"/>
      <c r="B725" s="29">
        <f>IF($A725="","",IFERROR(INDEX(Roster!$B$2:$B$40,MATCH($A725,Roster!$A$2:$A$40,0)),"?"))</f>
        <v/>
      </c>
      <c r="C725" s="27" t="n"/>
      <c r="D725" s="29">
        <f>IF($C725="","",IFERROR(IF(INDEX(Deals!$C$2:$C$355,MATCH($C725,Deals!$A$2:$A$355,0))=0,"",INDEX(Deals!$C$2:$C$355,MATCH($C725,Deals!$A$2:$A$355,0))),"?"))</f>
        <v/>
      </c>
      <c r="E725" s="29">
        <f>IF($C725="","",IFERROR(INDEX(Deals!$F$2:$F$355,MATCH($C725,Deals!$A$2:$A$355,0)),"?"))</f>
        <v/>
      </c>
      <c r="F725" s="27" t="n"/>
      <c r="G725" s="27" t="n"/>
      <c r="H725" s="27" t="n"/>
      <c r="I725" s="20">
        <f>IF(OR($A725="",$G725&lt;&gt;"Active"),0,IF($H725&lt;&gt;"",$H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</f>
        <v/>
      </c>
      <c r="J725" s="23">
        <f>IF($C725="",0,IFERROR(INDEX(Deals!$H$2:$H$355,MATCH($C725,Deals!$A$2:$A$355,0)),0))</f>
        <v/>
      </c>
      <c r="K725" s="20">
        <f>IF(Settings!$B$4="Yes",$I725*$J725,$I725)</f>
        <v/>
      </c>
      <c r="L725" s="31">
        <f>IF($C725="","",IFERROR(IF(INDEX(Deals!$I$2:$I$355,MATCH($C725,Deals!$A$2:$A$355,0))=0,"",INDEX(Deals!$I$2:$I$355,MATCH($C725,Deals!$A$2:$A$355,0))),""))</f>
        <v/>
      </c>
      <c r="M725" s="31">
        <f>IF($C725="","",IFERROR(IF(INDEX(Deals!$J$2:$J$355,MATCH($C725,Deals!$A$2:$A$355,0))=0,"",INDEX(Deals!$J$2:$J$355,MATCH($C725,Deals!$A$2:$A$355,0))),""))</f>
        <v/>
      </c>
      <c r="N725" s="24">
        <f>IF($L725="",DATE(1900,1,1),$L725)</f>
        <v/>
      </c>
      <c r="O725" s="24">
        <f>IF($M725="",DATE(2100,12,31),$M725)</f>
        <v/>
      </c>
      <c r="P725" s="27" t="n"/>
      <c r="Q725" s="27" t="n"/>
      <c r="R725" s="29">
        <f>IF($C725="","",IFERROR(IF(INDEX(Deals!$U$2:$U$355,MATCH($C725,Deals!$A$2:$A$355,0))=0,"",INDEX(Deals!$U$2:$U$355,MATCH($C725,Deals!$A$2:$A$355,0))),""))</f>
        <v/>
      </c>
      <c r="S725" s="22">
        <f>IFERROR(IF($U725="",1,INDEX(Deals!$V$2:$V$355,MATCH($C725,Deals!$A$2:$A$355,0))),1)</f>
        <v/>
      </c>
      <c r="T725" s="22">
        <f>IFERROR(IF($U725="",1,INDEX(Deals!$W$2:$W$355,MATCH($C725,Deals!$A$2:$A$355,0))),1)</f>
        <v/>
      </c>
      <c r="U725" s="31">
        <f>IF($C725="","",IFERROR(IF(INDEX(Deals!$Y$2:$Y$355,MATCH($C725,Deals!$A$2:$A$355,0))=0,"",INDEX(Deals!$Y$2:$Y$355,MATCH($C725,Deals!$A$2:$A$355,0))),""))</f>
        <v/>
      </c>
      <c r="V725" s="24">
        <f>IF($U725="",DATE(1900,1,1),$N725)</f>
        <v/>
      </c>
      <c r="W725" s="24">
        <f>IF($U725="",DATE(2100,12,31),$U725)</f>
        <v/>
      </c>
      <c r="X725" s="20">
        <f>IF($U725="",$K725,$K725*$S725)</f>
        <v/>
      </c>
      <c r="Y725" s="24">
        <f>IF($U725="",DATE(2100,12,31),$U725+1)</f>
        <v/>
      </c>
      <c r="Z725" s="24">
        <f>IF($U725="",DATE(1900,1,1),$O725)</f>
        <v/>
      </c>
      <c r="AA725" s="20">
        <f>IF($U725="",0,$K725*$T725)</f>
        <v/>
      </c>
    </row>
    <row r="726">
      <c r="A726" s="27" t="n"/>
      <c r="B726" s="29">
        <f>IF($A726="","",IFERROR(INDEX(Roster!$B$2:$B$40,MATCH($A726,Roster!$A$2:$A$40,0)),"?"))</f>
        <v/>
      </c>
      <c r="C726" s="27" t="n"/>
      <c r="D726" s="29">
        <f>IF($C726="","",IFERROR(IF(INDEX(Deals!$C$2:$C$355,MATCH($C726,Deals!$A$2:$A$355,0))=0,"",INDEX(Deals!$C$2:$C$355,MATCH($C726,Deals!$A$2:$A$355,0))),"?"))</f>
        <v/>
      </c>
      <c r="E726" s="29">
        <f>IF($C726="","",IFERROR(INDEX(Deals!$F$2:$F$355,MATCH($C726,Deals!$A$2:$A$355,0)),"?"))</f>
        <v/>
      </c>
      <c r="F726" s="27" t="n"/>
      <c r="G726" s="27" t="n"/>
      <c r="H726" s="27" t="n"/>
      <c r="I726" s="20">
        <f>IF(OR($A726="",$G726&lt;&gt;"Active"),0,IF($H726&lt;&gt;"",$H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</f>
        <v/>
      </c>
      <c r="J726" s="23">
        <f>IF($C726="",0,IFERROR(INDEX(Deals!$H$2:$H$355,MATCH($C726,Deals!$A$2:$A$355,0)),0))</f>
        <v/>
      </c>
      <c r="K726" s="20">
        <f>IF(Settings!$B$4="Yes",$I726*$J726,$I726)</f>
        <v/>
      </c>
      <c r="L726" s="31">
        <f>IF($C726="","",IFERROR(IF(INDEX(Deals!$I$2:$I$355,MATCH($C726,Deals!$A$2:$A$355,0))=0,"",INDEX(Deals!$I$2:$I$355,MATCH($C726,Deals!$A$2:$A$355,0))),""))</f>
        <v/>
      </c>
      <c r="M726" s="31">
        <f>IF($C726="","",IFERROR(IF(INDEX(Deals!$J$2:$J$355,MATCH($C726,Deals!$A$2:$A$355,0))=0,"",INDEX(Deals!$J$2:$J$355,MATCH($C726,Deals!$A$2:$A$355,0))),""))</f>
        <v/>
      </c>
      <c r="N726" s="24">
        <f>IF($L726="",DATE(1900,1,1),$L726)</f>
        <v/>
      </c>
      <c r="O726" s="24">
        <f>IF($M726="",DATE(2100,12,31),$M726)</f>
        <v/>
      </c>
      <c r="P726" s="27" t="n"/>
      <c r="Q726" s="27" t="n"/>
      <c r="R726" s="29">
        <f>IF($C726="","",IFERROR(IF(INDEX(Deals!$U$2:$U$355,MATCH($C726,Deals!$A$2:$A$355,0))=0,"",INDEX(Deals!$U$2:$U$355,MATCH($C726,Deals!$A$2:$A$355,0))),""))</f>
        <v/>
      </c>
      <c r="S726" s="22">
        <f>IFERROR(IF($U726="",1,INDEX(Deals!$V$2:$V$355,MATCH($C726,Deals!$A$2:$A$355,0))),1)</f>
        <v/>
      </c>
      <c r="T726" s="22">
        <f>IFERROR(IF($U726="",1,INDEX(Deals!$W$2:$W$355,MATCH($C726,Deals!$A$2:$A$355,0))),1)</f>
        <v/>
      </c>
      <c r="U726" s="31">
        <f>IF($C726="","",IFERROR(IF(INDEX(Deals!$Y$2:$Y$355,MATCH($C726,Deals!$A$2:$A$355,0))=0,"",INDEX(Deals!$Y$2:$Y$355,MATCH($C726,Deals!$A$2:$A$355,0))),""))</f>
        <v/>
      </c>
      <c r="V726" s="24">
        <f>IF($U726="",DATE(1900,1,1),$N726)</f>
        <v/>
      </c>
      <c r="W726" s="24">
        <f>IF($U726="",DATE(2100,12,31),$U726)</f>
        <v/>
      </c>
      <c r="X726" s="20">
        <f>IF($U726="",$K726,$K726*$S726)</f>
        <v/>
      </c>
      <c r="Y726" s="24">
        <f>IF($U726="",DATE(2100,12,31),$U726+1)</f>
        <v/>
      </c>
      <c r="Z726" s="24">
        <f>IF($U726="",DATE(1900,1,1),$O726)</f>
        <v/>
      </c>
      <c r="AA726" s="20">
        <f>IF($U726="",0,$K726*$T726)</f>
        <v/>
      </c>
    </row>
    <row r="727">
      <c r="A727" s="27" t="n"/>
      <c r="B727" s="29">
        <f>IF($A727="","",IFERROR(INDEX(Roster!$B$2:$B$40,MATCH($A727,Roster!$A$2:$A$40,0)),"?"))</f>
        <v/>
      </c>
      <c r="C727" s="27" t="n"/>
      <c r="D727" s="29">
        <f>IF($C727="","",IFERROR(IF(INDEX(Deals!$C$2:$C$355,MATCH($C727,Deals!$A$2:$A$355,0))=0,"",INDEX(Deals!$C$2:$C$355,MATCH($C727,Deals!$A$2:$A$355,0))),"?"))</f>
        <v/>
      </c>
      <c r="E727" s="29">
        <f>IF($C727="","",IFERROR(INDEX(Deals!$F$2:$F$355,MATCH($C727,Deals!$A$2:$A$355,0)),"?"))</f>
        <v/>
      </c>
      <c r="F727" s="27" t="n"/>
      <c r="G727" s="27" t="n"/>
      <c r="H727" s="27" t="n"/>
      <c r="I727" s="20">
        <f>IF(OR($A727="",$G727&lt;&gt;"Active"),0,IF($H727&lt;&gt;"",$H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</f>
        <v/>
      </c>
      <c r="J727" s="23">
        <f>IF($C727="",0,IFERROR(INDEX(Deals!$H$2:$H$355,MATCH($C727,Deals!$A$2:$A$355,0)),0))</f>
        <v/>
      </c>
      <c r="K727" s="20">
        <f>IF(Settings!$B$4="Yes",$I727*$J727,$I727)</f>
        <v/>
      </c>
      <c r="L727" s="31">
        <f>IF($C727="","",IFERROR(IF(INDEX(Deals!$I$2:$I$355,MATCH($C727,Deals!$A$2:$A$355,0))=0,"",INDEX(Deals!$I$2:$I$355,MATCH($C727,Deals!$A$2:$A$355,0))),""))</f>
        <v/>
      </c>
      <c r="M727" s="31">
        <f>IF($C727="","",IFERROR(IF(INDEX(Deals!$J$2:$J$355,MATCH($C727,Deals!$A$2:$A$355,0))=0,"",INDEX(Deals!$J$2:$J$355,MATCH($C727,Deals!$A$2:$A$355,0))),""))</f>
        <v/>
      </c>
      <c r="N727" s="24">
        <f>IF($L727="",DATE(1900,1,1),$L727)</f>
        <v/>
      </c>
      <c r="O727" s="24">
        <f>IF($M727="",DATE(2100,12,31),$M727)</f>
        <v/>
      </c>
      <c r="P727" s="27" t="n"/>
      <c r="Q727" s="27" t="n"/>
      <c r="R727" s="29">
        <f>IF($C727="","",IFERROR(IF(INDEX(Deals!$U$2:$U$355,MATCH($C727,Deals!$A$2:$A$355,0))=0,"",INDEX(Deals!$U$2:$U$355,MATCH($C727,Deals!$A$2:$A$355,0))),""))</f>
        <v/>
      </c>
      <c r="S727" s="22">
        <f>IFERROR(IF($U727="",1,INDEX(Deals!$V$2:$V$355,MATCH($C727,Deals!$A$2:$A$355,0))),1)</f>
        <v/>
      </c>
      <c r="T727" s="22">
        <f>IFERROR(IF($U727="",1,INDEX(Deals!$W$2:$W$355,MATCH($C727,Deals!$A$2:$A$355,0))),1)</f>
        <v/>
      </c>
      <c r="U727" s="31">
        <f>IF($C727="","",IFERROR(IF(INDEX(Deals!$Y$2:$Y$355,MATCH($C727,Deals!$A$2:$A$355,0))=0,"",INDEX(Deals!$Y$2:$Y$355,MATCH($C727,Deals!$A$2:$A$355,0))),""))</f>
        <v/>
      </c>
      <c r="V727" s="24">
        <f>IF($U727="",DATE(1900,1,1),$N727)</f>
        <v/>
      </c>
      <c r="W727" s="24">
        <f>IF($U727="",DATE(2100,12,31),$U727)</f>
        <v/>
      </c>
      <c r="X727" s="20">
        <f>IF($U727="",$K727,$K727*$S727)</f>
        <v/>
      </c>
      <c r="Y727" s="24">
        <f>IF($U727="",DATE(2100,12,31),$U727+1)</f>
        <v/>
      </c>
      <c r="Z727" s="24">
        <f>IF($U727="",DATE(1900,1,1),$O727)</f>
        <v/>
      </c>
      <c r="AA727" s="20">
        <f>IF($U727="",0,$K727*$T727)</f>
        <v/>
      </c>
    </row>
    <row r="728">
      <c r="A728" s="27" t="n"/>
      <c r="B728" s="29">
        <f>IF($A728="","",IFERROR(INDEX(Roster!$B$2:$B$40,MATCH($A728,Roster!$A$2:$A$40,0)),"?"))</f>
        <v/>
      </c>
      <c r="C728" s="27" t="n"/>
      <c r="D728" s="29">
        <f>IF($C728="","",IFERROR(IF(INDEX(Deals!$C$2:$C$355,MATCH($C728,Deals!$A$2:$A$355,0))=0,"",INDEX(Deals!$C$2:$C$355,MATCH($C728,Deals!$A$2:$A$355,0))),"?"))</f>
        <v/>
      </c>
      <c r="E728" s="29">
        <f>IF($C728="","",IFERROR(INDEX(Deals!$F$2:$F$355,MATCH($C728,Deals!$A$2:$A$355,0)),"?"))</f>
        <v/>
      </c>
      <c r="F728" s="27" t="n"/>
      <c r="G728" s="27" t="n"/>
      <c r="H728" s="27" t="n"/>
      <c r="I728" s="20">
        <f>IF(OR($A728="",$G728&lt;&gt;"Active"),0,IF($H728&lt;&gt;"",$H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</f>
        <v/>
      </c>
      <c r="J728" s="23">
        <f>IF($C728="",0,IFERROR(INDEX(Deals!$H$2:$H$355,MATCH($C728,Deals!$A$2:$A$355,0)),0))</f>
        <v/>
      </c>
      <c r="K728" s="20">
        <f>IF(Settings!$B$4="Yes",$I728*$J728,$I728)</f>
        <v/>
      </c>
      <c r="L728" s="31">
        <f>IF($C728="","",IFERROR(IF(INDEX(Deals!$I$2:$I$355,MATCH($C728,Deals!$A$2:$A$355,0))=0,"",INDEX(Deals!$I$2:$I$355,MATCH($C728,Deals!$A$2:$A$355,0))),""))</f>
        <v/>
      </c>
      <c r="M728" s="31">
        <f>IF($C728="","",IFERROR(IF(INDEX(Deals!$J$2:$J$355,MATCH($C728,Deals!$A$2:$A$355,0))=0,"",INDEX(Deals!$J$2:$J$355,MATCH($C728,Deals!$A$2:$A$355,0))),""))</f>
        <v/>
      </c>
      <c r="N728" s="24">
        <f>IF($L728="",DATE(1900,1,1),$L728)</f>
        <v/>
      </c>
      <c r="O728" s="24">
        <f>IF($M728="",DATE(2100,12,31),$M728)</f>
        <v/>
      </c>
      <c r="P728" s="27" t="n"/>
      <c r="Q728" s="27" t="n"/>
      <c r="R728" s="29">
        <f>IF($C728="","",IFERROR(IF(INDEX(Deals!$U$2:$U$355,MATCH($C728,Deals!$A$2:$A$355,0))=0,"",INDEX(Deals!$U$2:$U$355,MATCH($C728,Deals!$A$2:$A$355,0))),""))</f>
        <v/>
      </c>
      <c r="S728" s="22">
        <f>IFERROR(IF($U728="",1,INDEX(Deals!$V$2:$V$355,MATCH($C728,Deals!$A$2:$A$355,0))),1)</f>
        <v/>
      </c>
      <c r="T728" s="22">
        <f>IFERROR(IF($U728="",1,INDEX(Deals!$W$2:$W$355,MATCH($C728,Deals!$A$2:$A$355,0))),1)</f>
        <v/>
      </c>
      <c r="U728" s="31">
        <f>IF($C728="","",IFERROR(IF(INDEX(Deals!$Y$2:$Y$355,MATCH($C728,Deals!$A$2:$A$355,0))=0,"",INDEX(Deals!$Y$2:$Y$355,MATCH($C728,Deals!$A$2:$A$355,0))),""))</f>
        <v/>
      </c>
      <c r="V728" s="24">
        <f>IF($U728="",DATE(1900,1,1),$N728)</f>
        <v/>
      </c>
      <c r="W728" s="24">
        <f>IF($U728="",DATE(2100,12,31),$U728)</f>
        <v/>
      </c>
      <c r="X728" s="20">
        <f>IF($U728="",$K728,$K728*$S728)</f>
        <v/>
      </c>
      <c r="Y728" s="24">
        <f>IF($U728="",DATE(2100,12,31),$U728+1)</f>
        <v/>
      </c>
      <c r="Z728" s="24">
        <f>IF($U728="",DATE(1900,1,1),$O728)</f>
        <v/>
      </c>
      <c r="AA728" s="20">
        <f>IF($U728="",0,$K728*$T728)</f>
        <v/>
      </c>
    </row>
    <row r="729">
      <c r="A729" s="27" t="n"/>
      <c r="B729" s="29">
        <f>IF($A729="","",IFERROR(INDEX(Roster!$B$2:$B$40,MATCH($A729,Roster!$A$2:$A$40,0)),"?"))</f>
        <v/>
      </c>
      <c r="C729" s="27" t="n"/>
      <c r="D729" s="29">
        <f>IF($C729="","",IFERROR(IF(INDEX(Deals!$C$2:$C$355,MATCH($C729,Deals!$A$2:$A$355,0))=0,"",INDEX(Deals!$C$2:$C$355,MATCH($C729,Deals!$A$2:$A$355,0))),"?"))</f>
        <v/>
      </c>
      <c r="E729" s="29">
        <f>IF($C729="","",IFERROR(INDEX(Deals!$F$2:$F$355,MATCH($C729,Deals!$A$2:$A$355,0)),"?"))</f>
        <v/>
      </c>
      <c r="F729" s="27" t="n"/>
      <c r="G729" s="27" t="n"/>
      <c r="H729" s="27" t="n"/>
      <c r="I729" s="20">
        <f>IF(OR($A729="",$G729&lt;&gt;"Active"),0,IF($H729&lt;&gt;"",$H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</f>
        <v/>
      </c>
      <c r="J729" s="23">
        <f>IF($C729="",0,IFERROR(INDEX(Deals!$H$2:$H$355,MATCH($C729,Deals!$A$2:$A$355,0)),0))</f>
        <v/>
      </c>
      <c r="K729" s="20">
        <f>IF(Settings!$B$4="Yes",$I729*$J729,$I729)</f>
        <v/>
      </c>
      <c r="L729" s="31">
        <f>IF($C729="","",IFERROR(IF(INDEX(Deals!$I$2:$I$355,MATCH($C729,Deals!$A$2:$A$355,0))=0,"",INDEX(Deals!$I$2:$I$355,MATCH($C729,Deals!$A$2:$A$355,0))),""))</f>
        <v/>
      </c>
      <c r="M729" s="31">
        <f>IF($C729="","",IFERROR(IF(INDEX(Deals!$J$2:$J$355,MATCH($C729,Deals!$A$2:$A$355,0))=0,"",INDEX(Deals!$J$2:$J$355,MATCH($C729,Deals!$A$2:$A$355,0))),""))</f>
        <v/>
      </c>
      <c r="N729" s="24">
        <f>IF($L729="",DATE(1900,1,1),$L729)</f>
        <v/>
      </c>
      <c r="O729" s="24">
        <f>IF($M729="",DATE(2100,12,31),$M729)</f>
        <v/>
      </c>
      <c r="P729" s="27" t="n"/>
      <c r="Q729" s="27" t="n"/>
      <c r="R729" s="29">
        <f>IF($C729="","",IFERROR(IF(INDEX(Deals!$U$2:$U$355,MATCH($C729,Deals!$A$2:$A$355,0))=0,"",INDEX(Deals!$U$2:$U$355,MATCH($C729,Deals!$A$2:$A$355,0))),""))</f>
        <v/>
      </c>
      <c r="S729" s="22">
        <f>IFERROR(IF($U729="",1,INDEX(Deals!$V$2:$V$355,MATCH($C729,Deals!$A$2:$A$355,0))),1)</f>
        <v/>
      </c>
      <c r="T729" s="22">
        <f>IFERROR(IF($U729="",1,INDEX(Deals!$W$2:$W$355,MATCH($C729,Deals!$A$2:$A$355,0))),1)</f>
        <v/>
      </c>
      <c r="U729" s="31">
        <f>IF($C729="","",IFERROR(IF(INDEX(Deals!$Y$2:$Y$355,MATCH($C729,Deals!$A$2:$A$355,0))=0,"",INDEX(Deals!$Y$2:$Y$355,MATCH($C729,Deals!$A$2:$A$355,0))),""))</f>
        <v/>
      </c>
      <c r="V729" s="24">
        <f>IF($U729="",DATE(1900,1,1),$N729)</f>
        <v/>
      </c>
      <c r="W729" s="24">
        <f>IF($U729="",DATE(2100,12,31),$U729)</f>
        <v/>
      </c>
      <c r="X729" s="20">
        <f>IF($U729="",$K729,$K729*$S729)</f>
        <v/>
      </c>
      <c r="Y729" s="24">
        <f>IF($U729="",DATE(2100,12,31),$U729+1)</f>
        <v/>
      </c>
      <c r="Z729" s="24">
        <f>IF($U729="",DATE(1900,1,1),$O729)</f>
        <v/>
      </c>
      <c r="AA729" s="20">
        <f>IF($U729="",0,$K729*$T729)</f>
        <v/>
      </c>
    </row>
    <row r="730">
      <c r="A730" s="27" t="n"/>
      <c r="B730" s="29">
        <f>IF($A730="","",IFERROR(INDEX(Roster!$B$2:$B$40,MATCH($A730,Roster!$A$2:$A$40,0)),"?"))</f>
        <v/>
      </c>
      <c r="C730" s="27" t="n"/>
      <c r="D730" s="29">
        <f>IF($C730="","",IFERROR(IF(INDEX(Deals!$C$2:$C$355,MATCH($C730,Deals!$A$2:$A$355,0))=0,"",INDEX(Deals!$C$2:$C$355,MATCH($C730,Deals!$A$2:$A$355,0))),"?"))</f>
        <v/>
      </c>
      <c r="E730" s="29">
        <f>IF($C730="","",IFERROR(INDEX(Deals!$F$2:$F$355,MATCH($C730,Deals!$A$2:$A$355,0)),"?"))</f>
        <v/>
      </c>
      <c r="F730" s="27" t="n"/>
      <c r="G730" s="27" t="n"/>
      <c r="H730" s="27" t="n"/>
      <c r="I730" s="20">
        <f>IF(OR($A730="",$G730&lt;&gt;"Active"),0,IF($H730&lt;&gt;"",$H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</f>
        <v/>
      </c>
      <c r="J730" s="23">
        <f>IF($C730="",0,IFERROR(INDEX(Deals!$H$2:$H$355,MATCH($C730,Deals!$A$2:$A$355,0)),0))</f>
        <v/>
      </c>
      <c r="K730" s="20">
        <f>IF(Settings!$B$4="Yes",$I730*$J730,$I730)</f>
        <v/>
      </c>
      <c r="L730" s="31">
        <f>IF($C730="","",IFERROR(IF(INDEX(Deals!$I$2:$I$355,MATCH($C730,Deals!$A$2:$A$355,0))=0,"",INDEX(Deals!$I$2:$I$355,MATCH($C730,Deals!$A$2:$A$355,0))),""))</f>
        <v/>
      </c>
      <c r="M730" s="31">
        <f>IF($C730="","",IFERROR(IF(INDEX(Deals!$J$2:$J$355,MATCH($C730,Deals!$A$2:$A$355,0))=0,"",INDEX(Deals!$J$2:$J$355,MATCH($C730,Deals!$A$2:$A$355,0))),""))</f>
        <v/>
      </c>
      <c r="N730" s="24">
        <f>IF($L730="",DATE(1900,1,1),$L730)</f>
        <v/>
      </c>
      <c r="O730" s="24">
        <f>IF($M730="",DATE(2100,12,31),$M730)</f>
        <v/>
      </c>
      <c r="P730" s="27" t="n"/>
      <c r="Q730" s="27" t="n"/>
      <c r="R730" s="29">
        <f>IF($C730="","",IFERROR(IF(INDEX(Deals!$U$2:$U$355,MATCH($C730,Deals!$A$2:$A$355,0))=0,"",INDEX(Deals!$U$2:$U$355,MATCH($C730,Deals!$A$2:$A$355,0))),""))</f>
        <v/>
      </c>
      <c r="S730" s="22">
        <f>IFERROR(IF($U730="",1,INDEX(Deals!$V$2:$V$355,MATCH($C730,Deals!$A$2:$A$355,0))),1)</f>
        <v/>
      </c>
      <c r="T730" s="22">
        <f>IFERROR(IF($U730="",1,INDEX(Deals!$W$2:$W$355,MATCH($C730,Deals!$A$2:$A$355,0))),1)</f>
        <v/>
      </c>
      <c r="U730" s="31">
        <f>IF($C730="","",IFERROR(IF(INDEX(Deals!$Y$2:$Y$355,MATCH($C730,Deals!$A$2:$A$355,0))=0,"",INDEX(Deals!$Y$2:$Y$355,MATCH($C730,Deals!$A$2:$A$355,0))),""))</f>
        <v/>
      </c>
      <c r="V730" s="24">
        <f>IF($U730="",DATE(1900,1,1),$N730)</f>
        <v/>
      </c>
      <c r="W730" s="24">
        <f>IF($U730="",DATE(2100,12,31),$U730)</f>
        <v/>
      </c>
      <c r="X730" s="20">
        <f>IF($U730="",$K730,$K730*$S730)</f>
        <v/>
      </c>
      <c r="Y730" s="24">
        <f>IF($U730="",DATE(2100,12,31),$U730+1)</f>
        <v/>
      </c>
      <c r="Z730" s="24">
        <f>IF($U730="",DATE(1900,1,1),$O730)</f>
        <v/>
      </c>
      <c r="AA730" s="20">
        <f>IF($U730="",0,$K730*$T730)</f>
        <v/>
      </c>
    </row>
    <row r="731">
      <c r="A731" s="27" t="n"/>
      <c r="B731" s="29">
        <f>IF($A731="","",IFERROR(INDEX(Roster!$B$2:$B$40,MATCH($A731,Roster!$A$2:$A$40,0)),"?"))</f>
        <v/>
      </c>
      <c r="C731" s="27" t="n"/>
      <c r="D731" s="29">
        <f>IF($C731="","",IFERROR(IF(INDEX(Deals!$C$2:$C$355,MATCH($C731,Deals!$A$2:$A$355,0))=0,"",INDEX(Deals!$C$2:$C$355,MATCH($C731,Deals!$A$2:$A$355,0))),"?"))</f>
        <v/>
      </c>
      <c r="E731" s="29">
        <f>IF($C731="","",IFERROR(INDEX(Deals!$F$2:$F$355,MATCH($C731,Deals!$A$2:$A$355,0)),"?"))</f>
        <v/>
      </c>
      <c r="F731" s="27" t="n"/>
      <c r="G731" s="27" t="n"/>
      <c r="H731" s="27" t="n"/>
      <c r="I731" s="20">
        <f>IF(OR($A731="",$G731&lt;&gt;"Active"),0,IF($H731&lt;&gt;"",$H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</f>
        <v/>
      </c>
      <c r="J731" s="23">
        <f>IF($C731="",0,IFERROR(INDEX(Deals!$H$2:$H$355,MATCH($C731,Deals!$A$2:$A$355,0)),0))</f>
        <v/>
      </c>
      <c r="K731" s="20">
        <f>IF(Settings!$B$4="Yes",$I731*$J731,$I731)</f>
        <v/>
      </c>
      <c r="L731" s="31">
        <f>IF($C731="","",IFERROR(IF(INDEX(Deals!$I$2:$I$355,MATCH($C731,Deals!$A$2:$A$355,0))=0,"",INDEX(Deals!$I$2:$I$355,MATCH($C731,Deals!$A$2:$A$355,0))),""))</f>
        <v/>
      </c>
      <c r="M731" s="31">
        <f>IF($C731="","",IFERROR(IF(INDEX(Deals!$J$2:$J$355,MATCH($C731,Deals!$A$2:$A$355,0))=0,"",INDEX(Deals!$J$2:$J$355,MATCH($C731,Deals!$A$2:$A$355,0))),""))</f>
        <v/>
      </c>
      <c r="N731" s="24">
        <f>IF($L731="",DATE(1900,1,1),$L731)</f>
        <v/>
      </c>
      <c r="O731" s="24">
        <f>IF($M731="",DATE(2100,12,31),$M731)</f>
        <v/>
      </c>
      <c r="P731" s="27" t="n"/>
      <c r="Q731" s="27" t="n"/>
      <c r="R731" s="29">
        <f>IF($C731="","",IFERROR(IF(INDEX(Deals!$U$2:$U$355,MATCH($C731,Deals!$A$2:$A$355,0))=0,"",INDEX(Deals!$U$2:$U$355,MATCH($C731,Deals!$A$2:$A$355,0))),""))</f>
        <v/>
      </c>
      <c r="S731" s="22">
        <f>IFERROR(IF($U731="",1,INDEX(Deals!$V$2:$V$355,MATCH($C731,Deals!$A$2:$A$355,0))),1)</f>
        <v/>
      </c>
      <c r="T731" s="22">
        <f>IFERROR(IF($U731="",1,INDEX(Deals!$W$2:$W$355,MATCH($C731,Deals!$A$2:$A$355,0))),1)</f>
        <v/>
      </c>
      <c r="U731" s="31">
        <f>IF($C731="","",IFERROR(IF(INDEX(Deals!$Y$2:$Y$355,MATCH($C731,Deals!$A$2:$A$355,0))=0,"",INDEX(Deals!$Y$2:$Y$355,MATCH($C731,Deals!$A$2:$A$355,0))),""))</f>
        <v/>
      </c>
      <c r="V731" s="24">
        <f>IF($U731="",DATE(1900,1,1),$N731)</f>
        <v/>
      </c>
      <c r="W731" s="24">
        <f>IF($U731="",DATE(2100,12,31),$U731)</f>
        <v/>
      </c>
      <c r="X731" s="20">
        <f>IF($U731="",$K731,$K731*$S731)</f>
        <v/>
      </c>
      <c r="Y731" s="24">
        <f>IF($U731="",DATE(2100,12,31),$U731+1)</f>
        <v/>
      </c>
      <c r="Z731" s="24">
        <f>IF($U731="",DATE(1900,1,1),$O731)</f>
        <v/>
      </c>
      <c r="AA731" s="20">
        <f>IF($U731="",0,$K731*$T731)</f>
        <v/>
      </c>
    </row>
    <row r="732">
      <c r="A732" s="27" t="n"/>
      <c r="B732" s="29">
        <f>IF($A732="","",IFERROR(INDEX(Roster!$B$2:$B$40,MATCH($A732,Roster!$A$2:$A$40,0)),"?"))</f>
        <v/>
      </c>
      <c r="C732" s="27" t="n"/>
      <c r="D732" s="29">
        <f>IF($C732="","",IFERROR(IF(INDEX(Deals!$C$2:$C$355,MATCH($C732,Deals!$A$2:$A$355,0))=0,"",INDEX(Deals!$C$2:$C$355,MATCH($C732,Deals!$A$2:$A$355,0))),"?"))</f>
        <v/>
      </c>
      <c r="E732" s="29">
        <f>IF($C732="","",IFERROR(INDEX(Deals!$F$2:$F$355,MATCH($C732,Deals!$A$2:$A$355,0)),"?"))</f>
        <v/>
      </c>
      <c r="F732" s="27" t="n"/>
      <c r="G732" s="27" t="n"/>
      <c r="H732" s="27" t="n"/>
      <c r="I732" s="20">
        <f>IF(OR($A732="",$G732&lt;&gt;"Active"),0,IF($H732&lt;&gt;"",$H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</f>
        <v/>
      </c>
      <c r="J732" s="23">
        <f>IF($C732="",0,IFERROR(INDEX(Deals!$H$2:$H$355,MATCH($C732,Deals!$A$2:$A$355,0)),0))</f>
        <v/>
      </c>
      <c r="K732" s="20">
        <f>IF(Settings!$B$4="Yes",$I732*$J732,$I732)</f>
        <v/>
      </c>
      <c r="L732" s="31">
        <f>IF($C732="","",IFERROR(IF(INDEX(Deals!$I$2:$I$355,MATCH($C732,Deals!$A$2:$A$355,0))=0,"",INDEX(Deals!$I$2:$I$355,MATCH($C732,Deals!$A$2:$A$355,0))),""))</f>
        <v/>
      </c>
      <c r="M732" s="31">
        <f>IF($C732="","",IFERROR(IF(INDEX(Deals!$J$2:$J$355,MATCH($C732,Deals!$A$2:$A$355,0))=0,"",INDEX(Deals!$J$2:$J$355,MATCH($C732,Deals!$A$2:$A$355,0))),""))</f>
        <v/>
      </c>
      <c r="N732" s="24">
        <f>IF($L732="",DATE(1900,1,1),$L732)</f>
        <v/>
      </c>
      <c r="O732" s="24">
        <f>IF($M732="",DATE(2100,12,31),$M732)</f>
        <v/>
      </c>
      <c r="P732" s="27" t="n"/>
      <c r="Q732" s="27" t="n"/>
      <c r="R732" s="29">
        <f>IF($C732="","",IFERROR(IF(INDEX(Deals!$U$2:$U$355,MATCH($C732,Deals!$A$2:$A$355,0))=0,"",INDEX(Deals!$U$2:$U$355,MATCH($C732,Deals!$A$2:$A$355,0))),""))</f>
        <v/>
      </c>
      <c r="S732" s="22">
        <f>IFERROR(IF($U732="",1,INDEX(Deals!$V$2:$V$355,MATCH($C732,Deals!$A$2:$A$355,0))),1)</f>
        <v/>
      </c>
      <c r="T732" s="22">
        <f>IFERROR(IF($U732="",1,INDEX(Deals!$W$2:$W$355,MATCH($C732,Deals!$A$2:$A$355,0))),1)</f>
        <v/>
      </c>
      <c r="U732" s="31">
        <f>IF($C732="","",IFERROR(IF(INDEX(Deals!$Y$2:$Y$355,MATCH($C732,Deals!$A$2:$A$355,0))=0,"",INDEX(Deals!$Y$2:$Y$355,MATCH($C732,Deals!$A$2:$A$355,0))),""))</f>
        <v/>
      </c>
      <c r="V732" s="24">
        <f>IF($U732="",DATE(1900,1,1),$N732)</f>
        <v/>
      </c>
      <c r="W732" s="24">
        <f>IF($U732="",DATE(2100,12,31),$U732)</f>
        <v/>
      </c>
      <c r="X732" s="20">
        <f>IF($U732="",$K732,$K732*$S732)</f>
        <v/>
      </c>
      <c r="Y732" s="24">
        <f>IF($U732="",DATE(2100,12,31),$U732+1)</f>
        <v/>
      </c>
      <c r="Z732" s="24">
        <f>IF($U732="",DATE(1900,1,1),$O732)</f>
        <v/>
      </c>
      <c r="AA732" s="20">
        <f>IF($U732="",0,$K732*$T732)</f>
        <v/>
      </c>
    </row>
    <row r="733">
      <c r="A733" s="27" t="n"/>
      <c r="B733" s="29">
        <f>IF($A733="","",IFERROR(INDEX(Roster!$B$2:$B$40,MATCH($A733,Roster!$A$2:$A$40,0)),"?"))</f>
        <v/>
      </c>
      <c r="C733" s="27" t="n"/>
      <c r="D733" s="29">
        <f>IF($C733="","",IFERROR(IF(INDEX(Deals!$C$2:$C$355,MATCH($C733,Deals!$A$2:$A$355,0))=0,"",INDEX(Deals!$C$2:$C$355,MATCH($C733,Deals!$A$2:$A$355,0))),"?"))</f>
        <v/>
      </c>
      <c r="E733" s="29">
        <f>IF($C733="","",IFERROR(INDEX(Deals!$F$2:$F$355,MATCH($C733,Deals!$A$2:$A$355,0)),"?"))</f>
        <v/>
      </c>
      <c r="F733" s="27" t="n"/>
      <c r="G733" s="27" t="n"/>
      <c r="H733" s="27" t="n"/>
      <c r="I733" s="20">
        <f>IF(OR($A733="",$G733&lt;&gt;"Active"),0,IF($H733&lt;&gt;"",$H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</f>
        <v/>
      </c>
      <c r="J733" s="23">
        <f>IF($C733="",0,IFERROR(INDEX(Deals!$H$2:$H$355,MATCH($C733,Deals!$A$2:$A$355,0)),0))</f>
        <v/>
      </c>
      <c r="K733" s="20">
        <f>IF(Settings!$B$4="Yes",$I733*$J733,$I733)</f>
        <v/>
      </c>
      <c r="L733" s="31">
        <f>IF($C733="","",IFERROR(IF(INDEX(Deals!$I$2:$I$355,MATCH($C733,Deals!$A$2:$A$355,0))=0,"",INDEX(Deals!$I$2:$I$355,MATCH($C733,Deals!$A$2:$A$355,0))),""))</f>
        <v/>
      </c>
      <c r="M733" s="31">
        <f>IF($C733="","",IFERROR(IF(INDEX(Deals!$J$2:$J$355,MATCH($C733,Deals!$A$2:$A$355,0))=0,"",INDEX(Deals!$J$2:$J$355,MATCH($C733,Deals!$A$2:$A$355,0))),""))</f>
        <v/>
      </c>
      <c r="N733" s="24">
        <f>IF($L733="",DATE(1900,1,1),$L733)</f>
        <v/>
      </c>
      <c r="O733" s="24">
        <f>IF($M733="",DATE(2100,12,31),$M733)</f>
        <v/>
      </c>
      <c r="P733" s="27" t="n"/>
      <c r="Q733" s="27" t="n"/>
      <c r="R733" s="29">
        <f>IF($C733="","",IFERROR(IF(INDEX(Deals!$U$2:$U$355,MATCH($C733,Deals!$A$2:$A$355,0))=0,"",INDEX(Deals!$U$2:$U$355,MATCH($C733,Deals!$A$2:$A$355,0))),""))</f>
        <v/>
      </c>
      <c r="S733" s="22">
        <f>IFERROR(IF($U733="",1,INDEX(Deals!$V$2:$V$355,MATCH($C733,Deals!$A$2:$A$355,0))),1)</f>
        <v/>
      </c>
      <c r="T733" s="22">
        <f>IFERROR(IF($U733="",1,INDEX(Deals!$W$2:$W$355,MATCH($C733,Deals!$A$2:$A$355,0))),1)</f>
        <v/>
      </c>
      <c r="U733" s="31">
        <f>IF($C733="","",IFERROR(IF(INDEX(Deals!$Y$2:$Y$355,MATCH($C733,Deals!$A$2:$A$355,0))=0,"",INDEX(Deals!$Y$2:$Y$355,MATCH($C733,Deals!$A$2:$A$355,0))),""))</f>
        <v/>
      </c>
      <c r="V733" s="24">
        <f>IF($U733="",DATE(1900,1,1),$N733)</f>
        <v/>
      </c>
      <c r="W733" s="24">
        <f>IF($U733="",DATE(2100,12,31),$U733)</f>
        <v/>
      </c>
      <c r="X733" s="20">
        <f>IF($U733="",$K733,$K733*$S733)</f>
        <v/>
      </c>
      <c r="Y733" s="24">
        <f>IF($U733="",DATE(2100,12,31),$U733+1)</f>
        <v/>
      </c>
      <c r="Z733" s="24">
        <f>IF($U733="",DATE(1900,1,1),$O733)</f>
        <v/>
      </c>
      <c r="AA733" s="20">
        <f>IF($U733="",0,$K733*$T733)</f>
        <v/>
      </c>
    </row>
    <row r="734">
      <c r="A734" s="27" t="n"/>
      <c r="B734" s="29">
        <f>IF($A734="","",IFERROR(INDEX(Roster!$B$2:$B$40,MATCH($A734,Roster!$A$2:$A$40,0)),"?"))</f>
        <v/>
      </c>
      <c r="C734" s="27" t="n"/>
      <c r="D734" s="29">
        <f>IF($C734="","",IFERROR(IF(INDEX(Deals!$C$2:$C$355,MATCH($C734,Deals!$A$2:$A$355,0))=0,"",INDEX(Deals!$C$2:$C$355,MATCH($C734,Deals!$A$2:$A$355,0))),"?"))</f>
        <v/>
      </c>
      <c r="E734" s="29">
        <f>IF($C734="","",IFERROR(INDEX(Deals!$F$2:$F$355,MATCH($C734,Deals!$A$2:$A$355,0)),"?"))</f>
        <v/>
      </c>
      <c r="F734" s="27" t="n"/>
      <c r="G734" s="27" t="n"/>
      <c r="H734" s="27" t="n"/>
      <c r="I734" s="20">
        <f>IF(OR($A734="",$G734&lt;&gt;"Active"),0,IF($H734&lt;&gt;"",$H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</f>
        <v/>
      </c>
      <c r="J734" s="23">
        <f>IF($C734="",0,IFERROR(INDEX(Deals!$H$2:$H$355,MATCH($C734,Deals!$A$2:$A$355,0)),0))</f>
        <v/>
      </c>
      <c r="K734" s="20">
        <f>IF(Settings!$B$4="Yes",$I734*$J734,$I734)</f>
        <v/>
      </c>
      <c r="L734" s="31">
        <f>IF($C734="","",IFERROR(IF(INDEX(Deals!$I$2:$I$355,MATCH($C734,Deals!$A$2:$A$355,0))=0,"",INDEX(Deals!$I$2:$I$355,MATCH($C734,Deals!$A$2:$A$355,0))),""))</f>
        <v/>
      </c>
      <c r="M734" s="31">
        <f>IF($C734="","",IFERROR(IF(INDEX(Deals!$J$2:$J$355,MATCH($C734,Deals!$A$2:$A$355,0))=0,"",INDEX(Deals!$J$2:$J$355,MATCH($C734,Deals!$A$2:$A$355,0))),""))</f>
        <v/>
      </c>
      <c r="N734" s="24">
        <f>IF($L734="",DATE(1900,1,1),$L734)</f>
        <v/>
      </c>
      <c r="O734" s="24">
        <f>IF($M734="",DATE(2100,12,31),$M734)</f>
        <v/>
      </c>
      <c r="P734" s="27" t="n"/>
      <c r="Q734" s="27" t="n"/>
      <c r="R734" s="29">
        <f>IF($C734="","",IFERROR(IF(INDEX(Deals!$U$2:$U$355,MATCH($C734,Deals!$A$2:$A$355,0))=0,"",INDEX(Deals!$U$2:$U$355,MATCH($C734,Deals!$A$2:$A$355,0))),""))</f>
        <v/>
      </c>
      <c r="S734" s="22">
        <f>IFERROR(IF($U734="",1,INDEX(Deals!$V$2:$V$355,MATCH($C734,Deals!$A$2:$A$355,0))),1)</f>
        <v/>
      </c>
      <c r="T734" s="22">
        <f>IFERROR(IF($U734="",1,INDEX(Deals!$W$2:$W$355,MATCH($C734,Deals!$A$2:$A$355,0))),1)</f>
        <v/>
      </c>
      <c r="U734" s="31">
        <f>IF($C734="","",IFERROR(IF(INDEX(Deals!$Y$2:$Y$355,MATCH($C734,Deals!$A$2:$A$355,0))=0,"",INDEX(Deals!$Y$2:$Y$355,MATCH($C734,Deals!$A$2:$A$355,0))),""))</f>
        <v/>
      </c>
      <c r="V734" s="24">
        <f>IF($U734="",DATE(1900,1,1),$N734)</f>
        <v/>
      </c>
      <c r="W734" s="24">
        <f>IF($U734="",DATE(2100,12,31),$U734)</f>
        <v/>
      </c>
      <c r="X734" s="20">
        <f>IF($U734="",$K734,$K734*$S734)</f>
        <v/>
      </c>
      <c r="Y734" s="24">
        <f>IF($U734="",DATE(2100,12,31),$U734+1)</f>
        <v/>
      </c>
      <c r="Z734" s="24">
        <f>IF($U734="",DATE(1900,1,1),$O734)</f>
        <v/>
      </c>
      <c r="AA734" s="20">
        <f>IF($U734="",0,$K734*$T734)</f>
        <v/>
      </c>
    </row>
    <row r="735">
      <c r="A735" s="27" t="n"/>
      <c r="B735" s="29">
        <f>IF($A735="","",IFERROR(INDEX(Roster!$B$2:$B$40,MATCH($A735,Roster!$A$2:$A$40,0)),"?"))</f>
        <v/>
      </c>
      <c r="C735" s="27" t="n"/>
      <c r="D735" s="29">
        <f>IF($C735="","",IFERROR(IF(INDEX(Deals!$C$2:$C$355,MATCH($C735,Deals!$A$2:$A$355,0))=0,"",INDEX(Deals!$C$2:$C$355,MATCH($C735,Deals!$A$2:$A$355,0))),"?"))</f>
        <v/>
      </c>
      <c r="E735" s="29">
        <f>IF($C735="","",IFERROR(INDEX(Deals!$F$2:$F$355,MATCH($C735,Deals!$A$2:$A$355,0)),"?"))</f>
        <v/>
      </c>
      <c r="F735" s="27" t="n"/>
      <c r="G735" s="27" t="n"/>
      <c r="H735" s="27" t="n"/>
      <c r="I735" s="20">
        <f>IF(OR($A735="",$G735&lt;&gt;"Active"),0,IF($H735&lt;&gt;"",$H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</f>
        <v/>
      </c>
      <c r="J735" s="23">
        <f>IF($C735="",0,IFERROR(INDEX(Deals!$H$2:$H$355,MATCH($C735,Deals!$A$2:$A$355,0)),0))</f>
        <v/>
      </c>
      <c r="K735" s="20">
        <f>IF(Settings!$B$4="Yes",$I735*$J735,$I735)</f>
        <v/>
      </c>
      <c r="L735" s="31">
        <f>IF($C735="","",IFERROR(IF(INDEX(Deals!$I$2:$I$355,MATCH($C735,Deals!$A$2:$A$355,0))=0,"",INDEX(Deals!$I$2:$I$355,MATCH($C735,Deals!$A$2:$A$355,0))),""))</f>
        <v/>
      </c>
      <c r="M735" s="31">
        <f>IF($C735="","",IFERROR(IF(INDEX(Deals!$J$2:$J$355,MATCH($C735,Deals!$A$2:$A$355,0))=0,"",INDEX(Deals!$J$2:$J$355,MATCH($C735,Deals!$A$2:$A$355,0))),""))</f>
        <v/>
      </c>
      <c r="N735" s="24">
        <f>IF($L735="",DATE(1900,1,1),$L735)</f>
        <v/>
      </c>
      <c r="O735" s="24">
        <f>IF($M735="",DATE(2100,12,31),$M735)</f>
        <v/>
      </c>
      <c r="P735" s="27" t="n"/>
      <c r="Q735" s="27" t="n"/>
      <c r="R735" s="29">
        <f>IF($C735="","",IFERROR(IF(INDEX(Deals!$U$2:$U$355,MATCH($C735,Deals!$A$2:$A$355,0))=0,"",INDEX(Deals!$U$2:$U$355,MATCH($C735,Deals!$A$2:$A$355,0))),""))</f>
        <v/>
      </c>
      <c r="S735" s="22">
        <f>IFERROR(IF($U735="",1,INDEX(Deals!$V$2:$V$355,MATCH($C735,Deals!$A$2:$A$355,0))),1)</f>
        <v/>
      </c>
      <c r="T735" s="22">
        <f>IFERROR(IF($U735="",1,INDEX(Deals!$W$2:$W$355,MATCH($C735,Deals!$A$2:$A$355,0))),1)</f>
        <v/>
      </c>
      <c r="U735" s="31">
        <f>IF($C735="","",IFERROR(IF(INDEX(Deals!$Y$2:$Y$355,MATCH($C735,Deals!$A$2:$A$355,0))=0,"",INDEX(Deals!$Y$2:$Y$355,MATCH($C735,Deals!$A$2:$A$355,0))),""))</f>
        <v/>
      </c>
      <c r="V735" s="24">
        <f>IF($U735="",DATE(1900,1,1),$N735)</f>
        <v/>
      </c>
      <c r="W735" s="24">
        <f>IF($U735="",DATE(2100,12,31),$U735)</f>
        <v/>
      </c>
      <c r="X735" s="20">
        <f>IF($U735="",$K735,$K735*$S735)</f>
        <v/>
      </c>
      <c r="Y735" s="24">
        <f>IF($U735="",DATE(2100,12,31),$U735+1)</f>
        <v/>
      </c>
      <c r="Z735" s="24">
        <f>IF($U735="",DATE(1900,1,1),$O735)</f>
        <v/>
      </c>
      <c r="AA735" s="20">
        <f>IF($U735="",0,$K735*$T735)</f>
        <v/>
      </c>
    </row>
    <row r="736">
      <c r="A736" s="27" t="n"/>
      <c r="B736" s="29">
        <f>IF($A736="","",IFERROR(INDEX(Roster!$B$2:$B$40,MATCH($A736,Roster!$A$2:$A$40,0)),"?"))</f>
        <v/>
      </c>
      <c r="C736" s="27" t="n"/>
      <c r="D736" s="29">
        <f>IF($C736="","",IFERROR(IF(INDEX(Deals!$C$2:$C$355,MATCH($C736,Deals!$A$2:$A$355,0))=0,"",INDEX(Deals!$C$2:$C$355,MATCH($C736,Deals!$A$2:$A$355,0))),"?"))</f>
        <v/>
      </c>
      <c r="E736" s="29">
        <f>IF($C736="","",IFERROR(INDEX(Deals!$F$2:$F$355,MATCH($C736,Deals!$A$2:$A$355,0)),"?"))</f>
        <v/>
      </c>
      <c r="F736" s="27" t="n"/>
      <c r="G736" s="27" t="n"/>
      <c r="H736" s="27" t="n"/>
      <c r="I736" s="20">
        <f>IF(OR($A736="",$G736&lt;&gt;"Active"),0,IF($H736&lt;&gt;"",$H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</f>
        <v/>
      </c>
      <c r="J736" s="23">
        <f>IF($C736="",0,IFERROR(INDEX(Deals!$H$2:$H$355,MATCH($C736,Deals!$A$2:$A$355,0)),0))</f>
        <v/>
      </c>
      <c r="K736" s="20">
        <f>IF(Settings!$B$4="Yes",$I736*$J736,$I736)</f>
        <v/>
      </c>
      <c r="L736" s="31">
        <f>IF($C736="","",IFERROR(IF(INDEX(Deals!$I$2:$I$355,MATCH($C736,Deals!$A$2:$A$355,0))=0,"",INDEX(Deals!$I$2:$I$355,MATCH($C736,Deals!$A$2:$A$355,0))),""))</f>
        <v/>
      </c>
      <c r="M736" s="31">
        <f>IF($C736="","",IFERROR(IF(INDEX(Deals!$J$2:$J$355,MATCH($C736,Deals!$A$2:$A$355,0))=0,"",INDEX(Deals!$J$2:$J$355,MATCH($C736,Deals!$A$2:$A$355,0))),""))</f>
        <v/>
      </c>
      <c r="N736" s="24">
        <f>IF($L736="",DATE(1900,1,1),$L736)</f>
        <v/>
      </c>
      <c r="O736" s="24">
        <f>IF($M736="",DATE(2100,12,31),$M736)</f>
        <v/>
      </c>
      <c r="P736" s="27" t="n"/>
      <c r="Q736" s="27" t="n"/>
      <c r="R736" s="29">
        <f>IF($C736="","",IFERROR(IF(INDEX(Deals!$U$2:$U$355,MATCH($C736,Deals!$A$2:$A$355,0))=0,"",INDEX(Deals!$U$2:$U$355,MATCH($C736,Deals!$A$2:$A$355,0))),""))</f>
        <v/>
      </c>
      <c r="S736" s="22">
        <f>IFERROR(IF($U736="",1,INDEX(Deals!$V$2:$V$355,MATCH($C736,Deals!$A$2:$A$355,0))),1)</f>
        <v/>
      </c>
      <c r="T736" s="22">
        <f>IFERROR(IF($U736="",1,INDEX(Deals!$W$2:$W$355,MATCH($C736,Deals!$A$2:$A$355,0))),1)</f>
        <v/>
      </c>
      <c r="U736" s="31">
        <f>IF($C736="","",IFERROR(IF(INDEX(Deals!$Y$2:$Y$355,MATCH($C736,Deals!$A$2:$A$355,0))=0,"",INDEX(Deals!$Y$2:$Y$355,MATCH($C736,Deals!$A$2:$A$355,0))),""))</f>
        <v/>
      </c>
      <c r="V736" s="24">
        <f>IF($U736="",DATE(1900,1,1),$N736)</f>
        <v/>
      </c>
      <c r="W736" s="24">
        <f>IF($U736="",DATE(2100,12,31),$U736)</f>
        <v/>
      </c>
      <c r="X736" s="20">
        <f>IF($U736="",$K736,$K736*$S736)</f>
        <v/>
      </c>
      <c r="Y736" s="24">
        <f>IF($U736="",DATE(2100,12,31),$U736+1)</f>
        <v/>
      </c>
      <c r="Z736" s="24">
        <f>IF($U736="",DATE(1900,1,1),$O736)</f>
        <v/>
      </c>
      <c r="AA736" s="20">
        <f>IF($U736="",0,$K736*$T736)</f>
        <v/>
      </c>
    </row>
    <row r="737">
      <c r="A737" s="27" t="n"/>
      <c r="B737" s="29">
        <f>IF($A737="","",IFERROR(INDEX(Roster!$B$2:$B$40,MATCH($A737,Roster!$A$2:$A$40,0)),"?"))</f>
        <v/>
      </c>
      <c r="C737" s="27" t="n"/>
      <c r="D737" s="29">
        <f>IF($C737="","",IFERROR(IF(INDEX(Deals!$C$2:$C$355,MATCH($C737,Deals!$A$2:$A$355,0))=0,"",INDEX(Deals!$C$2:$C$355,MATCH($C737,Deals!$A$2:$A$355,0))),"?"))</f>
        <v/>
      </c>
      <c r="E737" s="29">
        <f>IF($C737="","",IFERROR(INDEX(Deals!$F$2:$F$355,MATCH($C737,Deals!$A$2:$A$355,0)),"?"))</f>
        <v/>
      </c>
      <c r="F737" s="27" t="n"/>
      <c r="G737" s="27" t="n"/>
      <c r="H737" s="27" t="n"/>
      <c r="I737" s="20">
        <f>IF(OR($A737="",$G737&lt;&gt;"Active"),0,IF($H737&lt;&gt;"",$H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</f>
        <v/>
      </c>
      <c r="J737" s="23">
        <f>IF($C737="",0,IFERROR(INDEX(Deals!$H$2:$H$355,MATCH($C737,Deals!$A$2:$A$355,0)),0))</f>
        <v/>
      </c>
      <c r="K737" s="20">
        <f>IF(Settings!$B$4="Yes",$I737*$J737,$I737)</f>
        <v/>
      </c>
      <c r="L737" s="31">
        <f>IF($C737="","",IFERROR(IF(INDEX(Deals!$I$2:$I$355,MATCH($C737,Deals!$A$2:$A$355,0))=0,"",INDEX(Deals!$I$2:$I$355,MATCH($C737,Deals!$A$2:$A$355,0))),""))</f>
        <v/>
      </c>
      <c r="M737" s="31">
        <f>IF($C737="","",IFERROR(IF(INDEX(Deals!$J$2:$J$355,MATCH($C737,Deals!$A$2:$A$355,0))=0,"",INDEX(Deals!$J$2:$J$355,MATCH($C737,Deals!$A$2:$A$355,0))),""))</f>
        <v/>
      </c>
      <c r="N737" s="24">
        <f>IF($L737="",DATE(1900,1,1),$L737)</f>
        <v/>
      </c>
      <c r="O737" s="24">
        <f>IF($M737="",DATE(2100,12,31),$M737)</f>
        <v/>
      </c>
      <c r="P737" s="27" t="n"/>
      <c r="Q737" s="27" t="n"/>
      <c r="R737" s="29">
        <f>IF($C737="","",IFERROR(IF(INDEX(Deals!$U$2:$U$355,MATCH($C737,Deals!$A$2:$A$355,0))=0,"",INDEX(Deals!$U$2:$U$355,MATCH($C737,Deals!$A$2:$A$355,0))),""))</f>
        <v/>
      </c>
      <c r="S737" s="22">
        <f>IFERROR(IF($U737="",1,INDEX(Deals!$V$2:$V$355,MATCH($C737,Deals!$A$2:$A$355,0))),1)</f>
        <v/>
      </c>
      <c r="T737" s="22">
        <f>IFERROR(IF($U737="",1,INDEX(Deals!$W$2:$W$355,MATCH($C737,Deals!$A$2:$A$355,0))),1)</f>
        <v/>
      </c>
      <c r="U737" s="31">
        <f>IF($C737="","",IFERROR(IF(INDEX(Deals!$Y$2:$Y$355,MATCH($C737,Deals!$A$2:$A$355,0))=0,"",INDEX(Deals!$Y$2:$Y$355,MATCH($C737,Deals!$A$2:$A$355,0))),""))</f>
        <v/>
      </c>
      <c r="V737" s="24">
        <f>IF($U737="",DATE(1900,1,1),$N737)</f>
        <v/>
      </c>
      <c r="W737" s="24">
        <f>IF($U737="",DATE(2100,12,31),$U737)</f>
        <v/>
      </c>
      <c r="X737" s="20">
        <f>IF($U737="",$K737,$K737*$S737)</f>
        <v/>
      </c>
      <c r="Y737" s="24">
        <f>IF($U737="",DATE(2100,12,31),$U737+1)</f>
        <v/>
      </c>
      <c r="Z737" s="24">
        <f>IF($U737="",DATE(1900,1,1),$O737)</f>
        <v/>
      </c>
      <c r="AA737" s="20">
        <f>IF($U737="",0,$K737*$T737)</f>
        <v/>
      </c>
    </row>
    <row r="738">
      <c r="A738" s="27" t="n"/>
      <c r="B738" s="29">
        <f>IF($A738="","",IFERROR(INDEX(Roster!$B$2:$B$40,MATCH($A738,Roster!$A$2:$A$40,0)),"?"))</f>
        <v/>
      </c>
      <c r="C738" s="27" t="n"/>
      <c r="D738" s="29">
        <f>IF($C738="","",IFERROR(IF(INDEX(Deals!$C$2:$C$355,MATCH($C738,Deals!$A$2:$A$355,0))=0,"",INDEX(Deals!$C$2:$C$355,MATCH($C738,Deals!$A$2:$A$355,0))),"?"))</f>
        <v/>
      </c>
      <c r="E738" s="29">
        <f>IF($C738="","",IFERROR(INDEX(Deals!$F$2:$F$355,MATCH($C738,Deals!$A$2:$A$355,0)),"?"))</f>
        <v/>
      </c>
      <c r="F738" s="27" t="n"/>
      <c r="G738" s="27" t="n"/>
      <c r="H738" s="27" t="n"/>
      <c r="I738" s="20">
        <f>IF(OR($A738="",$G738&lt;&gt;"Active"),0,IF($H738&lt;&gt;"",$H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</f>
        <v/>
      </c>
      <c r="J738" s="23">
        <f>IF($C738="",0,IFERROR(INDEX(Deals!$H$2:$H$355,MATCH($C738,Deals!$A$2:$A$355,0)),0))</f>
        <v/>
      </c>
      <c r="K738" s="20">
        <f>IF(Settings!$B$4="Yes",$I738*$J738,$I738)</f>
        <v/>
      </c>
      <c r="L738" s="31">
        <f>IF($C738="","",IFERROR(IF(INDEX(Deals!$I$2:$I$355,MATCH($C738,Deals!$A$2:$A$355,0))=0,"",INDEX(Deals!$I$2:$I$355,MATCH($C738,Deals!$A$2:$A$355,0))),""))</f>
        <v/>
      </c>
      <c r="M738" s="31">
        <f>IF($C738="","",IFERROR(IF(INDEX(Deals!$J$2:$J$355,MATCH($C738,Deals!$A$2:$A$355,0))=0,"",INDEX(Deals!$J$2:$J$355,MATCH($C738,Deals!$A$2:$A$355,0))),""))</f>
        <v/>
      </c>
      <c r="N738" s="24">
        <f>IF($L738="",DATE(1900,1,1),$L738)</f>
        <v/>
      </c>
      <c r="O738" s="24">
        <f>IF($M738="",DATE(2100,12,31),$M738)</f>
        <v/>
      </c>
      <c r="P738" s="27" t="n"/>
      <c r="Q738" s="27" t="n"/>
      <c r="R738" s="29">
        <f>IF($C738="","",IFERROR(IF(INDEX(Deals!$U$2:$U$355,MATCH($C738,Deals!$A$2:$A$355,0))=0,"",INDEX(Deals!$U$2:$U$355,MATCH($C738,Deals!$A$2:$A$355,0))),""))</f>
        <v/>
      </c>
      <c r="S738" s="22">
        <f>IFERROR(IF($U738="",1,INDEX(Deals!$V$2:$V$355,MATCH($C738,Deals!$A$2:$A$355,0))),1)</f>
        <v/>
      </c>
      <c r="T738" s="22">
        <f>IFERROR(IF($U738="",1,INDEX(Deals!$W$2:$W$355,MATCH($C738,Deals!$A$2:$A$355,0))),1)</f>
        <v/>
      </c>
      <c r="U738" s="31">
        <f>IF($C738="","",IFERROR(IF(INDEX(Deals!$Y$2:$Y$355,MATCH($C738,Deals!$A$2:$A$355,0))=0,"",INDEX(Deals!$Y$2:$Y$355,MATCH($C738,Deals!$A$2:$A$355,0))),""))</f>
        <v/>
      </c>
      <c r="V738" s="24">
        <f>IF($U738="",DATE(1900,1,1),$N738)</f>
        <v/>
      </c>
      <c r="W738" s="24">
        <f>IF($U738="",DATE(2100,12,31),$U738)</f>
        <v/>
      </c>
      <c r="X738" s="20">
        <f>IF($U738="",$K738,$K738*$S738)</f>
        <v/>
      </c>
      <c r="Y738" s="24">
        <f>IF($U738="",DATE(2100,12,31),$U738+1)</f>
        <v/>
      </c>
      <c r="Z738" s="24">
        <f>IF($U738="",DATE(1900,1,1),$O738)</f>
        <v/>
      </c>
      <c r="AA738" s="20">
        <f>IF($U738="",0,$K738*$T738)</f>
        <v/>
      </c>
    </row>
    <row r="739">
      <c r="A739" s="27" t="n"/>
      <c r="B739" s="29">
        <f>IF($A739="","",IFERROR(INDEX(Roster!$B$2:$B$40,MATCH($A739,Roster!$A$2:$A$40,0)),"?"))</f>
        <v/>
      </c>
      <c r="C739" s="27" t="n"/>
      <c r="D739" s="29">
        <f>IF($C739="","",IFERROR(IF(INDEX(Deals!$C$2:$C$355,MATCH($C739,Deals!$A$2:$A$355,0))=0,"",INDEX(Deals!$C$2:$C$355,MATCH($C739,Deals!$A$2:$A$355,0))),"?"))</f>
        <v/>
      </c>
      <c r="E739" s="29">
        <f>IF($C739="","",IFERROR(INDEX(Deals!$F$2:$F$355,MATCH($C739,Deals!$A$2:$A$355,0)),"?"))</f>
        <v/>
      </c>
      <c r="F739" s="27" t="n"/>
      <c r="G739" s="27" t="n"/>
      <c r="H739" s="27" t="n"/>
      <c r="I739" s="20">
        <f>IF(OR($A739="",$G739&lt;&gt;"Active"),0,IF($H739&lt;&gt;"",$H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</f>
        <v/>
      </c>
      <c r="J739" s="23">
        <f>IF($C739="",0,IFERROR(INDEX(Deals!$H$2:$H$355,MATCH($C739,Deals!$A$2:$A$355,0)),0))</f>
        <v/>
      </c>
      <c r="K739" s="20">
        <f>IF(Settings!$B$4="Yes",$I739*$J739,$I739)</f>
        <v/>
      </c>
      <c r="L739" s="31">
        <f>IF($C739="","",IFERROR(IF(INDEX(Deals!$I$2:$I$355,MATCH($C739,Deals!$A$2:$A$355,0))=0,"",INDEX(Deals!$I$2:$I$355,MATCH($C739,Deals!$A$2:$A$355,0))),""))</f>
        <v/>
      </c>
      <c r="M739" s="31">
        <f>IF($C739="","",IFERROR(IF(INDEX(Deals!$J$2:$J$355,MATCH($C739,Deals!$A$2:$A$355,0))=0,"",INDEX(Deals!$J$2:$J$355,MATCH($C739,Deals!$A$2:$A$355,0))),""))</f>
        <v/>
      </c>
      <c r="N739" s="24">
        <f>IF($L739="",DATE(1900,1,1),$L739)</f>
        <v/>
      </c>
      <c r="O739" s="24">
        <f>IF($M739="",DATE(2100,12,31),$M739)</f>
        <v/>
      </c>
      <c r="P739" s="27" t="n"/>
      <c r="Q739" s="27" t="n"/>
      <c r="R739" s="29">
        <f>IF($C739="","",IFERROR(IF(INDEX(Deals!$U$2:$U$355,MATCH($C739,Deals!$A$2:$A$355,0))=0,"",INDEX(Deals!$U$2:$U$355,MATCH($C739,Deals!$A$2:$A$355,0))),""))</f>
        <v/>
      </c>
      <c r="S739" s="22">
        <f>IFERROR(IF($U739="",1,INDEX(Deals!$V$2:$V$355,MATCH($C739,Deals!$A$2:$A$355,0))),1)</f>
        <v/>
      </c>
      <c r="T739" s="22">
        <f>IFERROR(IF($U739="",1,INDEX(Deals!$W$2:$W$355,MATCH($C739,Deals!$A$2:$A$355,0))),1)</f>
        <v/>
      </c>
      <c r="U739" s="31">
        <f>IF($C739="","",IFERROR(IF(INDEX(Deals!$Y$2:$Y$355,MATCH($C739,Deals!$A$2:$A$355,0))=0,"",INDEX(Deals!$Y$2:$Y$355,MATCH($C739,Deals!$A$2:$A$355,0))),""))</f>
        <v/>
      </c>
      <c r="V739" s="24">
        <f>IF($U739="",DATE(1900,1,1),$N739)</f>
        <v/>
      </c>
      <c r="W739" s="24">
        <f>IF($U739="",DATE(2100,12,31),$U739)</f>
        <v/>
      </c>
      <c r="X739" s="20">
        <f>IF($U739="",$K739,$K739*$S739)</f>
        <v/>
      </c>
      <c r="Y739" s="24">
        <f>IF($U739="",DATE(2100,12,31),$U739+1)</f>
        <v/>
      </c>
      <c r="Z739" s="24">
        <f>IF($U739="",DATE(1900,1,1),$O739)</f>
        <v/>
      </c>
      <c r="AA739" s="20">
        <f>IF($U739="",0,$K739*$T739)</f>
        <v/>
      </c>
    </row>
    <row r="740">
      <c r="A740" s="27" t="n"/>
      <c r="B740" s="29">
        <f>IF($A740="","",IFERROR(INDEX(Roster!$B$2:$B$40,MATCH($A740,Roster!$A$2:$A$40,0)),"?"))</f>
        <v/>
      </c>
      <c r="C740" s="27" t="n"/>
      <c r="D740" s="29">
        <f>IF($C740="","",IFERROR(IF(INDEX(Deals!$C$2:$C$355,MATCH($C740,Deals!$A$2:$A$355,0))=0,"",INDEX(Deals!$C$2:$C$355,MATCH($C740,Deals!$A$2:$A$355,0))),"?"))</f>
        <v/>
      </c>
      <c r="E740" s="29">
        <f>IF($C740="","",IFERROR(INDEX(Deals!$F$2:$F$355,MATCH($C740,Deals!$A$2:$A$355,0)),"?"))</f>
        <v/>
      </c>
      <c r="F740" s="27" t="n"/>
      <c r="G740" s="27" t="n"/>
      <c r="H740" s="27" t="n"/>
      <c r="I740" s="20">
        <f>IF(OR($A740="",$G740&lt;&gt;"Active"),0,IF($H740&lt;&gt;"",$H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</f>
        <v/>
      </c>
      <c r="J740" s="23">
        <f>IF($C740="",0,IFERROR(INDEX(Deals!$H$2:$H$355,MATCH($C740,Deals!$A$2:$A$355,0)),0))</f>
        <v/>
      </c>
      <c r="K740" s="20">
        <f>IF(Settings!$B$4="Yes",$I740*$J740,$I740)</f>
        <v/>
      </c>
      <c r="L740" s="31">
        <f>IF($C740="","",IFERROR(IF(INDEX(Deals!$I$2:$I$355,MATCH($C740,Deals!$A$2:$A$355,0))=0,"",INDEX(Deals!$I$2:$I$355,MATCH($C740,Deals!$A$2:$A$355,0))),""))</f>
        <v/>
      </c>
      <c r="M740" s="31">
        <f>IF($C740="","",IFERROR(IF(INDEX(Deals!$J$2:$J$355,MATCH($C740,Deals!$A$2:$A$355,0))=0,"",INDEX(Deals!$J$2:$J$355,MATCH($C740,Deals!$A$2:$A$355,0))),""))</f>
        <v/>
      </c>
      <c r="N740" s="24">
        <f>IF($L740="",DATE(1900,1,1),$L740)</f>
        <v/>
      </c>
      <c r="O740" s="24">
        <f>IF($M740="",DATE(2100,12,31),$M740)</f>
        <v/>
      </c>
      <c r="P740" s="27" t="n"/>
      <c r="Q740" s="27" t="n"/>
      <c r="R740" s="29">
        <f>IF($C740="","",IFERROR(IF(INDEX(Deals!$U$2:$U$355,MATCH($C740,Deals!$A$2:$A$355,0))=0,"",INDEX(Deals!$U$2:$U$355,MATCH($C740,Deals!$A$2:$A$355,0))),""))</f>
        <v/>
      </c>
      <c r="S740" s="22">
        <f>IFERROR(IF($U740="",1,INDEX(Deals!$V$2:$V$355,MATCH($C740,Deals!$A$2:$A$355,0))),1)</f>
        <v/>
      </c>
      <c r="T740" s="22">
        <f>IFERROR(IF($U740="",1,INDEX(Deals!$W$2:$W$355,MATCH($C740,Deals!$A$2:$A$355,0))),1)</f>
        <v/>
      </c>
      <c r="U740" s="31">
        <f>IF($C740="","",IFERROR(IF(INDEX(Deals!$Y$2:$Y$355,MATCH($C740,Deals!$A$2:$A$355,0))=0,"",INDEX(Deals!$Y$2:$Y$355,MATCH($C740,Deals!$A$2:$A$355,0))),""))</f>
        <v/>
      </c>
      <c r="V740" s="24">
        <f>IF($U740="",DATE(1900,1,1),$N740)</f>
        <v/>
      </c>
      <c r="W740" s="24">
        <f>IF($U740="",DATE(2100,12,31),$U740)</f>
        <v/>
      </c>
      <c r="X740" s="20">
        <f>IF($U740="",$K740,$K740*$S740)</f>
        <v/>
      </c>
      <c r="Y740" s="24">
        <f>IF($U740="",DATE(2100,12,31),$U740+1)</f>
        <v/>
      </c>
      <c r="Z740" s="24">
        <f>IF($U740="",DATE(1900,1,1),$O740)</f>
        <v/>
      </c>
      <c r="AA740" s="20">
        <f>IF($U740="",0,$K740*$T740)</f>
        <v/>
      </c>
    </row>
    <row r="741">
      <c r="A741" s="27" t="n"/>
      <c r="B741" s="29">
        <f>IF($A741="","",IFERROR(INDEX(Roster!$B$2:$B$40,MATCH($A741,Roster!$A$2:$A$40,0)),"?"))</f>
        <v/>
      </c>
      <c r="C741" s="27" t="n"/>
      <c r="D741" s="29">
        <f>IF($C741="","",IFERROR(IF(INDEX(Deals!$C$2:$C$355,MATCH($C741,Deals!$A$2:$A$355,0))=0,"",INDEX(Deals!$C$2:$C$355,MATCH($C741,Deals!$A$2:$A$355,0))),"?"))</f>
        <v/>
      </c>
      <c r="E741" s="29">
        <f>IF($C741="","",IFERROR(INDEX(Deals!$F$2:$F$355,MATCH($C741,Deals!$A$2:$A$355,0)),"?"))</f>
        <v/>
      </c>
      <c r="F741" s="27" t="n"/>
      <c r="G741" s="27" t="n"/>
      <c r="H741" s="27" t="n"/>
      <c r="I741" s="20">
        <f>IF(OR($A741="",$G741&lt;&gt;"Active"),0,IF($H741&lt;&gt;"",$H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</f>
        <v/>
      </c>
      <c r="J741" s="23">
        <f>IF($C741="",0,IFERROR(INDEX(Deals!$H$2:$H$355,MATCH($C741,Deals!$A$2:$A$355,0)),0))</f>
        <v/>
      </c>
      <c r="K741" s="20">
        <f>IF(Settings!$B$4="Yes",$I741*$J741,$I741)</f>
        <v/>
      </c>
      <c r="L741" s="31">
        <f>IF($C741="","",IFERROR(IF(INDEX(Deals!$I$2:$I$355,MATCH($C741,Deals!$A$2:$A$355,0))=0,"",INDEX(Deals!$I$2:$I$355,MATCH($C741,Deals!$A$2:$A$355,0))),""))</f>
        <v/>
      </c>
      <c r="M741" s="31">
        <f>IF($C741="","",IFERROR(IF(INDEX(Deals!$J$2:$J$355,MATCH($C741,Deals!$A$2:$A$355,0))=0,"",INDEX(Deals!$J$2:$J$355,MATCH($C741,Deals!$A$2:$A$355,0))),""))</f>
        <v/>
      </c>
      <c r="N741" s="24">
        <f>IF($L741="",DATE(1900,1,1),$L741)</f>
        <v/>
      </c>
      <c r="O741" s="24">
        <f>IF($M741="",DATE(2100,12,31),$M741)</f>
        <v/>
      </c>
      <c r="P741" s="27" t="n"/>
      <c r="Q741" s="27" t="n"/>
      <c r="R741" s="29">
        <f>IF($C741="","",IFERROR(IF(INDEX(Deals!$U$2:$U$355,MATCH($C741,Deals!$A$2:$A$355,0))=0,"",INDEX(Deals!$U$2:$U$355,MATCH($C741,Deals!$A$2:$A$355,0))),""))</f>
        <v/>
      </c>
      <c r="S741" s="22">
        <f>IFERROR(IF($U741="",1,INDEX(Deals!$V$2:$V$355,MATCH($C741,Deals!$A$2:$A$355,0))),1)</f>
        <v/>
      </c>
      <c r="T741" s="22">
        <f>IFERROR(IF($U741="",1,INDEX(Deals!$W$2:$W$355,MATCH($C741,Deals!$A$2:$A$355,0))),1)</f>
        <v/>
      </c>
      <c r="U741" s="31">
        <f>IF($C741="","",IFERROR(IF(INDEX(Deals!$Y$2:$Y$355,MATCH($C741,Deals!$A$2:$A$355,0))=0,"",INDEX(Deals!$Y$2:$Y$355,MATCH($C741,Deals!$A$2:$A$355,0))),""))</f>
        <v/>
      </c>
      <c r="V741" s="24">
        <f>IF($U741="",DATE(1900,1,1),$N741)</f>
        <v/>
      </c>
      <c r="W741" s="24">
        <f>IF($U741="",DATE(2100,12,31),$U741)</f>
        <v/>
      </c>
      <c r="X741" s="20">
        <f>IF($U741="",$K741,$K741*$S741)</f>
        <v/>
      </c>
      <c r="Y741" s="24">
        <f>IF($U741="",DATE(2100,12,31),$U741+1)</f>
        <v/>
      </c>
      <c r="Z741" s="24">
        <f>IF($U741="",DATE(1900,1,1),$O741)</f>
        <v/>
      </c>
      <c r="AA741" s="20">
        <f>IF($U741="",0,$K741*$T741)</f>
        <v/>
      </c>
    </row>
    <row r="742">
      <c r="A742" s="27" t="n"/>
      <c r="B742" s="29">
        <f>IF($A742="","",IFERROR(INDEX(Roster!$B$2:$B$40,MATCH($A742,Roster!$A$2:$A$40,0)),"?"))</f>
        <v/>
      </c>
      <c r="C742" s="27" t="n"/>
      <c r="D742" s="29">
        <f>IF($C742="","",IFERROR(IF(INDEX(Deals!$C$2:$C$355,MATCH($C742,Deals!$A$2:$A$355,0))=0,"",INDEX(Deals!$C$2:$C$355,MATCH($C742,Deals!$A$2:$A$355,0))),"?"))</f>
        <v/>
      </c>
      <c r="E742" s="29">
        <f>IF($C742="","",IFERROR(INDEX(Deals!$F$2:$F$355,MATCH($C742,Deals!$A$2:$A$355,0)),"?"))</f>
        <v/>
      </c>
      <c r="F742" s="27" t="n"/>
      <c r="G742" s="27" t="n"/>
      <c r="H742" s="27" t="n"/>
      <c r="I742" s="20">
        <f>IF(OR($A742="",$G742&lt;&gt;"Active"),0,IF($H742&lt;&gt;"",$H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</f>
        <v/>
      </c>
      <c r="J742" s="23">
        <f>IF($C742="",0,IFERROR(INDEX(Deals!$H$2:$H$355,MATCH($C742,Deals!$A$2:$A$355,0)),0))</f>
        <v/>
      </c>
      <c r="K742" s="20">
        <f>IF(Settings!$B$4="Yes",$I742*$J742,$I742)</f>
        <v/>
      </c>
      <c r="L742" s="31">
        <f>IF($C742="","",IFERROR(IF(INDEX(Deals!$I$2:$I$355,MATCH($C742,Deals!$A$2:$A$355,0))=0,"",INDEX(Deals!$I$2:$I$355,MATCH($C742,Deals!$A$2:$A$355,0))),""))</f>
        <v/>
      </c>
      <c r="M742" s="31">
        <f>IF($C742="","",IFERROR(IF(INDEX(Deals!$J$2:$J$355,MATCH($C742,Deals!$A$2:$A$355,0))=0,"",INDEX(Deals!$J$2:$J$355,MATCH($C742,Deals!$A$2:$A$355,0))),""))</f>
        <v/>
      </c>
      <c r="N742" s="24">
        <f>IF($L742="",DATE(1900,1,1),$L742)</f>
        <v/>
      </c>
      <c r="O742" s="24">
        <f>IF($M742="",DATE(2100,12,31),$M742)</f>
        <v/>
      </c>
      <c r="P742" s="27" t="n"/>
      <c r="Q742" s="27" t="n"/>
      <c r="R742" s="29">
        <f>IF($C742="","",IFERROR(IF(INDEX(Deals!$U$2:$U$355,MATCH($C742,Deals!$A$2:$A$355,0))=0,"",INDEX(Deals!$U$2:$U$355,MATCH($C742,Deals!$A$2:$A$355,0))),""))</f>
        <v/>
      </c>
      <c r="S742" s="22">
        <f>IFERROR(IF($U742="",1,INDEX(Deals!$V$2:$V$355,MATCH($C742,Deals!$A$2:$A$355,0))),1)</f>
        <v/>
      </c>
      <c r="T742" s="22">
        <f>IFERROR(IF($U742="",1,INDEX(Deals!$W$2:$W$355,MATCH($C742,Deals!$A$2:$A$355,0))),1)</f>
        <v/>
      </c>
      <c r="U742" s="31">
        <f>IF($C742="","",IFERROR(IF(INDEX(Deals!$Y$2:$Y$355,MATCH($C742,Deals!$A$2:$A$355,0))=0,"",INDEX(Deals!$Y$2:$Y$355,MATCH($C742,Deals!$A$2:$A$355,0))),""))</f>
        <v/>
      </c>
      <c r="V742" s="24">
        <f>IF($U742="",DATE(1900,1,1),$N742)</f>
        <v/>
      </c>
      <c r="W742" s="24">
        <f>IF($U742="",DATE(2100,12,31),$U742)</f>
        <v/>
      </c>
      <c r="X742" s="20">
        <f>IF($U742="",$K742,$K742*$S742)</f>
        <v/>
      </c>
      <c r="Y742" s="24">
        <f>IF($U742="",DATE(2100,12,31),$U742+1)</f>
        <v/>
      </c>
      <c r="Z742" s="24">
        <f>IF($U742="",DATE(1900,1,1),$O742)</f>
        <v/>
      </c>
      <c r="AA742" s="20">
        <f>IF($U742="",0,$K742*$T742)</f>
        <v/>
      </c>
    </row>
    <row r="743">
      <c r="A743" s="27" t="n"/>
      <c r="B743" s="29">
        <f>IF($A743="","",IFERROR(INDEX(Roster!$B$2:$B$40,MATCH($A743,Roster!$A$2:$A$40,0)),"?"))</f>
        <v/>
      </c>
      <c r="C743" s="27" t="n"/>
      <c r="D743" s="29">
        <f>IF($C743="","",IFERROR(IF(INDEX(Deals!$C$2:$C$355,MATCH($C743,Deals!$A$2:$A$355,0))=0,"",INDEX(Deals!$C$2:$C$355,MATCH($C743,Deals!$A$2:$A$355,0))),"?"))</f>
        <v/>
      </c>
      <c r="E743" s="29">
        <f>IF($C743="","",IFERROR(INDEX(Deals!$F$2:$F$355,MATCH($C743,Deals!$A$2:$A$355,0)),"?"))</f>
        <v/>
      </c>
      <c r="F743" s="27" t="n"/>
      <c r="G743" s="27" t="n"/>
      <c r="H743" s="27" t="n"/>
      <c r="I743" s="20">
        <f>IF(OR($A743="",$G743&lt;&gt;"Active"),0,IF($H743&lt;&gt;"",$H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</f>
        <v/>
      </c>
      <c r="J743" s="23">
        <f>IF($C743="",0,IFERROR(INDEX(Deals!$H$2:$H$355,MATCH($C743,Deals!$A$2:$A$355,0)),0))</f>
        <v/>
      </c>
      <c r="K743" s="20">
        <f>IF(Settings!$B$4="Yes",$I743*$J743,$I743)</f>
        <v/>
      </c>
      <c r="L743" s="31">
        <f>IF($C743="","",IFERROR(IF(INDEX(Deals!$I$2:$I$355,MATCH($C743,Deals!$A$2:$A$355,0))=0,"",INDEX(Deals!$I$2:$I$355,MATCH($C743,Deals!$A$2:$A$355,0))),""))</f>
        <v/>
      </c>
      <c r="M743" s="31">
        <f>IF($C743="","",IFERROR(IF(INDEX(Deals!$J$2:$J$355,MATCH($C743,Deals!$A$2:$A$355,0))=0,"",INDEX(Deals!$J$2:$J$355,MATCH($C743,Deals!$A$2:$A$355,0))),""))</f>
        <v/>
      </c>
      <c r="N743" s="24">
        <f>IF($L743="",DATE(1900,1,1),$L743)</f>
        <v/>
      </c>
      <c r="O743" s="24">
        <f>IF($M743="",DATE(2100,12,31),$M743)</f>
        <v/>
      </c>
      <c r="P743" s="27" t="n"/>
      <c r="Q743" s="27" t="n"/>
      <c r="R743" s="29">
        <f>IF($C743="","",IFERROR(IF(INDEX(Deals!$U$2:$U$355,MATCH($C743,Deals!$A$2:$A$355,0))=0,"",INDEX(Deals!$U$2:$U$355,MATCH($C743,Deals!$A$2:$A$355,0))),""))</f>
        <v/>
      </c>
      <c r="S743" s="22">
        <f>IFERROR(IF($U743="",1,INDEX(Deals!$V$2:$V$355,MATCH($C743,Deals!$A$2:$A$355,0))),1)</f>
        <v/>
      </c>
      <c r="T743" s="22">
        <f>IFERROR(IF($U743="",1,INDEX(Deals!$W$2:$W$355,MATCH($C743,Deals!$A$2:$A$355,0))),1)</f>
        <v/>
      </c>
      <c r="U743" s="31">
        <f>IF($C743="","",IFERROR(IF(INDEX(Deals!$Y$2:$Y$355,MATCH($C743,Deals!$A$2:$A$355,0))=0,"",INDEX(Deals!$Y$2:$Y$355,MATCH($C743,Deals!$A$2:$A$355,0))),""))</f>
        <v/>
      </c>
      <c r="V743" s="24">
        <f>IF($U743="",DATE(1900,1,1),$N743)</f>
        <v/>
      </c>
      <c r="W743" s="24">
        <f>IF($U743="",DATE(2100,12,31),$U743)</f>
        <v/>
      </c>
      <c r="X743" s="20">
        <f>IF($U743="",$K743,$K743*$S743)</f>
        <v/>
      </c>
      <c r="Y743" s="24">
        <f>IF($U743="",DATE(2100,12,31),$U743+1)</f>
        <v/>
      </c>
      <c r="Z743" s="24">
        <f>IF($U743="",DATE(1900,1,1),$O743)</f>
        <v/>
      </c>
      <c r="AA743" s="20">
        <f>IF($U743="",0,$K743*$T743)</f>
        <v/>
      </c>
    </row>
    <row r="744">
      <c r="A744" s="27" t="n"/>
      <c r="B744" s="29">
        <f>IF($A744="","",IFERROR(INDEX(Roster!$B$2:$B$40,MATCH($A744,Roster!$A$2:$A$40,0)),"?"))</f>
        <v/>
      </c>
      <c r="C744" s="27" t="n"/>
      <c r="D744" s="29">
        <f>IF($C744="","",IFERROR(IF(INDEX(Deals!$C$2:$C$355,MATCH($C744,Deals!$A$2:$A$355,0))=0,"",INDEX(Deals!$C$2:$C$355,MATCH($C744,Deals!$A$2:$A$355,0))),"?"))</f>
        <v/>
      </c>
      <c r="E744" s="29">
        <f>IF($C744="","",IFERROR(INDEX(Deals!$F$2:$F$355,MATCH($C744,Deals!$A$2:$A$355,0)),"?"))</f>
        <v/>
      </c>
      <c r="F744" s="27" t="n"/>
      <c r="G744" s="27" t="n"/>
      <c r="H744" s="27" t="n"/>
      <c r="I744" s="20">
        <f>IF(OR($A744="",$G744&lt;&gt;"Active"),0,IF($H744&lt;&gt;"",$H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</f>
        <v/>
      </c>
      <c r="J744" s="23">
        <f>IF($C744="",0,IFERROR(INDEX(Deals!$H$2:$H$355,MATCH($C744,Deals!$A$2:$A$355,0)),0))</f>
        <v/>
      </c>
      <c r="K744" s="20">
        <f>IF(Settings!$B$4="Yes",$I744*$J744,$I744)</f>
        <v/>
      </c>
      <c r="L744" s="31">
        <f>IF($C744="","",IFERROR(IF(INDEX(Deals!$I$2:$I$355,MATCH($C744,Deals!$A$2:$A$355,0))=0,"",INDEX(Deals!$I$2:$I$355,MATCH($C744,Deals!$A$2:$A$355,0))),""))</f>
        <v/>
      </c>
      <c r="M744" s="31">
        <f>IF($C744="","",IFERROR(IF(INDEX(Deals!$J$2:$J$355,MATCH($C744,Deals!$A$2:$A$355,0))=0,"",INDEX(Deals!$J$2:$J$355,MATCH($C744,Deals!$A$2:$A$355,0))),""))</f>
        <v/>
      </c>
      <c r="N744" s="24">
        <f>IF($L744="",DATE(1900,1,1),$L744)</f>
        <v/>
      </c>
      <c r="O744" s="24">
        <f>IF($M744="",DATE(2100,12,31),$M744)</f>
        <v/>
      </c>
      <c r="P744" s="27" t="n"/>
      <c r="Q744" s="27" t="n"/>
      <c r="R744" s="29">
        <f>IF($C744="","",IFERROR(IF(INDEX(Deals!$U$2:$U$355,MATCH($C744,Deals!$A$2:$A$355,0))=0,"",INDEX(Deals!$U$2:$U$355,MATCH($C744,Deals!$A$2:$A$355,0))),""))</f>
        <v/>
      </c>
      <c r="S744" s="22">
        <f>IFERROR(IF($U744="",1,INDEX(Deals!$V$2:$V$355,MATCH($C744,Deals!$A$2:$A$355,0))),1)</f>
        <v/>
      </c>
      <c r="T744" s="22">
        <f>IFERROR(IF($U744="",1,INDEX(Deals!$W$2:$W$355,MATCH($C744,Deals!$A$2:$A$355,0))),1)</f>
        <v/>
      </c>
      <c r="U744" s="31">
        <f>IF($C744="","",IFERROR(IF(INDEX(Deals!$Y$2:$Y$355,MATCH($C744,Deals!$A$2:$A$355,0))=0,"",INDEX(Deals!$Y$2:$Y$355,MATCH($C744,Deals!$A$2:$A$355,0))),""))</f>
        <v/>
      </c>
      <c r="V744" s="24">
        <f>IF($U744="",DATE(1900,1,1),$N744)</f>
        <v/>
      </c>
      <c r="W744" s="24">
        <f>IF($U744="",DATE(2100,12,31),$U744)</f>
        <v/>
      </c>
      <c r="X744" s="20">
        <f>IF($U744="",$K744,$K744*$S744)</f>
        <v/>
      </c>
      <c r="Y744" s="24">
        <f>IF($U744="",DATE(2100,12,31),$U744+1)</f>
        <v/>
      </c>
      <c r="Z744" s="24">
        <f>IF($U744="",DATE(1900,1,1),$O744)</f>
        <v/>
      </c>
      <c r="AA744" s="20">
        <f>IF($U744="",0,$K744*$T744)</f>
        <v/>
      </c>
    </row>
    <row r="745">
      <c r="A745" s="27" t="n"/>
      <c r="B745" s="29">
        <f>IF($A745="","",IFERROR(INDEX(Roster!$B$2:$B$40,MATCH($A745,Roster!$A$2:$A$40,0)),"?"))</f>
        <v/>
      </c>
      <c r="C745" s="27" t="n"/>
      <c r="D745" s="29">
        <f>IF($C745="","",IFERROR(IF(INDEX(Deals!$C$2:$C$355,MATCH($C745,Deals!$A$2:$A$355,0))=0,"",INDEX(Deals!$C$2:$C$355,MATCH($C745,Deals!$A$2:$A$355,0))),"?"))</f>
        <v/>
      </c>
      <c r="E745" s="29">
        <f>IF($C745="","",IFERROR(INDEX(Deals!$F$2:$F$355,MATCH($C745,Deals!$A$2:$A$355,0)),"?"))</f>
        <v/>
      </c>
      <c r="F745" s="27" t="n"/>
      <c r="G745" s="27" t="n"/>
      <c r="H745" s="27" t="n"/>
      <c r="I745" s="20">
        <f>IF(OR($A745="",$G745&lt;&gt;"Active"),0,IF($H745&lt;&gt;"",$H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</f>
        <v/>
      </c>
      <c r="J745" s="23">
        <f>IF($C745="",0,IFERROR(INDEX(Deals!$H$2:$H$355,MATCH($C745,Deals!$A$2:$A$355,0)),0))</f>
        <v/>
      </c>
      <c r="K745" s="20">
        <f>IF(Settings!$B$4="Yes",$I745*$J745,$I745)</f>
        <v/>
      </c>
      <c r="L745" s="31">
        <f>IF($C745="","",IFERROR(IF(INDEX(Deals!$I$2:$I$355,MATCH($C745,Deals!$A$2:$A$355,0))=0,"",INDEX(Deals!$I$2:$I$355,MATCH($C745,Deals!$A$2:$A$355,0))),""))</f>
        <v/>
      </c>
      <c r="M745" s="31">
        <f>IF($C745="","",IFERROR(IF(INDEX(Deals!$J$2:$J$355,MATCH($C745,Deals!$A$2:$A$355,0))=0,"",INDEX(Deals!$J$2:$J$355,MATCH($C745,Deals!$A$2:$A$355,0))),""))</f>
        <v/>
      </c>
      <c r="N745" s="24">
        <f>IF($L745="",DATE(1900,1,1),$L745)</f>
        <v/>
      </c>
      <c r="O745" s="24">
        <f>IF($M745="",DATE(2100,12,31),$M745)</f>
        <v/>
      </c>
      <c r="P745" s="27" t="n"/>
      <c r="Q745" s="27" t="n"/>
      <c r="R745" s="29">
        <f>IF($C745="","",IFERROR(IF(INDEX(Deals!$U$2:$U$355,MATCH($C745,Deals!$A$2:$A$355,0))=0,"",INDEX(Deals!$U$2:$U$355,MATCH($C745,Deals!$A$2:$A$355,0))),""))</f>
        <v/>
      </c>
      <c r="S745" s="22">
        <f>IFERROR(IF($U745="",1,INDEX(Deals!$V$2:$V$355,MATCH($C745,Deals!$A$2:$A$355,0))),1)</f>
        <v/>
      </c>
      <c r="T745" s="22">
        <f>IFERROR(IF($U745="",1,INDEX(Deals!$W$2:$W$355,MATCH($C745,Deals!$A$2:$A$355,0))),1)</f>
        <v/>
      </c>
      <c r="U745" s="31">
        <f>IF($C745="","",IFERROR(IF(INDEX(Deals!$Y$2:$Y$355,MATCH($C745,Deals!$A$2:$A$355,0))=0,"",INDEX(Deals!$Y$2:$Y$355,MATCH($C745,Deals!$A$2:$A$355,0))),""))</f>
        <v/>
      </c>
      <c r="V745" s="24">
        <f>IF($U745="",DATE(1900,1,1),$N745)</f>
        <v/>
      </c>
      <c r="W745" s="24">
        <f>IF($U745="",DATE(2100,12,31),$U745)</f>
        <v/>
      </c>
      <c r="X745" s="20">
        <f>IF($U745="",$K745,$K745*$S745)</f>
        <v/>
      </c>
      <c r="Y745" s="24">
        <f>IF($U745="",DATE(2100,12,31),$U745+1)</f>
        <v/>
      </c>
      <c r="Z745" s="24">
        <f>IF($U745="",DATE(1900,1,1),$O745)</f>
        <v/>
      </c>
      <c r="AA745" s="20">
        <f>IF($U745="",0,$K745*$T745)</f>
        <v/>
      </c>
    </row>
    <row r="746">
      <c r="A746" s="27" t="n"/>
      <c r="B746" s="29">
        <f>IF($A746="","",IFERROR(INDEX(Roster!$B$2:$B$40,MATCH($A746,Roster!$A$2:$A$40,0)),"?"))</f>
        <v/>
      </c>
      <c r="C746" s="27" t="n"/>
      <c r="D746" s="29">
        <f>IF($C746="","",IFERROR(IF(INDEX(Deals!$C$2:$C$355,MATCH($C746,Deals!$A$2:$A$355,0))=0,"",INDEX(Deals!$C$2:$C$355,MATCH($C746,Deals!$A$2:$A$355,0))),"?"))</f>
        <v/>
      </c>
      <c r="E746" s="29">
        <f>IF($C746="","",IFERROR(INDEX(Deals!$F$2:$F$355,MATCH($C746,Deals!$A$2:$A$355,0)),"?"))</f>
        <v/>
      </c>
      <c r="F746" s="27" t="n"/>
      <c r="G746" s="27" t="n"/>
      <c r="H746" s="27" t="n"/>
      <c r="I746" s="20">
        <f>IF(OR($A746="",$G746&lt;&gt;"Active"),0,IF($H746&lt;&gt;"",$H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</f>
        <v/>
      </c>
      <c r="J746" s="23">
        <f>IF($C746="",0,IFERROR(INDEX(Deals!$H$2:$H$355,MATCH($C746,Deals!$A$2:$A$355,0)),0))</f>
        <v/>
      </c>
      <c r="K746" s="20">
        <f>IF(Settings!$B$4="Yes",$I746*$J746,$I746)</f>
        <v/>
      </c>
      <c r="L746" s="31">
        <f>IF($C746="","",IFERROR(IF(INDEX(Deals!$I$2:$I$355,MATCH($C746,Deals!$A$2:$A$355,0))=0,"",INDEX(Deals!$I$2:$I$355,MATCH($C746,Deals!$A$2:$A$355,0))),""))</f>
        <v/>
      </c>
      <c r="M746" s="31">
        <f>IF($C746="","",IFERROR(IF(INDEX(Deals!$J$2:$J$355,MATCH($C746,Deals!$A$2:$A$355,0))=0,"",INDEX(Deals!$J$2:$J$355,MATCH($C746,Deals!$A$2:$A$355,0))),""))</f>
        <v/>
      </c>
      <c r="N746" s="24">
        <f>IF($L746="",DATE(1900,1,1),$L746)</f>
        <v/>
      </c>
      <c r="O746" s="24">
        <f>IF($M746="",DATE(2100,12,31),$M746)</f>
        <v/>
      </c>
      <c r="P746" s="27" t="n"/>
      <c r="Q746" s="27" t="n"/>
      <c r="R746" s="29">
        <f>IF($C746="","",IFERROR(IF(INDEX(Deals!$U$2:$U$355,MATCH($C746,Deals!$A$2:$A$355,0))=0,"",INDEX(Deals!$U$2:$U$355,MATCH($C746,Deals!$A$2:$A$355,0))),""))</f>
        <v/>
      </c>
      <c r="S746" s="22">
        <f>IFERROR(IF($U746="",1,INDEX(Deals!$V$2:$V$355,MATCH($C746,Deals!$A$2:$A$355,0))),1)</f>
        <v/>
      </c>
      <c r="T746" s="22">
        <f>IFERROR(IF($U746="",1,INDEX(Deals!$W$2:$W$355,MATCH($C746,Deals!$A$2:$A$355,0))),1)</f>
        <v/>
      </c>
      <c r="U746" s="31">
        <f>IF($C746="","",IFERROR(IF(INDEX(Deals!$Y$2:$Y$355,MATCH($C746,Deals!$A$2:$A$355,0))=0,"",INDEX(Deals!$Y$2:$Y$355,MATCH($C746,Deals!$A$2:$A$355,0))),""))</f>
        <v/>
      </c>
      <c r="V746" s="24">
        <f>IF($U746="",DATE(1900,1,1),$N746)</f>
        <v/>
      </c>
      <c r="W746" s="24">
        <f>IF($U746="",DATE(2100,12,31),$U746)</f>
        <v/>
      </c>
      <c r="X746" s="20">
        <f>IF($U746="",$K746,$K746*$S746)</f>
        <v/>
      </c>
      <c r="Y746" s="24">
        <f>IF($U746="",DATE(2100,12,31),$U746+1)</f>
        <v/>
      </c>
      <c r="Z746" s="24">
        <f>IF($U746="",DATE(1900,1,1),$O746)</f>
        <v/>
      </c>
      <c r="AA746" s="20">
        <f>IF($U746="",0,$K746*$T746)</f>
        <v/>
      </c>
    </row>
    <row r="747">
      <c r="A747" s="27" t="n"/>
      <c r="B747" s="29">
        <f>IF($A747="","",IFERROR(INDEX(Roster!$B$2:$B$40,MATCH($A747,Roster!$A$2:$A$40,0)),"?"))</f>
        <v/>
      </c>
      <c r="C747" s="27" t="n"/>
      <c r="D747" s="29">
        <f>IF($C747="","",IFERROR(IF(INDEX(Deals!$C$2:$C$355,MATCH($C747,Deals!$A$2:$A$355,0))=0,"",INDEX(Deals!$C$2:$C$355,MATCH($C747,Deals!$A$2:$A$355,0))),"?"))</f>
        <v/>
      </c>
      <c r="E747" s="29">
        <f>IF($C747="","",IFERROR(INDEX(Deals!$F$2:$F$355,MATCH($C747,Deals!$A$2:$A$355,0)),"?"))</f>
        <v/>
      </c>
      <c r="F747" s="27" t="n"/>
      <c r="G747" s="27" t="n"/>
      <c r="H747" s="27" t="n"/>
      <c r="I747" s="20">
        <f>IF(OR($A747="",$G747&lt;&gt;"Active"),0,IF($H747&lt;&gt;"",$H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</f>
        <v/>
      </c>
      <c r="J747" s="23">
        <f>IF($C747="",0,IFERROR(INDEX(Deals!$H$2:$H$355,MATCH($C747,Deals!$A$2:$A$355,0)),0))</f>
        <v/>
      </c>
      <c r="K747" s="20">
        <f>IF(Settings!$B$4="Yes",$I747*$J747,$I747)</f>
        <v/>
      </c>
      <c r="L747" s="31">
        <f>IF($C747="","",IFERROR(IF(INDEX(Deals!$I$2:$I$355,MATCH($C747,Deals!$A$2:$A$355,0))=0,"",INDEX(Deals!$I$2:$I$355,MATCH($C747,Deals!$A$2:$A$355,0))),""))</f>
        <v/>
      </c>
      <c r="M747" s="31">
        <f>IF($C747="","",IFERROR(IF(INDEX(Deals!$J$2:$J$355,MATCH($C747,Deals!$A$2:$A$355,0))=0,"",INDEX(Deals!$J$2:$J$355,MATCH($C747,Deals!$A$2:$A$355,0))),""))</f>
        <v/>
      </c>
      <c r="N747" s="24">
        <f>IF($L747="",DATE(1900,1,1),$L747)</f>
        <v/>
      </c>
      <c r="O747" s="24">
        <f>IF($M747="",DATE(2100,12,31),$M747)</f>
        <v/>
      </c>
      <c r="P747" s="27" t="n"/>
      <c r="Q747" s="27" t="n"/>
      <c r="R747" s="29">
        <f>IF($C747="","",IFERROR(IF(INDEX(Deals!$U$2:$U$355,MATCH($C747,Deals!$A$2:$A$355,0))=0,"",INDEX(Deals!$U$2:$U$355,MATCH($C747,Deals!$A$2:$A$355,0))),""))</f>
        <v/>
      </c>
      <c r="S747" s="22">
        <f>IFERROR(IF($U747="",1,INDEX(Deals!$V$2:$V$355,MATCH($C747,Deals!$A$2:$A$355,0))),1)</f>
        <v/>
      </c>
      <c r="T747" s="22">
        <f>IFERROR(IF($U747="",1,INDEX(Deals!$W$2:$W$355,MATCH($C747,Deals!$A$2:$A$355,0))),1)</f>
        <v/>
      </c>
      <c r="U747" s="31">
        <f>IF($C747="","",IFERROR(IF(INDEX(Deals!$Y$2:$Y$355,MATCH($C747,Deals!$A$2:$A$355,0))=0,"",INDEX(Deals!$Y$2:$Y$355,MATCH($C747,Deals!$A$2:$A$355,0))),""))</f>
        <v/>
      </c>
      <c r="V747" s="24">
        <f>IF($U747="",DATE(1900,1,1),$N747)</f>
        <v/>
      </c>
      <c r="W747" s="24">
        <f>IF($U747="",DATE(2100,12,31),$U747)</f>
        <v/>
      </c>
      <c r="X747" s="20">
        <f>IF($U747="",$K747,$K747*$S747)</f>
        <v/>
      </c>
      <c r="Y747" s="24">
        <f>IF($U747="",DATE(2100,12,31),$U747+1)</f>
        <v/>
      </c>
      <c r="Z747" s="24">
        <f>IF($U747="",DATE(1900,1,1),$O747)</f>
        <v/>
      </c>
      <c r="AA747" s="20">
        <f>IF($U747="",0,$K747*$T747)</f>
        <v/>
      </c>
    </row>
    <row r="748">
      <c r="A748" s="27" t="n"/>
      <c r="B748" s="29">
        <f>IF($A748="","",IFERROR(INDEX(Roster!$B$2:$B$40,MATCH($A748,Roster!$A$2:$A$40,0)),"?"))</f>
        <v/>
      </c>
      <c r="C748" s="27" t="n"/>
      <c r="D748" s="29">
        <f>IF($C748="","",IFERROR(IF(INDEX(Deals!$C$2:$C$355,MATCH($C748,Deals!$A$2:$A$355,0))=0,"",INDEX(Deals!$C$2:$C$355,MATCH($C748,Deals!$A$2:$A$355,0))),"?"))</f>
        <v/>
      </c>
      <c r="E748" s="29">
        <f>IF($C748="","",IFERROR(INDEX(Deals!$F$2:$F$355,MATCH($C748,Deals!$A$2:$A$355,0)),"?"))</f>
        <v/>
      </c>
      <c r="F748" s="27" t="n"/>
      <c r="G748" s="27" t="n"/>
      <c r="H748" s="27" t="n"/>
      <c r="I748" s="20">
        <f>IF(OR($A748="",$G748&lt;&gt;"Active"),0,IF($H748&lt;&gt;"",$H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</f>
        <v/>
      </c>
      <c r="J748" s="23">
        <f>IF($C748="",0,IFERROR(INDEX(Deals!$H$2:$H$355,MATCH($C748,Deals!$A$2:$A$355,0)),0))</f>
        <v/>
      </c>
      <c r="K748" s="20">
        <f>IF(Settings!$B$4="Yes",$I748*$J748,$I748)</f>
        <v/>
      </c>
      <c r="L748" s="31">
        <f>IF($C748="","",IFERROR(IF(INDEX(Deals!$I$2:$I$355,MATCH($C748,Deals!$A$2:$A$355,0))=0,"",INDEX(Deals!$I$2:$I$355,MATCH($C748,Deals!$A$2:$A$355,0))),""))</f>
        <v/>
      </c>
      <c r="M748" s="31">
        <f>IF($C748="","",IFERROR(IF(INDEX(Deals!$J$2:$J$355,MATCH($C748,Deals!$A$2:$A$355,0))=0,"",INDEX(Deals!$J$2:$J$355,MATCH($C748,Deals!$A$2:$A$355,0))),""))</f>
        <v/>
      </c>
      <c r="N748" s="24">
        <f>IF($L748="",DATE(1900,1,1),$L748)</f>
        <v/>
      </c>
      <c r="O748" s="24">
        <f>IF($M748="",DATE(2100,12,31),$M748)</f>
        <v/>
      </c>
      <c r="P748" s="27" t="n"/>
      <c r="Q748" s="27" t="n"/>
      <c r="R748" s="29">
        <f>IF($C748="","",IFERROR(IF(INDEX(Deals!$U$2:$U$355,MATCH($C748,Deals!$A$2:$A$355,0))=0,"",INDEX(Deals!$U$2:$U$355,MATCH($C748,Deals!$A$2:$A$355,0))),""))</f>
        <v/>
      </c>
      <c r="S748" s="22">
        <f>IFERROR(IF($U748="",1,INDEX(Deals!$V$2:$V$355,MATCH($C748,Deals!$A$2:$A$355,0))),1)</f>
        <v/>
      </c>
      <c r="T748" s="22">
        <f>IFERROR(IF($U748="",1,INDEX(Deals!$W$2:$W$355,MATCH($C748,Deals!$A$2:$A$355,0))),1)</f>
        <v/>
      </c>
      <c r="U748" s="31">
        <f>IF($C748="","",IFERROR(IF(INDEX(Deals!$Y$2:$Y$355,MATCH($C748,Deals!$A$2:$A$355,0))=0,"",INDEX(Deals!$Y$2:$Y$355,MATCH($C748,Deals!$A$2:$A$355,0))),""))</f>
        <v/>
      </c>
      <c r="V748" s="24">
        <f>IF($U748="",DATE(1900,1,1),$N748)</f>
        <v/>
      </c>
      <c r="W748" s="24">
        <f>IF($U748="",DATE(2100,12,31),$U748)</f>
        <v/>
      </c>
      <c r="X748" s="20">
        <f>IF($U748="",$K748,$K748*$S748)</f>
        <v/>
      </c>
      <c r="Y748" s="24">
        <f>IF($U748="",DATE(2100,12,31),$U748+1)</f>
        <v/>
      </c>
      <c r="Z748" s="24">
        <f>IF($U748="",DATE(1900,1,1),$O748)</f>
        <v/>
      </c>
      <c r="AA748" s="20">
        <f>IF($U748="",0,$K748*$T748)</f>
        <v/>
      </c>
    </row>
    <row r="749">
      <c r="A749" s="27" t="n"/>
      <c r="B749" s="29">
        <f>IF($A749="","",IFERROR(INDEX(Roster!$B$2:$B$40,MATCH($A749,Roster!$A$2:$A$40,0)),"?"))</f>
        <v/>
      </c>
      <c r="C749" s="27" t="n"/>
      <c r="D749" s="29">
        <f>IF($C749="","",IFERROR(IF(INDEX(Deals!$C$2:$C$355,MATCH($C749,Deals!$A$2:$A$355,0))=0,"",INDEX(Deals!$C$2:$C$355,MATCH($C749,Deals!$A$2:$A$355,0))),"?"))</f>
        <v/>
      </c>
      <c r="E749" s="29">
        <f>IF($C749="","",IFERROR(INDEX(Deals!$F$2:$F$355,MATCH($C749,Deals!$A$2:$A$355,0)),"?"))</f>
        <v/>
      </c>
      <c r="F749" s="27" t="n"/>
      <c r="G749" s="27" t="n"/>
      <c r="H749" s="27" t="n"/>
      <c r="I749" s="20">
        <f>IF(OR($A749="",$G749&lt;&gt;"Active"),0,IF($H749&lt;&gt;"",$H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</f>
        <v/>
      </c>
      <c r="J749" s="23">
        <f>IF($C749="",0,IFERROR(INDEX(Deals!$H$2:$H$355,MATCH($C749,Deals!$A$2:$A$355,0)),0))</f>
        <v/>
      </c>
      <c r="K749" s="20">
        <f>IF(Settings!$B$4="Yes",$I749*$J749,$I749)</f>
        <v/>
      </c>
      <c r="L749" s="31">
        <f>IF($C749="","",IFERROR(IF(INDEX(Deals!$I$2:$I$355,MATCH($C749,Deals!$A$2:$A$355,0))=0,"",INDEX(Deals!$I$2:$I$355,MATCH($C749,Deals!$A$2:$A$355,0))),""))</f>
        <v/>
      </c>
      <c r="M749" s="31">
        <f>IF($C749="","",IFERROR(IF(INDEX(Deals!$J$2:$J$355,MATCH($C749,Deals!$A$2:$A$355,0))=0,"",INDEX(Deals!$J$2:$J$355,MATCH($C749,Deals!$A$2:$A$355,0))),""))</f>
        <v/>
      </c>
      <c r="N749" s="24">
        <f>IF($L749="",DATE(1900,1,1),$L749)</f>
        <v/>
      </c>
      <c r="O749" s="24">
        <f>IF($M749="",DATE(2100,12,31),$M749)</f>
        <v/>
      </c>
      <c r="P749" s="27" t="n"/>
      <c r="Q749" s="27" t="n"/>
      <c r="R749" s="29">
        <f>IF($C749="","",IFERROR(IF(INDEX(Deals!$U$2:$U$355,MATCH($C749,Deals!$A$2:$A$355,0))=0,"",INDEX(Deals!$U$2:$U$355,MATCH($C749,Deals!$A$2:$A$355,0))),""))</f>
        <v/>
      </c>
      <c r="S749" s="22">
        <f>IFERROR(IF($U749="",1,INDEX(Deals!$V$2:$V$355,MATCH($C749,Deals!$A$2:$A$355,0))),1)</f>
        <v/>
      </c>
      <c r="T749" s="22">
        <f>IFERROR(IF($U749="",1,INDEX(Deals!$W$2:$W$355,MATCH($C749,Deals!$A$2:$A$355,0))),1)</f>
        <v/>
      </c>
      <c r="U749" s="31">
        <f>IF($C749="","",IFERROR(IF(INDEX(Deals!$Y$2:$Y$355,MATCH($C749,Deals!$A$2:$A$355,0))=0,"",INDEX(Deals!$Y$2:$Y$355,MATCH($C749,Deals!$A$2:$A$355,0))),""))</f>
        <v/>
      </c>
      <c r="V749" s="24">
        <f>IF($U749="",DATE(1900,1,1),$N749)</f>
        <v/>
      </c>
      <c r="W749" s="24">
        <f>IF($U749="",DATE(2100,12,31),$U749)</f>
        <v/>
      </c>
      <c r="X749" s="20">
        <f>IF($U749="",$K749,$K749*$S749)</f>
        <v/>
      </c>
      <c r="Y749" s="24">
        <f>IF($U749="",DATE(2100,12,31),$U749+1)</f>
        <v/>
      </c>
      <c r="Z749" s="24">
        <f>IF($U749="",DATE(1900,1,1),$O749)</f>
        <v/>
      </c>
      <c r="AA749" s="20">
        <f>IF($U749="",0,$K749*$T749)</f>
        <v/>
      </c>
    </row>
    <row r="750">
      <c r="A750" s="27" t="n"/>
      <c r="B750" s="29">
        <f>IF($A750="","",IFERROR(INDEX(Roster!$B$2:$B$40,MATCH($A750,Roster!$A$2:$A$40,0)),"?"))</f>
        <v/>
      </c>
      <c r="C750" s="27" t="n"/>
      <c r="D750" s="29">
        <f>IF($C750="","",IFERROR(IF(INDEX(Deals!$C$2:$C$355,MATCH($C750,Deals!$A$2:$A$355,0))=0,"",INDEX(Deals!$C$2:$C$355,MATCH($C750,Deals!$A$2:$A$355,0))),"?"))</f>
        <v/>
      </c>
      <c r="E750" s="29">
        <f>IF($C750="","",IFERROR(INDEX(Deals!$F$2:$F$355,MATCH($C750,Deals!$A$2:$A$355,0)),"?"))</f>
        <v/>
      </c>
      <c r="F750" s="27" t="n"/>
      <c r="G750" s="27" t="n"/>
      <c r="H750" s="27" t="n"/>
      <c r="I750" s="20">
        <f>IF(OR($A750="",$G750&lt;&gt;"Active"),0,IF($H750&lt;&gt;"",$H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</f>
        <v/>
      </c>
      <c r="J750" s="23">
        <f>IF($C750="",0,IFERROR(INDEX(Deals!$H$2:$H$355,MATCH($C750,Deals!$A$2:$A$355,0)),0))</f>
        <v/>
      </c>
      <c r="K750" s="20">
        <f>IF(Settings!$B$4="Yes",$I750*$J750,$I750)</f>
        <v/>
      </c>
      <c r="L750" s="31">
        <f>IF($C750="","",IFERROR(IF(INDEX(Deals!$I$2:$I$355,MATCH($C750,Deals!$A$2:$A$355,0))=0,"",INDEX(Deals!$I$2:$I$355,MATCH($C750,Deals!$A$2:$A$355,0))),""))</f>
        <v/>
      </c>
      <c r="M750" s="31">
        <f>IF($C750="","",IFERROR(IF(INDEX(Deals!$J$2:$J$355,MATCH($C750,Deals!$A$2:$A$355,0))=0,"",INDEX(Deals!$J$2:$J$355,MATCH($C750,Deals!$A$2:$A$355,0))),""))</f>
        <v/>
      </c>
      <c r="N750" s="24">
        <f>IF($L750="",DATE(1900,1,1),$L750)</f>
        <v/>
      </c>
      <c r="O750" s="24">
        <f>IF($M750="",DATE(2100,12,31),$M750)</f>
        <v/>
      </c>
      <c r="P750" s="27" t="n"/>
      <c r="Q750" s="27" t="n"/>
      <c r="R750" s="29">
        <f>IF($C750="","",IFERROR(IF(INDEX(Deals!$U$2:$U$355,MATCH($C750,Deals!$A$2:$A$355,0))=0,"",INDEX(Deals!$U$2:$U$355,MATCH($C750,Deals!$A$2:$A$355,0))),""))</f>
        <v/>
      </c>
      <c r="S750" s="22">
        <f>IFERROR(IF($U750="",1,INDEX(Deals!$V$2:$V$355,MATCH($C750,Deals!$A$2:$A$355,0))),1)</f>
        <v/>
      </c>
      <c r="T750" s="22">
        <f>IFERROR(IF($U750="",1,INDEX(Deals!$W$2:$W$355,MATCH($C750,Deals!$A$2:$A$355,0))),1)</f>
        <v/>
      </c>
      <c r="U750" s="31">
        <f>IF($C750="","",IFERROR(IF(INDEX(Deals!$Y$2:$Y$355,MATCH($C750,Deals!$A$2:$A$355,0))=0,"",INDEX(Deals!$Y$2:$Y$355,MATCH($C750,Deals!$A$2:$A$355,0))),""))</f>
        <v/>
      </c>
      <c r="V750" s="24">
        <f>IF($U750="",DATE(1900,1,1),$N750)</f>
        <v/>
      </c>
      <c r="W750" s="24">
        <f>IF($U750="",DATE(2100,12,31),$U750)</f>
        <v/>
      </c>
      <c r="X750" s="20">
        <f>IF($U750="",$K750,$K750*$S750)</f>
        <v/>
      </c>
      <c r="Y750" s="24">
        <f>IF($U750="",DATE(2100,12,31),$U750+1)</f>
        <v/>
      </c>
      <c r="Z750" s="24">
        <f>IF($U750="",DATE(1900,1,1),$O750)</f>
        <v/>
      </c>
      <c r="AA750" s="20">
        <f>IF($U750="",0,$K750*$T750)</f>
        <v/>
      </c>
    </row>
    <row r="751">
      <c r="A751" s="27" t="n"/>
      <c r="B751" s="29">
        <f>IF($A751="","",IFERROR(INDEX(Roster!$B$2:$B$40,MATCH($A751,Roster!$A$2:$A$40,0)),"?"))</f>
        <v/>
      </c>
      <c r="C751" s="27" t="n"/>
      <c r="D751" s="29">
        <f>IF($C751="","",IFERROR(IF(INDEX(Deals!$C$2:$C$355,MATCH($C751,Deals!$A$2:$A$355,0))=0,"",INDEX(Deals!$C$2:$C$355,MATCH($C751,Deals!$A$2:$A$355,0))),"?"))</f>
        <v/>
      </c>
      <c r="E751" s="29">
        <f>IF($C751="","",IFERROR(INDEX(Deals!$F$2:$F$355,MATCH($C751,Deals!$A$2:$A$355,0)),"?"))</f>
        <v/>
      </c>
      <c r="F751" s="27" t="n"/>
      <c r="G751" s="27" t="n"/>
      <c r="H751" s="27" t="n"/>
      <c r="I751" s="20">
        <f>IF(OR($A751="",$G751&lt;&gt;"Active"),0,IF($H751&lt;&gt;"",$H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</f>
        <v/>
      </c>
      <c r="J751" s="23">
        <f>IF($C751="",0,IFERROR(INDEX(Deals!$H$2:$H$355,MATCH($C751,Deals!$A$2:$A$355,0)),0))</f>
        <v/>
      </c>
      <c r="K751" s="20">
        <f>IF(Settings!$B$4="Yes",$I751*$J751,$I751)</f>
        <v/>
      </c>
      <c r="L751" s="31">
        <f>IF($C751="","",IFERROR(IF(INDEX(Deals!$I$2:$I$355,MATCH($C751,Deals!$A$2:$A$355,0))=0,"",INDEX(Deals!$I$2:$I$355,MATCH($C751,Deals!$A$2:$A$355,0))),""))</f>
        <v/>
      </c>
      <c r="M751" s="31">
        <f>IF($C751="","",IFERROR(IF(INDEX(Deals!$J$2:$J$355,MATCH($C751,Deals!$A$2:$A$355,0))=0,"",INDEX(Deals!$J$2:$J$355,MATCH($C751,Deals!$A$2:$A$355,0))),""))</f>
        <v/>
      </c>
      <c r="N751" s="24">
        <f>IF($L751="",DATE(1900,1,1),$L751)</f>
        <v/>
      </c>
      <c r="O751" s="24">
        <f>IF($M751="",DATE(2100,12,31),$M751)</f>
        <v/>
      </c>
      <c r="P751" s="27" t="n"/>
      <c r="Q751" s="27" t="n"/>
      <c r="R751" s="29">
        <f>IF($C751="","",IFERROR(IF(INDEX(Deals!$U$2:$U$355,MATCH($C751,Deals!$A$2:$A$355,0))=0,"",INDEX(Deals!$U$2:$U$355,MATCH($C751,Deals!$A$2:$A$355,0))),""))</f>
        <v/>
      </c>
      <c r="S751" s="22">
        <f>IFERROR(IF($U751="",1,INDEX(Deals!$V$2:$V$355,MATCH($C751,Deals!$A$2:$A$355,0))),1)</f>
        <v/>
      </c>
      <c r="T751" s="22">
        <f>IFERROR(IF($U751="",1,INDEX(Deals!$W$2:$W$355,MATCH($C751,Deals!$A$2:$A$355,0))),1)</f>
        <v/>
      </c>
      <c r="U751" s="31">
        <f>IF($C751="","",IFERROR(IF(INDEX(Deals!$Y$2:$Y$355,MATCH($C751,Deals!$A$2:$A$355,0))=0,"",INDEX(Deals!$Y$2:$Y$355,MATCH($C751,Deals!$A$2:$A$355,0))),""))</f>
        <v/>
      </c>
      <c r="V751" s="24">
        <f>IF($U751="",DATE(1900,1,1),$N751)</f>
        <v/>
      </c>
      <c r="W751" s="24">
        <f>IF($U751="",DATE(2100,12,31),$U751)</f>
        <v/>
      </c>
      <c r="X751" s="20">
        <f>IF($U751="",$K751,$K751*$S751)</f>
        <v/>
      </c>
      <c r="Y751" s="24">
        <f>IF($U751="",DATE(2100,12,31),$U751+1)</f>
        <v/>
      </c>
      <c r="Z751" s="24">
        <f>IF($U751="",DATE(1900,1,1),$O751)</f>
        <v/>
      </c>
      <c r="AA751" s="20">
        <f>IF($U751="",0,$K751*$T751)</f>
        <v/>
      </c>
    </row>
    <row r="752">
      <c r="A752" s="27" t="n"/>
      <c r="B752" s="29">
        <f>IF($A752="","",IFERROR(INDEX(Roster!$B$2:$B$40,MATCH($A752,Roster!$A$2:$A$40,0)),"?"))</f>
        <v/>
      </c>
      <c r="C752" s="27" t="n"/>
      <c r="D752" s="29">
        <f>IF($C752="","",IFERROR(IF(INDEX(Deals!$C$2:$C$355,MATCH($C752,Deals!$A$2:$A$355,0))=0,"",INDEX(Deals!$C$2:$C$355,MATCH($C752,Deals!$A$2:$A$355,0))),"?"))</f>
        <v/>
      </c>
      <c r="E752" s="29">
        <f>IF($C752="","",IFERROR(INDEX(Deals!$F$2:$F$355,MATCH($C752,Deals!$A$2:$A$355,0)),"?"))</f>
        <v/>
      </c>
      <c r="F752" s="27" t="n"/>
      <c r="G752" s="27" t="n"/>
      <c r="H752" s="27" t="n"/>
      <c r="I752" s="20">
        <f>IF(OR($A752="",$G752&lt;&gt;"Active"),0,IF($H752&lt;&gt;"",$H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</f>
        <v/>
      </c>
      <c r="J752" s="23">
        <f>IF($C752="",0,IFERROR(INDEX(Deals!$H$2:$H$355,MATCH($C752,Deals!$A$2:$A$355,0)),0))</f>
        <v/>
      </c>
      <c r="K752" s="20">
        <f>IF(Settings!$B$4="Yes",$I752*$J752,$I752)</f>
        <v/>
      </c>
      <c r="L752" s="31">
        <f>IF($C752="","",IFERROR(IF(INDEX(Deals!$I$2:$I$355,MATCH($C752,Deals!$A$2:$A$355,0))=0,"",INDEX(Deals!$I$2:$I$355,MATCH($C752,Deals!$A$2:$A$355,0))),""))</f>
        <v/>
      </c>
      <c r="M752" s="31">
        <f>IF($C752="","",IFERROR(IF(INDEX(Deals!$J$2:$J$355,MATCH($C752,Deals!$A$2:$A$355,0))=0,"",INDEX(Deals!$J$2:$J$355,MATCH($C752,Deals!$A$2:$A$355,0))),""))</f>
        <v/>
      </c>
      <c r="N752" s="24">
        <f>IF($L752="",DATE(1900,1,1),$L752)</f>
        <v/>
      </c>
      <c r="O752" s="24">
        <f>IF($M752="",DATE(2100,12,31),$M752)</f>
        <v/>
      </c>
      <c r="P752" s="27" t="n"/>
      <c r="Q752" s="27" t="n"/>
      <c r="R752" s="29">
        <f>IF($C752="","",IFERROR(IF(INDEX(Deals!$U$2:$U$355,MATCH($C752,Deals!$A$2:$A$355,0))=0,"",INDEX(Deals!$U$2:$U$355,MATCH($C752,Deals!$A$2:$A$355,0))),""))</f>
        <v/>
      </c>
      <c r="S752" s="22">
        <f>IFERROR(IF($U752="",1,INDEX(Deals!$V$2:$V$355,MATCH($C752,Deals!$A$2:$A$355,0))),1)</f>
        <v/>
      </c>
      <c r="T752" s="22">
        <f>IFERROR(IF($U752="",1,INDEX(Deals!$W$2:$W$355,MATCH($C752,Deals!$A$2:$A$355,0))),1)</f>
        <v/>
      </c>
      <c r="U752" s="31">
        <f>IF($C752="","",IFERROR(IF(INDEX(Deals!$Y$2:$Y$355,MATCH($C752,Deals!$A$2:$A$355,0))=0,"",INDEX(Deals!$Y$2:$Y$355,MATCH($C752,Deals!$A$2:$A$355,0))),""))</f>
        <v/>
      </c>
      <c r="V752" s="24">
        <f>IF($U752="",DATE(1900,1,1),$N752)</f>
        <v/>
      </c>
      <c r="W752" s="24">
        <f>IF($U752="",DATE(2100,12,31),$U752)</f>
        <v/>
      </c>
      <c r="X752" s="20">
        <f>IF($U752="",$K752,$K752*$S752)</f>
        <v/>
      </c>
      <c r="Y752" s="24">
        <f>IF($U752="",DATE(2100,12,31),$U752+1)</f>
        <v/>
      </c>
      <c r="Z752" s="24">
        <f>IF($U752="",DATE(1900,1,1),$O752)</f>
        <v/>
      </c>
      <c r="AA752" s="20">
        <f>IF($U752="",0,$K752*$T752)</f>
        <v/>
      </c>
    </row>
    <row r="753">
      <c r="A753" s="27" t="n"/>
      <c r="B753" s="29">
        <f>IF($A753="","",IFERROR(INDEX(Roster!$B$2:$B$40,MATCH($A753,Roster!$A$2:$A$40,0)),"?"))</f>
        <v/>
      </c>
      <c r="C753" s="27" t="n"/>
      <c r="D753" s="29">
        <f>IF($C753="","",IFERROR(IF(INDEX(Deals!$C$2:$C$355,MATCH($C753,Deals!$A$2:$A$355,0))=0,"",INDEX(Deals!$C$2:$C$355,MATCH($C753,Deals!$A$2:$A$355,0))),"?"))</f>
        <v/>
      </c>
      <c r="E753" s="29">
        <f>IF($C753="","",IFERROR(INDEX(Deals!$F$2:$F$355,MATCH($C753,Deals!$A$2:$A$355,0)),"?"))</f>
        <v/>
      </c>
      <c r="F753" s="27" t="n"/>
      <c r="G753" s="27" t="n"/>
      <c r="H753" s="27" t="n"/>
      <c r="I753" s="20">
        <f>IF(OR($A753="",$G753&lt;&gt;"Active"),0,IF($H753&lt;&gt;"",$H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</f>
        <v/>
      </c>
      <c r="J753" s="23">
        <f>IF($C753="",0,IFERROR(INDEX(Deals!$H$2:$H$355,MATCH($C753,Deals!$A$2:$A$355,0)),0))</f>
        <v/>
      </c>
      <c r="K753" s="20">
        <f>IF(Settings!$B$4="Yes",$I753*$J753,$I753)</f>
        <v/>
      </c>
      <c r="L753" s="31">
        <f>IF($C753="","",IFERROR(IF(INDEX(Deals!$I$2:$I$355,MATCH($C753,Deals!$A$2:$A$355,0))=0,"",INDEX(Deals!$I$2:$I$355,MATCH($C753,Deals!$A$2:$A$355,0))),""))</f>
        <v/>
      </c>
      <c r="M753" s="31">
        <f>IF($C753="","",IFERROR(IF(INDEX(Deals!$J$2:$J$355,MATCH($C753,Deals!$A$2:$A$355,0))=0,"",INDEX(Deals!$J$2:$J$355,MATCH($C753,Deals!$A$2:$A$355,0))),""))</f>
        <v/>
      </c>
      <c r="N753" s="24">
        <f>IF($L753="",DATE(1900,1,1),$L753)</f>
        <v/>
      </c>
      <c r="O753" s="24">
        <f>IF($M753="",DATE(2100,12,31),$M753)</f>
        <v/>
      </c>
      <c r="P753" s="27" t="n"/>
      <c r="Q753" s="27" t="n"/>
      <c r="R753" s="29">
        <f>IF($C753="","",IFERROR(IF(INDEX(Deals!$U$2:$U$355,MATCH($C753,Deals!$A$2:$A$355,0))=0,"",INDEX(Deals!$U$2:$U$355,MATCH($C753,Deals!$A$2:$A$355,0))),""))</f>
        <v/>
      </c>
      <c r="S753" s="22">
        <f>IFERROR(IF($U753="",1,INDEX(Deals!$V$2:$V$355,MATCH($C753,Deals!$A$2:$A$355,0))),1)</f>
        <v/>
      </c>
      <c r="T753" s="22">
        <f>IFERROR(IF($U753="",1,INDEX(Deals!$W$2:$W$355,MATCH($C753,Deals!$A$2:$A$355,0))),1)</f>
        <v/>
      </c>
      <c r="U753" s="31">
        <f>IF($C753="","",IFERROR(IF(INDEX(Deals!$Y$2:$Y$355,MATCH($C753,Deals!$A$2:$A$355,0))=0,"",INDEX(Deals!$Y$2:$Y$355,MATCH($C753,Deals!$A$2:$A$355,0))),""))</f>
        <v/>
      </c>
      <c r="V753" s="24">
        <f>IF($U753="",DATE(1900,1,1),$N753)</f>
        <v/>
      </c>
      <c r="W753" s="24">
        <f>IF($U753="",DATE(2100,12,31),$U753)</f>
        <v/>
      </c>
      <c r="X753" s="20">
        <f>IF($U753="",$K753,$K753*$S753)</f>
        <v/>
      </c>
      <c r="Y753" s="24">
        <f>IF($U753="",DATE(2100,12,31),$U753+1)</f>
        <v/>
      </c>
      <c r="Z753" s="24">
        <f>IF($U753="",DATE(1900,1,1),$O753)</f>
        <v/>
      </c>
      <c r="AA753" s="20">
        <f>IF($U753="",0,$K753*$T753)</f>
        <v/>
      </c>
    </row>
    <row r="754">
      <c r="A754" s="27" t="n"/>
      <c r="B754" s="29">
        <f>IF($A754="","",IFERROR(INDEX(Roster!$B$2:$B$40,MATCH($A754,Roster!$A$2:$A$40,0)),"?"))</f>
        <v/>
      </c>
      <c r="C754" s="27" t="n"/>
      <c r="D754" s="29">
        <f>IF($C754="","",IFERROR(IF(INDEX(Deals!$C$2:$C$355,MATCH($C754,Deals!$A$2:$A$355,0))=0,"",INDEX(Deals!$C$2:$C$355,MATCH($C754,Deals!$A$2:$A$355,0))),"?"))</f>
        <v/>
      </c>
      <c r="E754" s="29">
        <f>IF($C754="","",IFERROR(INDEX(Deals!$F$2:$F$355,MATCH($C754,Deals!$A$2:$A$355,0)),"?"))</f>
        <v/>
      </c>
      <c r="F754" s="27" t="n"/>
      <c r="G754" s="27" t="n"/>
      <c r="H754" s="27" t="n"/>
      <c r="I754" s="20">
        <f>IF(OR($A754="",$G754&lt;&gt;"Active"),0,IF($H754&lt;&gt;"",$H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</f>
        <v/>
      </c>
      <c r="J754" s="23">
        <f>IF($C754="",0,IFERROR(INDEX(Deals!$H$2:$H$355,MATCH($C754,Deals!$A$2:$A$355,0)),0))</f>
        <v/>
      </c>
      <c r="K754" s="20">
        <f>IF(Settings!$B$4="Yes",$I754*$J754,$I754)</f>
        <v/>
      </c>
      <c r="L754" s="31">
        <f>IF($C754="","",IFERROR(IF(INDEX(Deals!$I$2:$I$355,MATCH($C754,Deals!$A$2:$A$355,0))=0,"",INDEX(Deals!$I$2:$I$355,MATCH($C754,Deals!$A$2:$A$355,0))),""))</f>
        <v/>
      </c>
      <c r="M754" s="31">
        <f>IF($C754="","",IFERROR(IF(INDEX(Deals!$J$2:$J$355,MATCH($C754,Deals!$A$2:$A$355,0))=0,"",INDEX(Deals!$J$2:$J$355,MATCH($C754,Deals!$A$2:$A$355,0))),""))</f>
        <v/>
      </c>
      <c r="N754" s="24">
        <f>IF($L754="",DATE(1900,1,1),$L754)</f>
        <v/>
      </c>
      <c r="O754" s="24">
        <f>IF($M754="",DATE(2100,12,31),$M754)</f>
        <v/>
      </c>
      <c r="P754" s="27" t="n"/>
      <c r="Q754" s="27" t="n"/>
      <c r="R754" s="29">
        <f>IF($C754="","",IFERROR(IF(INDEX(Deals!$U$2:$U$355,MATCH($C754,Deals!$A$2:$A$355,0))=0,"",INDEX(Deals!$U$2:$U$355,MATCH($C754,Deals!$A$2:$A$355,0))),""))</f>
        <v/>
      </c>
      <c r="S754" s="22">
        <f>IFERROR(IF($U754="",1,INDEX(Deals!$V$2:$V$355,MATCH($C754,Deals!$A$2:$A$355,0))),1)</f>
        <v/>
      </c>
      <c r="T754" s="22">
        <f>IFERROR(IF($U754="",1,INDEX(Deals!$W$2:$W$355,MATCH($C754,Deals!$A$2:$A$355,0))),1)</f>
        <v/>
      </c>
      <c r="U754" s="31">
        <f>IF($C754="","",IFERROR(IF(INDEX(Deals!$Y$2:$Y$355,MATCH($C754,Deals!$A$2:$A$355,0))=0,"",INDEX(Deals!$Y$2:$Y$355,MATCH($C754,Deals!$A$2:$A$355,0))),""))</f>
        <v/>
      </c>
      <c r="V754" s="24">
        <f>IF($U754="",DATE(1900,1,1),$N754)</f>
        <v/>
      </c>
      <c r="W754" s="24">
        <f>IF($U754="",DATE(2100,12,31),$U754)</f>
        <v/>
      </c>
      <c r="X754" s="20">
        <f>IF($U754="",$K754,$K754*$S754)</f>
        <v/>
      </c>
      <c r="Y754" s="24">
        <f>IF($U754="",DATE(2100,12,31),$U754+1)</f>
        <v/>
      </c>
      <c r="Z754" s="24">
        <f>IF($U754="",DATE(1900,1,1),$O754)</f>
        <v/>
      </c>
      <c r="AA754" s="20">
        <f>IF($U754="",0,$K754*$T754)</f>
        <v/>
      </c>
    </row>
    <row r="755">
      <c r="A755" s="27" t="n"/>
      <c r="B755" s="29">
        <f>IF($A755="","",IFERROR(INDEX(Roster!$B$2:$B$40,MATCH($A755,Roster!$A$2:$A$40,0)),"?"))</f>
        <v/>
      </c>
      <c r="C755" s="27" t="n"/>
      <c r="D755" s="29">
        <f>IF($C755="","",IFERROR(IF(INDEX(Deals!$C$2:$C$355,MATCH($C755,Deals!$A$2:$A$355,0))=0,"",INDEX(Deals!$C$2:$C$355,MATCH($C755,Deals!$A$2:$A$355,0))),"?"))</f>
        <v/>
      </c>
      <c r="E755" s="29">
        <f>IF($C755="","",IFERROR(INDEX(Deals!$F$2:$F$355,MATCH($C755,Deals!$A$2:$A$355,0)),"?"))</f>
        <v/>
      </c>
      <c r="F755" s="27" t="n"/>
      <c r="G755" s="27" t="n"/>
      <c r="H755" s="27" t="n"/>
      <c r="I755" s="20">
        <f>IF(OR($A755="",$G755&lt;&gt;"Active"),0,IF($H755&lt;&gt;"",$H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</f>
        <v/>
      </c>
      <c r="J755" s="23">
        <f>IF($C755="",0,IFERROR(INDEX(Deals!$H$2:$H$355,MATCH($C755,Deals!$A$2:$A$355,0)),0))</f>
        <v/>
      </c>
      <c r="K755" s="20">
        <f>IF(Settings!$B$4="Yes",$I755*$J755,$I755)</f>
        <v/>
      </c>
      <c r="L755" s="31">
        <f>IF($C755="","",IFERROR(IF(INDEX(Deals!$I$2:$I$355,MATCH($C755,Deals!$A$2:$A$355,0))=0,"",INDEX(Deals!$I$2:$I$355,MATCH($C755,Deals!$A$2:$A$355,0))),""))</f>
        <v/>
      </c>
      <c r="M755" s="31">
        <f>IF($C755="","",IFERROR(IF(INDEX(Deals!$J$2:$J$355,MATCH($C755,Deals!$A$2:$A$355,0))=0,"",INDEX(Deals!$J$2:$J$355,MATCH($C755,Deals!$A$2:$A$355,0))),""))</f>
        <v/>
      </c>
      <c r="N755" s="24">
        <f>IF($L755="",DATE(1900,1,1),$L755)</f>
        <v/>
      </c>
      <c r="O755" s="24">
        <f>IF($M755="",DATE(2100,12,31),$M755)</f>
        <v/>
      </c>
      <c r="P755" s="27" t="n"/>
      <c r="Q755" s="27" t="n"/>
      <c r="R755" s="29">
        <f>IF($C755="","",IFERROR(IF(INDEX(Deals!$U$2:$U$355,MATCH($C755,Deals!$A$2:$A$355,0))=0,"",INDEX(Deals!$U$2:$U$355,MATCH($C755,Deals!$A$2:$A$355,0))),""))</f>
        <v/>
      </c>
      <c r="S755" s="22">
        <f>IFERROR(IF($U755="",1,INDEX(Deals!$V$2:$V$355,MATCH($C755,Deals!$A$2:$A$355,0))),1)</f>
        <v/>
      </c>
      <c r="T755" s="22">
        <f>IFERROR(IF($U755="",1,INDEX(Deals!$W$2:$W$355,MATCH($C755,Deals!$A$2:$A$355,0))),1)</f>
        <v/>
      </c>
      <c r="U755" s="31">
        <f>IF($C755="","",IFERROR(IF(INDEX(Deals!$Y$2:$Y$355,MATCH($C755,Deals!$A$2:$A$355,0))=0,"",INDEX(Deals!$Y$2:$Y$355,MATCH($C755,Deals!$A$2:$A$355,0))),""))</f>
        <v/>
      </c>
      <c r="V755" s="24">
        <f>IF($U755="",DATE(1900,1,1),$N755)</f>
        <v/>
      </c>
      <c r="W755" s="24">
        <f>IF($U755="",DATE(2100,12,31),$U755)</f>
        <v/>
      </c>
      <c r="X755" s="20">
        <f>IF($U755="",$K755,$K755*$S755)</f>
        <v/>
      </c>
      <c r="Y755" s="24">
        <f>IF($U755="",DATE(2100,12,31),$U755+1)</f>
        <v/>
      </c>
      <c r="Z755" s="24">
        <f>IF($U755="",DATE(1900,1,1),$O755)</f>
        <v/>
      </c>
      <c r="AA755" s="20">
        <f>IF($U755="",0,$K755*$T755)</f>
        <v/>
      </c>
    </row>
    <row r="756">
      <c r="A756" s="27" t="n"/>
      <c r="B756" s="29">
        <f>IF($A756="","",IFERROR(INDEX(Roster!$B$2:$B$40,MATCH($A756,Roster!$A$2:$A$40,0)),"?"))</f>
        <v/>
      </c>
      <c r="C756" s="27" t="n"/>
      <c r="D756" s="29">
        <f>IF($C756="","",IFERROR(IF(INDEX(Deals!$C$2:$C$355,MATCH($C756,Deals!$A$2:$A$355,0))=0,"",INDEX(Deals!$C$2:$C$355,MATCH($C756,Deals!$A$2:$A$355,0))),"?"))</f>
        <v/>
      </c>
      <c r="E756" s="29">
        <f>IF($C756="","",IFERROR(INDEX(Deals!$F$2:$F$355,MATCH($C756,Deals!$A$2:$A$355,0)),"?"))</f>
        <v/>
      </c>
      <c r="F756" s="27" t="n"/>
      <c r="G756" s="27" t="n"/>
      <c r="H756" s="27" t="n"/>
      <c r="I756" s="20">
        <f>IF(OR($A756="",$G756&lt;&gt;"Active"),0,IF($H756&lt;&gt;"",$H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</f>
        <v/>
      </c>
      <c r="J756" s="23">
        <f>IF($C756="",0,IFERROR(INDEX(Deals!$H$2:$H$355,MATCH($C756,Deals!$A$2:$A$355,0)),0))</f>
        <v/>
      </c>
      <c r="K756" s="20">
        <f>IF(Settings!$B$4="Yes",$I756*$J756,$I756)</f>
        <v/>
      </c>
      <c r="L756" s="31">
        <f>IF($C756="","",IFERROR(IF(INDEX(Deals!$I$2:$I$355,MATCH($C756,Deals!$A$2:$A$355,0))=0,"",INDEX(Deals!$I$2:$I$355,MATCH($C756,Deals!$A$2:$A$355,0))),""))</f>
        <v/>
      </c>
      <c r="M756" s="31">
        <f>IF($C756="","",IFERROR(IF(INDEX(Deals!$J$2:$J$355,MATCH($C756,Deals!$A$2:$A$355,0))=0,"",INDEX(Deals!$J$2:$J$355,MATCH($C756,Deals!$A$2:$A$355,0))),""))</f>
        <v/>
      </c>
      <c r="N756" s="24">
        <f>IF($L756="",DATE(1900,1,1),$L756)</f>
        <v/>
      </c>
      <c r="O756" s="24">
        <f>IF($M756="",DATE(2100,12,31),$M756)</f>
        <v/>
      </c>
      <c r="P756" s="27" t="n"/>
      <c r="Q756" s="27" t="n"/>
      <c r="R756" s="29">
        <f>IF($C756="","",IFERROR(IF(INDEX(Deals!$U$2:$U$355,MATCH($C756,Deals!$A$2:$A$355,0))=0,"",INDEX(Deals!$U$2:$U$355,MATCH($C756,Deals!$A$2:$A$355,0))),""))</f>
        <v/>
      </c>
      <c r="S756" s="22">
        <f>IFERROR(IF($U756="",1,INDEX(Deals!$V$2:$V$355,MATCH($C756,Deals!$A$2:$A$355,0))),1)</f>
        <v/>
      </c>
      <c r="T756" s="22">
        <f>IFERROR(IF($U756="",1,INDEX(Deals!$W$2:$W$355,MATCH($C756,Deals!$A$2:$A$355,0))),1)</f>
        <v/>
      </c>
      <c r="U756" s="31">
        <f>IF($C756="","",IFERROR(IF(INDEX(Deals!$Y$2:$Y$355,MATCH($C756,Deals!$A$2:$A$355,0))=0,"",INDEX(Deals!$Y$2:$Y$355,MATCH($C756,Deals!$A$2:$A$355,0))),""))</f>
        <v/>
      </c>
      <c r="V756" s="24">
        <f>IF($U756="",DATE(1900,1,1),$N756)</f>
        <v/>
      </c>
      <c r="W756" s="24">
        <f>IF($U756="",DATE(2100,12,31),$U756)</f>
        <v/>
      </c>
      <c r="X756" s="20">
        <f>IF($U756="",$K756,$K756*$S756)</f>
        <v/>
      </c>
      <c r="Y756" s="24">
        <f>IF($U756="",DATE(2100,12,31),$U756+1)</f>
        <v/>
      </c>
      <c r="Z756" s="24">
        <f>IF($U756="",DATE(1900,1,1),$O756)</f>
        <v/>
      </c>
      <c r="AA756" s="20">
        <f>IF($U756="",0,$K756*$T756)</f>
        <v/>
      </c>
    </row>
    <row r="757">
      <c r="A757" s="27" t="n"/>
      <c r="B757" s="29">
        <f>IF($A757="","",IFERROR(INDEX(Roster!$B$2:$B$40,MATCH($A757,Roster!$A$2:$A$40,0)),"?"))</f>
        <v/>
      </c>
      <c r="C757" s="27" t="n"/>
      <c r="D757" s="29">
        <f>IF($C757="","",IFERROR(IF(INDEX(Deals!$C$2:$C$355,MATCH($C757,Deals!$A$2:$A$355,0))=0,"",INDEX(Deals!$C$2:$C$355,MATCH($C757,Deals!$A$2:$A$355,0))),"?"))</f>
        <v/>
      </c>
      <c r="E757" s="29">
        <f>IF($C757="","",IFERROR(INDEX(Deals!$F$2:$F$355,MATCH($C757,Deals!$A$2:$A$355,0)),"?"))</f>
        <v/>
      </c>
      <c r="F757" s="27" t="n"/>
      <c r="G757" s="27" t="n"/>
      <c r="H757" s="27" t="n"/>
      <c r="I757" s="20">
        <f>IF(OR($A757="",$G757&lt;&gt;"Active"),0,IF($H757&lt;&gt;"",$H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</f>
        <v/>
      </c>
      <c r="J757" s="23">
        <f>IF($C757="",0,IFERROR(INDEX(Deals!$H$2:$H$355,MATCH($C757,Deals!$A$2:$A$355,0)),0))</f>
        <v/>
      </c>
      <c r="K757" s="20">
        <f>IF(Settings!$B$4="Yes",$I757*$J757,$I757)</f>
        <v/>
      </c>
      <c r="L757" s="31">
        <f>IF($C757="","",IFERROR(IF(INDEX(Deals!$I$2:$I$355,MATCH($C757,Deals!$A$2:$A$355,0))=0,"",INDEX(Deals!$I$2:$I$355,MATCH($C757,Deals!$A$2:$A$355,0))),""))</f>
        <v/>
      </c>
      <c r="M757" s="31">
        <f>IF($C757="","",IFERROR(IF(INDEX(Deals!$J$2:$J$355,MATCH($C757,Deals!$A$2:$A$355,0))=0,"",INDEX(Deals!$J$2:$J$355,MATCH($C757,Deals!$A$2:$A$355,0))),""))</f>
        <v/>
      </c>
      <c r="N757" s="24">
        <f>IF($L757="",DATE(1900,1,1),$L757)</f>
        <v/>
      </c>
      <c r="O757" s="24">
        <f>IF($M757="",DATE(2100,12,31),$M757)</f>
        <v/>
      </c>
      <c r="P757" s="27" t="n"/>
      <c r="Q757" s="27" t="n"/>
      <c r="R757" s="29">
        <f>IF($C757="","",IFERROR(IF(INDEX(Deals!$U$2:$U$355,MATCH($C757,Deals!$A$2:$A$355,0))=0,"",INDEX(Deals!$U$2:$U$355,MATCH($C757,Deals!$A$2:$A$355,0))),""))</f>
        <v/>
      </c>
      <c r="S757" s="22">
        <f>IFERROR(IF($U757="",1,INDEX(Deals!$V$2:$V$355,MATCH($C757,Deals!$A$2:$A$355,0))),1)</f>
        <v/>
      </c>
      <c r="T757" s="22">
        <f>IFERROR(IF($U757="",1,INDEX(Deals!$W$2:$W$355,MATCH($C757,Deals!$A$2:$A$355,0))),1)</f>
        <v/>
      </c>
      <c r="U757" s="31">
        <f>IF($C757="","",IFERROR(IF(INDEX(Deals!$Y$2:$Y$355,MATCH($C757,Deals!$A$2:$A$355,0))=0,"",INDEX(Deals!$Y$2:$Y$355,MATCH($C757,Deals!$A$2:$A$355,0))),""))</f>
        <v/>
      </c>
      <c r="V757" s="24">
        <f>IF($U757="",DATE(1900,1,1),$N757)</f>
        <v/>
      </c>
      <c r="W757" s="24">
        <f>IF($U757="",DATE(2100,12,31),$U757)</f>
        <v/>
      </c>
      <c r="X757" s="20">
        <f>IF($U757="",$K757,$K757*$S757)</f>
        <v/>
      </c>
      <c r="Y757" s="24">
        <f>IF($U757="",DATE(2100,12,31),$U757+1)</f>
        <v/>
      </c>
      <c r="Z757" s="24">
        <f>IF($U757="",DATE(1900,1,1),$O757)</f>
        <v/>
      </c>
      <c r="AA757" s="20">
        <f>IF($U757="",0,$K757*$T757)</f>
        <v/>
      </c>
    </row>
    <row r="758">
      <c r="A758" s="27" t="n"/>
      <c r="B758" s="29">
        <f>IF($A758="","",IFERROR(INDEX(Roster!$B$2:$B$40,MATCH($A758,Roster!$A$2:$A$40,0)),"?"))</f>
        <v/>
      </c>
      <c r="C758" s="27" t="n"/>
      <c r="D758" s="29">
        <f>IF($C758="","",IFERROR(IF(INDEX(Deals!$C$2:$C$355,MATCH($C758,Deals!$A$2:$A$355,0))=0,"",INDEX(Deals!$C$2:$C$355,MATCH($C758,Deals!$A$2:$A$355,0))),"?"))</f>
        <v/>
      </c>
      <c r="E758" s="29">
        <f>IF($C758="","",IFERROR(INDEX(Deals!$F$2:$F$355,MATCH($C758,Deals!$A$2:$A$355,0)),"?"))</f>
        <v/>
      </c>
      <c r="F758" s="27" t="n"/>
      <c r="G758" s="27" t="n"/>
      <c r="H758" s="27" t="n"/>
      <c r="I758" s="20">
        <f>IF(OR($A758="",$G758&lt;&gt;"Active"),0,IF($H758&lt;&gt;"",$H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</f>
        <v/>
      </c>
      <c r="J758" s="23">
        <f>IF($C758="",0,IFERROR(INDEX(Deals!$H$2:$H$355,MATCH($C758,Deals!$A$2:$A$355,0)),0))</f>
        <v/>
      </c>
      <c r="K758" s="20">
        <f>IF(Settings!$B$4="Yes",$I758*$J758,$I758)</f>
        <v/>
      </c>
      <c r="L758" s="31">
        <f>IF($C758="","",IFERROR(IF(INDEX(Deals!$I$2:$I$355,MATCH($C758,Deals!$A$2:$A$355,0))=0,"",INDEX(Deals!$I$2:$I$355,MATCH($C758,Deals!$A$2:$A$355,0))),""))</f>
        <v/>
      </c>
      <c r="M758" s="31">
        <f>IF($C758="","",IFERROR(IF(INDEX(Deals!$J$2:$J$355,MATCH($C758,Deals!$A$2:$A$355,0))=0,"",INDEX(Deals!$J$2:$J$355,MATCH($C758,Deals!$A$2:$A$355,0))),""))</f>
        <v/>
      </c>
      <c r="N758" s="24">
        <f>IF($L758="",DATE(1900,1,1),$L758)</f>
        <v/>
      </c>
      <c r="O758" s="24">
        <f>IF($M758="",DATE(2100,12,31),$M758)</f>
        <v/>
      </c>
      <c r="P758" s="27" t="n"/>
      <c r="Q758" s="27" t="n"/>
      <c r="R758" s="29">
        <f>IF($C758="","",IFERROR(IF(INDEX(Deals!$U$2:$U$355,MATCH($C758,Deals!$A$2:$A$355,0))=0,"",INDEX(Deals!$U$2:$U$355,MATCH($C758,Deals!$A$2:$A$355,0))),""))</f>
        <v/>
      </c>
      <c r="S758" s="22">
        <f>IFERROR(IF($U758="",1,INDEX(Deals!$V$2:$V$355,MATCH($C758,Deals!$A$2:$A$355,0))),1)</f>
        <v/>
      </c>
      <c r="T758" s="22">
        <f>IFERROR(IF($U758="",1,INDEX(Deals!$W$2:$W$355,MATCH($C758,Deals!$A$2:$A$355,0))),1)</f>
        <v/>
      </c>
      <c r="U758" s="31">
        <f>IF($C758="","",IFERROR(IF(INDEX(Deals!$Y$2:$Y$355,MATCH($C758,Deals!$A$2:$A$355,0))=0,"",INDEX(Deals!$Y$2:$Y$355,MATCH($C758,Deals!$A$2:$A$355,0))),""))</f>
        <v/>
      </c>
      <c r="V758" s="24">
        <f>IF($U758="",DATE(1900,1,1),$N758)</f>
        <v/>
      </c>
      <c r="W758" s="24">
        <f>IF($U758="",DATE(2100,12,31),$U758)</f>
        <v/>
      </c>
      <c r="X758" s="20">
        <f>IF($U758="",$K758,$K758*$S758)</f>
        <v/>
      </c>
      <c r="Y758" s="24">
        <f>IF($U758="",DATE(2100,12,31),$U758+1)</f>
        <v/>
      </c>
      <c r="Z758" s="24">
        <f>IF($U758="",DATE(1900,1,1),$O758)</f>
        <v/>
      </c>
      <c r="AA758" s="20">
        <f>IF($U758="",0,$K758*$T758)</f>
        <v/>
      </c>
    </row>
    <row r="759">
      <c r="A759" s="27" t="n"/>
      <c r="B759" s="29">
        <f>IF($A759="","",IFERROR(INDEX(Roster!$B$2:$B$40,MATCH($A759,Roster!$A$2:$A$40,0)),"?"))</f>
        <v/>
      </c>
      <c r="C759" s="27" t="n"/>
      <c r="D759" s="29">
        <f>IF($C759="","",IFERROR(IF(INDEX(Deals!$C$2:$C$355,MATCH($C759,Deals!$A$2:$A$355,0))=0,"",INDEX(Deals!$C$2:$C$355,MATCH($C759,Deals!$A$2:$A$355,0))),"?"))</f>
        <v/>
      </c>
      <c r="E759" s="29">
        <f>IF($C759="","",IFERROR(INDEX(Deals!$F$2:$F$355,MATCH($C759,Deals!$A$2:$A$355,0)),"?"))</f>
        <v/>
      </c>
      <c r="F759" s="27" t="n"/>
      <c r="G759" s="27" t="n"/>
      <c r="H759" s="27" t="n"/>
      <c r="I759" s="20">
        <f>IF(OR($A759="",$G759&lt;&gt;"Active"),0,IF($H759&lt;&gt;"",$H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</f>
        <v/>
      </c>
      <c r="J759" s="23">
        <f>IF($C759="",0,IFERROR(INDEX(Deals!$H$2:$H$355,MATCH($C759,Deals!$A$2:$A$355,0)),0))</f>
        <v/>
      </c>
      <c r="K759" s="20">
        <f>IF(Settings!$B$4="Yes",$I759*$J759,$I759)</f>
        <v/>
      </c>
      <c r="L759" s="31">
        <f>IF($C759="","",IFERROR(IF(INDEX(Deals!$I$2:$I$355,MATCH($C759,Deals!$A$2:$A$355,0))=0,"",INDEX(Deals!$I$2:$I$355,MATCH($C759,Deals!$A$2:$A$355,0))),""))</f>
        <v/>
      </c>
      <c r="M759" s="31">
        <f>IF($C759="","",IFERROR(IF(INDEX(Deals!$J$2:$J$355,MATCH($C759,Deals!$A$2:$A$355,0))=0,"",INDEX(Deals!$J$2:$J$355,MATCH($C759,Deals!$A$2:$A$355,0))),""))</f>
        <v/>
      </c>
      <c r="N759" s="24">
        <f>IF($L759="",DATE(1900,1,1),$L759)</f>
        <v/>
      </c>
      <c r="O759" s="24">
        <f>IF($M759="",DATE(2100,12,31),$M759)</f>
        <v/>
      </c>
      <c r="P759" s="27" t="n"/>
      <c r="Q759" s="27" t="n"/>
      <c r="R759" s="29">
        <f>IF($C759="","",IFERROR(IF(INDEX(Deals!$U$2:$U$355,MATCH($C759,Deals!$A$2:$A$355,0))=0,"",INDEX(Deals!$U$2:$U$355,MATCH($C759,Deals!$A$2:$A$355,0))),""))</f>
        <v/>
      </c>
      <c r="S759" s="22">
        <f>IFERROR(IF($U759="",1,INDEX(Deals!$V$2:$V$355,MATCH($C759,Deals!$A$2:$A$355,0))),1)</f>
        <v/>
      </c>
      <c r="T759" s="22">
        <f>IFERROR(IF($U759="",1,INDEX(Deals!$W$2:$W$355,MATCH($C759,Deals!$A$2:$A$355,0))),1)</f>
        <v/>
      </c>
      <c r="U759" s="31">
        <f>IF($C759="","",IFERROR(IF(INDEX(Deals!$Y$2:$Y$355,MATCH($C759,Deals!$A$2:$A$355,0))=0,"",INDEX(Deals!$Y$2:$Y$355,MATCH($C759,Deals!$A$2:$A$355,0))),""))</f>
        <v/>
      </c>
      <c r="V759" s="24">
        <f>IF($U759="",DATE(1900,1,1),$N759)</f>
        <v/>
      </c>
      <c r="W759" s="24">
        <f>IF($U759="",DATE(2100,12,31),$U759)</f>
        <v/>
      </c>
      <c r="X759" s="20">
        <f>IF($U759="",$K759,$K759*$S759)</f>
        <v/>
      </c>
      <c r="Y759" s="24">
        <f>IF($U759="",DATE(2100,12,31),$U759+1)</f>
        <v/>
      </c>
      <c r="Z759" s="24">
        <f>IF($U759="",DATE(1900,1,1),$O759)</f>
        <v/>
      </c>
      <c r="AA759" s="20">
        <f>IF($U759="",0,$K759*$T759)</f>
        <v/>
      </c>
    </row>
    <row r="760">
      <c r="A760" s="27" t="n"/>
      <c r="B760" s="29">
        <f>IF($A760="","",IFERROR(INDEX(Roster!$B$2:$B$40,MATCH($A760,Roster!$A$2:$A$40,0)),"?"))</f>
        <v/>
      </c>
      <c r="C760" s="27" t="n"/>
      <c r="D760" s="29">
        <f>IF($C760="","",IFERROR(IF(INDEX(Deals!$C$2:$C$355,MATCH($C760,Deals!$A$2:$A$355,0))=0,"",INDEX(Deals!$C$2:$C$355,MATCH($C760,Deals!$A$2:$A$355,0))),"?"))</f>
        <v/>
      </c>
      <c r="E760" s="29">
        <f>IF($C760="","",IFERROR(INDEX(Deals!$F$2:$F$355,MATCH($C760,Deals!$A$2:$A$355,0)),"?"))</f>
        <v/>
      </c>
      <c r="F760" s="27" t="n"/>
      <c r="G760" s="27" t="n"/>
      <c r="H760" s="27" t="n"/>
      <c r="I760" s="20">
        <f>IF(OR($A760="",$G760&lt;&gt;"Active"),0,IF($H760&lt;&gt;"",$H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</f>
        <v/>
      </c>
      <c r="J760" s="23">
        <f>IF($C760="",0,IFERROR(INDEX(Deals!$H$2:$H$355,MATCH($C760,Deals!$A$2:$A$355,0)),0))</f>
        <v/>
      </c>
      <c r="K760" s="20">
        <f>IF(Settings!$B$4="Yes",$I760*$J760,$I760)</f>
        <v/>
      </c>
      <c r="L760" s="31">
        <f>IF($C760="","",IFERROR(IF(INDEX(Deals!$I$2:$I$355,MATCH($C760,Deals!$A$2:$A$355,0))=0,"",INDEX(Deals!$I$2:$I$355,MATCH($C760,Deals!$A$2:$A$355,0))),""))</f>
        <v/>
      </c>
      <c r="M760" s="31">
        <f>IF($C760="","",IFERROR(IF(INDEX(Deals!$J$2:$J$355,MATCH($C760,Deals!$A$2:$A$355,0))=0,"",INDEX(Deals!$J$2:$J$355,MATCH($C760,Deals!$A$2:$A$355,0))),""))</f>
        <v/>
      </c>
      <c r="N760" s="24">
        <f>IF($L760="",DATE(1900,1,1),$L760)</f>
        <v/>
      </c>
      <c r="O760" s="24">
        <f>IF($M760="",DATE(2100,12,31),$M760)</f>
        <v/>
      </c>
      <c r="P760" s="27" t="n"/>
      <c r="Q760" s="27" t="n"/>
      <c r="R760" s="29">
        <f>IF($C760="","",IFERROR(IF(INDEX(Deals!$U$2:$U$355,MATCH($C760,Deals!$A$2:$A$355,0))=0,"",INDEX(Deals!$U$2:$U$355,MATCH($C760,Deals!$A$2:$A$355,0))),""))</f>
        <v/>
      </c>
      <c r="S760" s="22">
        <f>IFERROR(IF($U760="",1,INDEX(Deals!$V$2:$V$355,MATCH($C760,Deals!$A$2:$A$355,0))),1)</f>
        <v/>
      </c>
      <c r="T760" s="22">
        <f>IFERROR(IF($U760="",1,INDEX(Deals!$W$2:$W$355,MATCH($C760,Deals!$A$2:$A$355,0))),1)</f>
        <v/>
      </c>
      <c r="U760" s="31">
        <f>IF($C760="","",IFERROR(IF(INDEX(Deals!$Y$2:$Y$355,MATCH($C760,Deals!$A$2:$A$355,0))=0,"",INDEX(Deals!$Y$2:$Y$355,MATCH($C760,Deals!$A$2:$A$355,0))),""))</f>
        <v/>
      </c>
      <c r="V760" s="24">
        <f>IF($U760="",DATE(1900,1,1),$N760)</f>
        <v/>
      </c>
      <c r="W760" s="24">
        <f>IF($U760="",DATE(2100,12,31),$U760)</f>
        <v/>
      </c>
      <c r="X760" s="20">
        <f>IF($U760="",$K760,$K760*$S760)</f>
        <v/>
      </c>
      <c r="Y760" s="24">
        <f>IF($U760="",DATE(2100,12,31),$U760+1)</f>
        <v/>
      </c>
      <c r="Z760" s="24">
        <f>IF($U760="",DATE(1900,1,1),$O760)</f>
        <v/>
      </c>
      <c r="AA760" s="20">
        <f>IF($U760="",0,$K760*$T760)</f>
        <v/>
      </c>
    </row>
    <row r="761">
      <c r="A761" s="27" t="n"/>
      <c r="B761" s="29">
        <f>IF($A761="","",IFERROR(INDEX(Roster!$B$2:$B$40,MATCH($A761,Roster!$A$2:$A$40,0)),"?"))</f>
        <v/>
      </c>
      <c r="C761" s="27" t="n"/>
      <c r="D761" s="29">
        <f>IF($C761="","",IFERROR(IF(INDEX(Deals!$C$2:$C$355,MATCH($C761,Deals!$A$2:$A$355,0))=0,"",INDEX(Deals!$C$2:$C$355,MATCH($C761,Deals!$A$2:$A$355,0))),"?"))</f>
        <v/>
      </c>
      <c r="E761" s="29">
        <f>IF($C761="","",IFERROR(INDEX(Deals!$F$2:$F$355,MATCH($C761,Deals!$A$2:$A$355,0)),"?"))</f>
        <v/>
      </c>
      <c r="F761" s="27" t="n"/>
      <c r="G761" s="27" t="n"/>
      <c r="H761" s="27" t="n"/>
      <c r="I761" s="20">
        <f>IF(OR($A761="",$G761&lt;&gt;"Active"),0,IF($H761&lt;&gt;"",$H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</f>
        <v/>
      </c>
      <c r="J761" s="23">
        <f>IF($C761="",0,IFERROR(INDEX(Deals!$H$2:$H$355,MATCH($C761,Deals!$A$2:$A$355,0)),0))</f>
        <v/>
      </c>
      <c r="K761" s="20">
        <f>IF(Settings!$B$4="Yes",$I761*$J761,$I761)</f>
        <v/>
      </c>
      <c r="L761" s="31">
        <f>IF($C761="","",IFERROR(IF(INDEX(Deals!$I$2:$I$355,MATCH($C761,Deals!$A$2:$A$355,0))=0,"",INDEX(Deals!$I$2:$I$355,MATCH($C761,Deals!$A$2:$A$355,0))),""))</f>
        <v/>
      </c>
      <c r="M761" s="31">
        <f>IF($C761="","",IFERROR(IF(INDEX(Deals!$J$2:$J$355,MATCH($C761,Deals!$A$2:$A$355,0))=0,"",INDEX(Deals!$J$2:$J$355,MATCH($C761,Deals!$A$2:$A$355,0))),""))</f>
        <v/>
      </c>
      <c r="N761" s="24">
        <f>IF($L761="",DATE(1900,1,1),$L761)</f>
        <v/>
      </c>
      <c r="O761" s="24">
        <f>IF($M761="",DATE(2100,12,31),$M761)</f>
        <v/>
      </c>
      <c r="P761" s="27" t="n"/>
      <c r="Q761" s="27" t="n"/>
      <c r="R761" s="29">
        <f>IF($C761="","",IFERROR(IF(INDEX(Deals!$U$2:$U$355,MATCH($C761,Deals!$A$2:$A$355,0))=0,"",INDEX(Deals!$U$2:$U$355,MATCH($C761,Deals!$A$2:$A$355,0))),""))</f>
        <v/>
      </c>
      <c r="S761" s="22">
        <f>IFERROR(IF($U761="",1,INDEX(Deals!$V$2:$V$355,MATCH($C761,Deals!$A$2:$A$355,0))),1)</f>
        <v/>
      </c>
      <c r="T761" s="22">
        <f>IFERROR(IF($U761="",1,INDEX(Deals!$W$2:$W$355,MATCH($C761,Deals!$A$2:$A$355,0))),1)</f>
        <v/>
      </c>
      <c r="U761" s="31">
        <f>IF($C761="","",IFERROR(IF(INDEX(Deals!$Y$2:$Y$355,MATCH($C761,Deals!$A$2:$A$355,0))=0,"",INDEX(Deals!$Y$2:$Y$355,MATCH($C761,Deals!$A$2:$A$355,0))),""))</f>
        <v/>
      </c>
      <c r="V761" s="24">
        <f>IF($U761="",DATE(1900,1,1),$N761)</f>
        <v/>
      </c>
      <c r="W761" s="24">
        <f>IF($U761="",DATE(2100,12,31),$U761)</f>
        <v/>
      </c>
      <c r="X761" s="20">
        <f>IF($U761="",$K761,$K761*$S761)</f>
        <v/>
      </c>
      <c r="Y761" s="24">
        <f>IF($U761="",DATE(2100,12,31),$U761+1)</f>
        <v/>
      </c>
      <c r="Z761" s="24">
        <f>IF($U761="",DATE(1900,1,1),$O761)</f>
        <v/>
      </c>
      <c r="AA761" s="20">
        <f>IF($U761="",0,$K761*$T761)</f>
        <v/>
      </c>
    </row>
    <row r="762">
      <c r="A762" s="27" t="n"/>
      <c r="B762" s="29">
        <f>IF($A762="","",IFERROR(INDEX(Roster!$B$2:$B$40,MATCH($A762,Roster!$A$2:$A$40,0)),"?"))</f>
        <v/>
      </c>
      <c r="C762" s="27" t="n"/>
      <c r="D762" s="29">
        <f>IF($C762="","",IFERROR(IF(INDEX(Deals!$C$2:$C$355,MATCH($C762,Deals!$A$2:$A$355,0))=0,"",INDEX(Deals!$C$2:$C$355,MATCH($C762,Deals!$A$2:$A$355,0))),"?"))</f>
        <v/>
      </c>
      <c r="E762" s="29">
        <f>IF($C762="","",IFERROR(INDEX(Deals!$F$2:$F$355,MATCH($C762,Deals!$A$2:$A$355,0)),"?"))</f>
        <v/>
      </c>
      <c r="F762" s="27" t="n"/>
      <c r="G762" s="27" t="n"/>
      <c r="H762" s="27" t="n"/>
      <c r="I762" s="20">
        <f>IF(OR($A762="",$G762&lt;&gt;"Active"),0,IF($H762&lt;&gt;"",$H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</f>
        <v/>
      </c>
      <c r="J762" s="23">
        <f>IF($C762="",0,IFERROR(INDEX(Deals!$H$2:$H$355,MATCH($C762,Deals!$A$2:$A$355,0)),0))</f>
        <v/>
      </c>
      <c r="K762" s="20">
        <f>IF(Settings!$B$4="Yes",$I762*$J762,$I762)</f>
        <v/>
      </c>
      <c r="L762" s="31">
        <f>IF($C762="","",IFERROR(IF(INDEX(Deals!$I$2:$I$355,MATCH($C762,Deals!$A$2:$A$355,0))=0,"",INDEX(Deals!$I$2:$I$355,MATCH($C762,Deals!$A$2:$A$355,0))),""))</f>
        <v/>
      </c>
      <c r="M762" s="31">
        <f>IF($C762="","",IFERROR(IF(INDEX(Deals!$J$2:$J$355,MATCH($C762,Deals!$A$2:$A$355,0))=0,"",INDEX(Deals!$J$2:$J$355,MATCH($C762,Deals!$A$2:$A$355,0))),""))</f>
        <v/>
      </c>
      <c r="N762" s="24">
        <f>IF($L762="",DATE(1900,1,1),$L762)</f>
        <v/>
      </c>
      <c r="O762" s="24">
        <f>IF($M762="",DATE(2100,12,31),$M762)</f>
        <v/>
      </c>
      <c r="P762" s="27" t="n"/>
      <c r="Q762" s="27" t="n"/>
      <c r="R762" s="29">
        <f>IF($C762="","",IFERROR(IF(INDEX(Deals!$U$2:$U$355,MATCH($C762,Deals!$A$2:$A$355,0))=0,"",INDEX(Deals!$U$2:$U$355,MATCH($C762,Deals!$A$2:$A$355,0))),""))</f>
        <v/>
      </c>
      <c r="S762" s="22">
        <f>IFERROR(IF($U762="",1,INDEX(Deals!$V$2:$V$355,MATCH($C762,Deals!$A$2:$A$355,0))),1)</f>
        <v/>
      </c>
      <c r="T762" s="22">
        <f>IFERROR(IF($U762="",1,INDEX(Deals!$W$2:$W$355,MATCH($C762,Deals!$A$2:$A$355,0))),1)</f>
        <v/>
      </c>
      <c r="U762" s="31">
        <f>IF($C762="","",IFERROR(IF(INDEX(Deals!$Y$2:$Y$355,MATCH($C762,Deals!$A$2:$A$355,0))=0,"",INDEX(Deals!$Y$2:$Y$355,MATCH($C762,Deals!$A$2:$A$355,0))),""))</f>
        <v/>
      </c>
      <c r="V762" s="24">
        <f>IF($U762="",DATE(1900,1,1),$N762)</f>
        <v/>
      </c>
      <c r="W762" s="24">
        <f>IF($U762="",DATE(2100,12,31),$U762)</f>
        <v/>
      </c>
      <c r="X762" s="20">
        <f>IF($U762="",$K762,$K762*$S762)</f>
        <v/>
      </c>
      <c r="Y762" s="24">
        <f>IF($U762="",DATE(2100,12,31),$U762+1)</f>
        <v/>
      </c>
      <c r="Z762" s="24">
        <f>IF($U762="",DATE(1900,1,1),$O762)</f>
        <v/>
      </c>
      <c r="AA762" s="20">
        <f>IF($U762="",0,$K762*$T762)</f>
        <v/>
      </c>
    </row>
    <row r="763">
      <c r="A763" s="27" t="n"/>
      <c r="B763" s="29">
        <f>IF($A763="","",IFERROR(INDEX(Roster!$B$2:$B$40,MATCH($A763,Roster!$A$2:$A$40,0)),"?"))</f>
        <v/>
      </c>
      <c r="C763" s="27" t="n"/>
      <c r="D763" s="29">
        <f>IF($C763="","",IFERROR(IF(INDEX(Deals!$C$2:$C$355,MATCH($C763,Deals!$A$2:$A$355,0))=0,"",INDEX(Deals!$C$2:$C$355,MATCH($C763,Deals!$A$2:$A$355,0))),"?"))</f>
        <v/>
      </c>
      <c r="E763" s="29">
        <f>IF($C763="","",IFERROR(INDEX(Deals!$F$2:$F$355,MATCH($C763,Deals!$A$2:$A$355,0)),"?"))</f>
        <v/>
      </c>
      <c r="F763" s="27" t="n"/>
      <c r="G763" s="27" t="n"/>
      <c r="H763" s="27" t="n"/>
      <c r="I763" s="20">
        <f>IF(OR($A763="",$G763&lt;&gt;"Active"),0,IF($H763&lt;&gt;"",$H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</f>
        <v/>
      </c>
      <c r="J763" s="23">
        <f>IF($C763="",0,IFERROR(INDEX(Deals!$H$2:$H$355,MATCH($C763,Deals!$A$2:$A$355,0)),0))</f>
        <v/>
      </c>
      <c r="K763" s="20">
        <f>IF(Settings!$B$4="Yes",$I763*$J763,$I763)</f>
        <v/>
      </c>
      <c r="L763" s="31">
        <f>IF($C763="","",IFERROR(IF(INDEX(Deals!$I$2:$I$355,MATCH($C763,Deals!$A$2:$A$355,0))=0,"",INDEX(Deals!$I$2:$I$355,MATCH($C763,Deals!$A$2:$A$355,0))),""))</f>
        <v/>
      </c>
      <c r="M763" s="31">
        <f>IF($C763="","",IFERROR(IF(INDEX(Deals!$J$2:$J$355,MATCH($C763,Deals!$A$2:$A$355,0))=0,"",INDEX(Deals!$J$2:$J$355,MATCH($C763,Deals!$A$2:$A$355,0))),""))</f>
        <v/>
      </c>
      <c r="N763" s="24">
        <f>IF($L763="",DATE(1900,1,1),$L763)</f>
        <v/>
      </c>
      <c r="O763" s="24">
        <f>IF($M763="",DATE(2100,12,31),$M763)</f>
        <v/>
      </c>
      <c r="P763" s="27" t="n"/>
      <c r="Q763" s="27" t="n"/>
      <c r="R763" s="29">
        <f>IF($C763="","",IFERROR(IF(INDEX(Deals!$U$2:$U$355,MATCH($C763,Deals!$A$2:$A$355,0))=0,"",INDEX(Deals!$U$2:$U$355,MATCH($C763,Deals!$A$2:$A$355,0))),""))</f>
        <v/>
      </c>
      <c r="S763" s="22">
        <f>IFERROR(IF($U763="",1,INDEX(Deals!$V$2:$V$355,MATCH($C763,Deals!$A$2:$A$355,0))),1)</f>
        <v/>
      </c>
      <c r="T763" s="22">
        <f>IFERROR(IF($U763="",1,INDEX(Deals!$W$2:$W$355,MATCH($C763,Deals!$A$2:$A$355,0))),1)</f>
        <v/>
      </c>
      <c r="U763" s="31">
        <f>IF($C763="","",IFERROR(IF(INDEX(Deals!$Y$2:$Y$355,MATCH($C763,Deals!$A$2:$A$355,0))=0,"",INDEX(Deals!$Y$2:$Y$355,MATCH($C763,Deals!$A$2:$A$355,0))),""))</f>
        <v/>
      </c>
      <c r="V763" s="24">
        <f>IF($U763="",DATE(1900,1,1),$N763)</f>
        <v/>
      </c>
      <c r="W763" s="24">
        <f>IF($U763="",DATE(2100,12,31),$U763)</f>
        <v/>
      </c>
      <c r="X763" s="20">
        <f>IF($U763="",$K763,$K763*$S763)</f>
        <v/>
      </c>
      <c r="Y763" s="24">
        <f>IF($U763="",DATE(2100,12,31),$U763+1)</f>
        <v/>
      </c>
      <c r="Z763" s="24">
        <f>IF($U763="",DATE(1900,1,1),$O763)</f>
        <v/>
      </c>
      <c r="AA763" s="20">
        <f>IF($U763="",0,$K763*$T763)</f>
        <v/>
      </c>
    </row>
    <row r="764">
      <c r="A764" s="27" t="n"/>
      <c r="B764" s="29">
        <f>IF($A764="","",IFERROR(INDEX(Roster!$B$2:$B$40,MATCH($A764,Roster!$A$2:$A$40,0)),"?"))</f>
        <v/>
      </c>
      <c r="C764" s="27" t="n"/>
      <c r="D764" s="29">
        <f>IF($C764="","",IFERROR(IF(INDEX(Deals!$C$2:$C$355,MATCH($C764,Deals!$A$2:$A$355,0))=0,"",INDEX(Deals!$C$2:$C$355,MATCH($C764,Deals!$A$2:$A$355,0))),"?"))</f>
        <v/>
      </c>
      <c r="E764" s="29">
        <f>IF($C764="","",IFERROR(INDEX(Deals!$F$2:$F$355,MATCH($C764,Deals!$A$2:$A$355,0)),"?"))</f>
        <v/>
      </c>
      <c r="F764" s="27" t="n"/>
      <c r="G764" s="27" t="n"/>
      <c r="H764" s="27" t="n"/>
      <c r="I764" s="20">
        <f>IF(OR($A764="",$G764&lt;&gt;"Active"),0,IF($H764&lt;&gt;"",$H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</f>
        <v/>
      </c>
      <c r="J764" s="23">
        <f>IF($C764="",0,IFERROR(INDEX(Deals!$H$2:$H$355,MATCH($C764,Deals!$A$2:$A$355,0)),0))</f>
        <v/>
      </c>
      <c r="K764" s="20">
        <f>IF(Settings!$B$4="Yes",$I764*$J764,$I764)</f>
        <v/>
      </c>
      <c r="L764" s="31">
        <f>IF($C764="","",IFERROR(IF(INDEX(Deals!$I$2:$I$355,MATCH($C764,Deals!$A$2:$A$355,0))=0,"",INDEX(Deals!$I$2:$I$355,MATCH($C764,Deals!$A$2:$A$355,0))),""))</f>
        <v/>
      </c>
      <c r="M764" s="31">
        <f>IF($C764="","",IFERROR(IF(INDEX(Deals!$J$2:$J$355,MATCH($C764,Deals!$A$2:$A$355,0))=0,"",INDEX(Deals!$J$2:$J$355,MATCH($C764,Deals!$A$2:$A$355,0))),""))</f>
        <v/>
      </c>
      <c r="N764" s="24">
        <f>IF($L764="",DATE(1900,1,1),$L764)</f>
        <v/>
      </c>
      <c r="O764" s="24">
        <f>IF($M764="",DATE(2100,12,31),$M764)</f>
        <v/>
      </c>
      <c r="P764" s="27" t="n"/>
      <c r="Q764" s="27" t="n"/>
      <c r="R764" s="29">
        <f>IF($C764="","",IFERROR(IF(INDEX(Deals!$U$2:$U$355,MATCH($C764,Deals!$A$2:$A$355,0))=0,"",INDEX(Deals!$U$2:$U$355,MATCH($C764,Deals!$A$2:$A$355,0))),""))</f>
        <v/>
      </c>
      <c r="S764" s="22">
        <f>IFERROR(IF($U764="",1,INDEX(Deals!$V$2:$V$355,MATCH($C764,Deals!$A$2:$A$355,0))),1)</f>
        <v/>
      </c>
      <c r="T764" s="22">
        <f>IFERROR(IF($U764="",1,INDEX(Deals!$W$2:$W$355,MATCH($C764,Deals!$A$2:$A$355,0))),1)</f>
        <v/>
      </c>
      <c r="U764" s="31">
        <f>IF($C764="","",IFERROR(IF(INDEX(Deals!$Y$2:$Y$355,MATCH($C764,Deals!$A$2:$A$355,0))=0,"",INDEX(Deals!$Y$2:$Y$355,MATCH($C764,Deals!$A$2:$A$355,0))),""))</f>
        <v/>
      </c>
      <c r="V764" s="24">
        <f>IF($U764="",DATE(1900,1,1),$N764)</f>
        <v/>
      </c>
      <c r="W764" s="24">
        <f>IF($U764="",DATE(2100,12,31),$U764)</f>
        <v/>
      </c>
      <c r="X764" s="20">
        <f>IF($U764="",$K764,$K764*$S764)</f>
        <v/>
      </c>
      <c r="Y764" s="24">
        <f>IF($U764="",DATE(2100,12,31),$U764+1)</f>
        <v/>
      </c>
      <c r="Z764" s="24">
        <f>IF($U764="",DATE(1900,1,1),$O764)</f>
        <v/>
      </c>
      <c r="AA764" s="20">
        <f>IF($U764="",0,$K764*$T764)</f>
        <v/>
      </c>
    </row>
    <row r="765">
      <c r="A765" s="27" t="n"/>
      <c r="B765" s="29">
        <f>IF($A765="","",IFERROR(INDEX(Roster!$B$2:$B$40,MATCH($A765,Roster!$A$2:$A$40,0)),"?"))</f>
        <v/>
      </c>
      <c r="C765" s="27" t="n"/>
      <c r="D765" s="29">
        <f>IF($C765="","",IFERROR(IF(INDEX(Deals!$C$2:$C$355,MATCH($C765,Deals!$A$2:$A$355,0))=0,"",INDEX(Deals!$C$2:$C$355,MATCH($C765,Deals!$A$2:$A$355,0))),"?"))</f>
        <v/>
      </c>
      <c r="E765" s="29">
        <f>IF($C765="","",IFERROR(INDEX(Deals!$F$2:$F$355,MATCH($C765,Deals!$A$2:$A$355,0)),"?"))</f>
        <v/>
      </c>
      <c r="F765" s="27" t="n"/>
      <c r="G765" s="27" t="n"/>
      <c r="H765" s="27" t="n"/>
      <c r="I765" s="20">
        <f>IF(OR($A765="",$G765&lt;&gt;"Active"),0,IF($H765&lt;&gt;"",$H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</f>
        <v/>
      </c>
      <c r="J765" s="23">
        <f>IF($C765="",0,IFERROR(INDEX(Deals!$H$2:$H$355,MATCH($C765,Deals!$A$2:$A$355,0)),0))</f>
        <v/>
      </c>
      <c r="K765" s="20">
        <f>IF(Settings!$B$4="Yes",$I765*$J765,$I765)</f>
        <v/>
      </c>
      <c r="L765" s="31">
        <f>IF($C765="","",IFERROR(IF(INDEX(Deals!$I$2:$I$355,MATCH($C765,Deals!$A$2:$A$355,0))=0,"",INDEX(Deals!$I$2:$I$355,MATCH($C765,Deals!$A$2:$A$355,0))),""))</f>
        <v/>
      </c>
      <c r="M765" s="31">
        <f>IF($C765="","",IFERROR(IF(INDEX(Deals!$J$2:$J$355,MATCH($C765,Deals!$A$2:$A$355,0))=0,"",INDEX(Deals!$J$2:$J$355,MATCH($C765,Deals!$A$2:$A$355,0))),""))</f>
        <v/>
      </c>
      <c r="N765" s="24">
        <f>IF($L765="",DATE(1900,1,1),$L765)</f>
        <v/>
      </c>
      <c r="O765" s="24">
        <f>IF($M765="",DATE(2100,12,31),$M765)</f>
        <v/>
      </c>
      <c r="P765" s="27" t="n"/>
      <c r="Q765" s="27" t="n"/>
      <c r="R765" s="29">
        <f>IF($C765="","",IFERROR(IF(INDEX(Deals!$U$2:$U$355,MATCH($C765,Deals!$A$2:$A$355,0))=0,"",INDEX(Deals!$U$2:$U$355,MATCH($C765,Deals!$A$2:$A$355,0))),""))</f>
        <v/>
      </c>
      <c r="S765" s="22">
        <f>IFERROR(IF($U765="",1,INDEX(Deals!$V$2:$V$355,MATCH($C765,Deals!$A$2:$A$355,0))),1)</f>
        <v/>
      </c>
      <c r="T765" s="22">
        <f>IFERROR(IF($U765="",1,INDEX(Deals!$W$2:$W$355,MATCH($C765,Deals!$A$2:$A$355,0))),1)</f>
        <v/>
      </c>
      <c r="U765" s="31">
        <f>IF($C765="","",IFERROR(IF(INDEX(Deals!$Y$2:$Y$355,MATCH($C765,Deals!$A$2:$A$355,0))=0,"",INDEX(Deals!$Y$2:$Y$355,MATCH($C765,Deals!$A$2:$A$355,0))),""))</f>
        <v/>
      </c>
      <c r="V765" s="24">
        <f>IF($U765="",DATE(1900,1,1),$N765)</f>
        <v/>
      </c>
      <c r="W765" s="24">
        <f>IF($U765="",DATE(2100,12,31),$U765)</f>
        <v/>
      </c>
      <c r="X765" s="20">
        <f>IF($U765="",$K765,$K765*$S765)</f>
        <v/>
      </c>
      <c r="Y765" s="24">
        <f>IF($U765="",DATE(2100,12,31),$U765+1)</f>
        <v/>
      </c>
      <c r="Z765" s="24">
        <f>IF($U765="",DATE(1900,1,1),$O765)</f>
        <v/>
      </c>
      <c r="AA765" s="20">
        <f>IF($U765="",0,$K765*$T765)</f>
        <v/>
      </c>
    </row>
    <row r="766">
      <c r="A766" s="27" t="n"/>
      <c r="B766" s="29">
        <f>IF($A766="","",IFERROR(INDEX(Roster!$B$2:$B$40,MATCH($A766,Roster!$A$2:$A$40,0)),"?"))</f>
        <v/>
      </c>
      <c r="C766" s="27" t="n"/>
      <c r="D766" s="29">
        <f>IF($C766="","",IFERROR(IF(INDEX(Deals!$C$2:$C$355,MATCH($C766,Deals!$A$2:$A$355,0))=0,"",INDEX(Deals!$C$2:$C$355,MATCH($C766,Deals!$A$2:$A$355,0))),"?"))</f>
        <v/>
      </c>
      <c r="E766" s="29">
        <f>IF($C766="","",IFERROR(INDEX(Deals!$F$2:$F$355,MATCH($C766,Deals!$A$2:$A$355,0)),"?"))</f>
        <v/>
      </c>
      <c r="F766" s="27" t="n"/>
      <c r="G766" s="27" t="n"/>
      <c r="H766" s="27" t="n"/>
      <c r="I766" s="20">
        <f>IF(OR($A766="",$G766&lt;&gt;"Active"),0,IF($H766&lt;&gt;"",$H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</f>
        <v/>
      </c>
      <c r="J766" s="23">
        <f>IF($C766="",0,IFERROR(INDEX(Deals!$H$2:$H$355,MATCH($C766,Deals!$A$2:$A$355,0)),0))</f>
        <v/>
      </c>
      <c r="K766" s="20">
        <f>IF(Settings!$B$4="Yes",$I766*$J766,$I766)</f>
        <v/>
      </c>
      <c r="L766" s="31">
        <f>IF($C766="","",IFERROR(IF(INDEX(Deals!$I$2:$I$355,MATCH($C766,Deals!$A$2:$A$355,0))=0,"",INDEX(Deals!$I$2:$I$355,MATCH($C766,Deals!$A$2:$A$355,0))),""))</f>
        <v/>
      </c>
      <c r="M766" s="31">
        <f>IF($C766="","",IFERROR(IF(INDEX(Deals!$J$2:$J$355,MATCH($C766,Deals!$A$2:$A$355,0))=0,"",INDEX(Deals!$J$2:$J$355,MATCH($C766,Deals!$A$2:$A$355,0))),""))</f>
        <v/>
      </c>
      <c r="N766" s="24">
        <f>IF($L766="",DATE(1900,1,1),$L766)</f>
        <v/>
      </c>
      <c r="O766" s="24">
        <f>IF($M766="",DATE(2100,12,31),$M766)</f>
        <v/>
      </c>
      <c r="P766" s="27" t="n"/>
      <c r="Q766" s="27" t="n"/>
      <c r="R766" s="29">
        <f>IF($C766="","",IFERROR(IF(INDEX(Deals!$U$2:$U$355,MATCH($C766,Deals!$A$2:$A$355,0))=0,"",INDEX(Deals!$U$2:$U$355,MATCH($C766,Deals!$A$2:$A$355,0))),""))</f>
        <v/>
      </c>
      <c r="S766" s="22">
        <f>IFERROR(IF($U766="",1,INDEX(Deals!$V$2:$V$355,MATCH($C766,Deals!$A$2:$A$355,0))),1)</f>
        <v/>
      </c>
      <c r="T766" s="22">
        <f>IFERROR(IF($U766="",1,INDEX(Deals!$W$2:$W$355,MATCH($C766,Deals!$A$2:$A$355,0))),1)</f>
        <v/>
      </c>
      <c r="U766" s="31">
        <f>IF($C766="","",IFERROR(IF(INDEX(Deals!$Y$2:$Y$355,MATCH($C766,Deals!$A$2:$A$355,0))=0,"",INDEX(Deals!$Y$2:$Y$355,MATCH($C766,Deals!$A$2:$A$355,0))),""))</f>
        <v/>
      </c>
      <c r="V766" s="24">
        <f>IF($U766="",DATE(1900,1,1),$N766)</f>
        <v/>
      </c>
      <c r="W766" s="24">
        <f>IF($U766="",DATE(2100,12,31),$U766)</f>
        <v/>
      </c>
      <c r="X766" s="20">
        <f>IF($U766="",$K766,$K766*$S766)</f>
        <v/>
      </c>
      <c r="Y766" s="24">
        <f>IF($U766="",DATE(2100,12,31),$U766+1)</f>
        <v/>
      </c>
      <c r="Z766" s="24">
        <f>IF($U766="",DATE(1900,1,1),$O766)</f>
        <v/>
      </c>
      <c r="AA766" s="20">
        <f>IF($U766="",0,$K766*$T766)</f>
        <v/>
      </c>
    </row>
    <row r="767">
      <c r="A767" s="27" t="n"/>
      <c r="B767" s="29">
        <f>IF($A767="","",IFERROR(INDEX(Roster!$B$2:$B$40,MATCH($A767,Roster!$A$2:$A$40,0)),"?"))</f>
        <v/>
      </c>
      <c r="C767" s="27" t="n"/>
      <c r="D767" s="29">
        <f>IF($C767="","",IFERROR(IF(INDEX(Deals!$C$2:$C$355,MATCH($C767,Deals!$A$2:$A$355,0))=0,"",INDEX(Deals!$C$2:$C$355,MATCH($C767,Deals!$A$2:$A$355,0))),"?"))</f>
        <v/>
      </c>
      <c r="E767" s="29">
        <f>IF($C767="","",IFERROR(INDEX(Deals!$F$2:$F$355,MATCH($C767,Deals!$A$2:$A$355,0)),"?"))</f>
        <v/>
      </c>
      <c r="F767" s="27" t="n"/>
      <c r="G767" s="27" t="n"/>
      <c r="H767" s="27" t="n"/>
      <c r="I767" s="20">
        <f>IF(OR($A767="",$G767&lt;&gt;"Active"),0,IF($H767&lt;&gt;"",$H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</f>
        <v/>
      </c>
      <c r="J767" s="23">
        <f>IF($C767="",0,IFERROR(INDEX(Deals!$H$2:$H$355,MATCH($C767,Deals!$A$2:$A$355,0)),0))</f>
        <v/>
      </c>
      <c r="K767" s="20">
        <f>IF(Settings!$B$4="Yes",$I767*$J767,$I767)</f>
        <v/>
      </c>
      <c r="L767" s="31">
        <f>IF($C767="","",IFERROR(IF(INDEX(Deals!$I$2:$I$355,MATCH($C767,Deals!$A$2:$A$355,0))=0,"",INDEX(Deals!$I$2:$I$355,MATCH($C767,Deals!$A$2:$A$355,0))),""))</f>
        <v/>
      </c>
      <c r="M767" s="31">
        <f>IF($C767="","",IFERROR(IF(INDEX(Deals!$J$2:$J$355,MATCH($C767,Deals!$A$2:$A$355,0))=0,"",INDEX(Deals!$J$2:$J$355,MATCH($C767,Deals!$A$2:$A$355,0))),""))</f>
        <v/>
      </c>
      <c r="N767" s="24">
        <f>IF($L767="",DATE(1900,1,1),$L767)</f>
        <v/>
      </c>
      <c r="O767" s="24">
        <f>IF($M767="",DATE(2100,12,31),$M767)</f>
        <v/>
      </c>
      <c r="P767" s="27" t="n"/>
      <c r="Q767" s="27" t="n"/>
      <c r="R767" s="29">
        <f>IF($C767="","",IFERROR(IF(INDEX(Deals!$U$2:$U$355,MATCH($C767,Deals!$A$2:$A$355,0))=0,"",INDEX(Deals!$U$2:$U$355,MATCH($C767,Deals!$A$2:$A$355,0))),""))</f>
        <v/>
      </c>
      <c r="S767" s="22">
        <f>IFERROR(IF($U767="",1,INDEX(Deals!$V$2:$V$355,MATCH($C767,Deals!$A$2:$A$355,0))),1)</f>
        <v/>
      </c>
      <c r="T767" s="22">
        <f>IFERROR(IF($U767="",1,INDEX(Deals!$W$2:$W$355,MATCH($C767,Deals!$A$2:$A$355,0))),1)</f>
        <v/>
      </c>
      <c r="U767" s="31">
        <f>IF($C767="","",IFERROR(IF(INDEX(Deals!$Y$2:$Y$355,MATCH($C767,Deals!$A$2:$A$355,0))=0,"",INDEX(Deals!$Y$2:$Y$355,MATCH($C767,Deals!$A$2:$A$355,0))),""))</f>
        <v/>
      </c>
      <c r="V767" s="24">
        <f>IF($U767="",DATE(1900,1,1),$N767)</f>
        <v/>
      </c>
      <c r="W767" s="24">
        <f>IF($U767="",DATE(2100,12,31),$U767)</f>
        <v/>
      </c>
      <c r="X767" s="20">
        <f>IF($U767="",$K767,$K767*$S767)</f>
        <v/>
      </c>
      <c r="Y767" s="24">
        <f>IF($U767="",DATE(2100,12,31),$U767+1)</f>
        <v/>
      </c>
      <c r="Z767" s="24">
        <f>IF($U767="",DATE(1900,1,1),$O767)</f>
        <v/>
      </c>
      <c r="AA767" s="20">
        <f>IF($U767="",0,$K767*$T767)</f>
        <v/>
      </c>
    </row>
    <row r="768">
      <c r="A768" s="27" t="n"/>
      <c r="B768" s="29">
        <f>IF($A768="","",IFERROR(INDEX(Roster!$B$2:$B$40,MATCH($A768,Roster!$A$2:$A$40,0)),"?"))</f>
        <v/>
      </c>
      <c r="C768" s="27" t="n"/>
      <c r="D768" s="29">
        <f>IF($C768="","",IFERROR(IF(INDEX(Deals!$C$2:$C$355,MATCH($C768,Deals!$A$2:$A$355,0))=0,"",INDEX(Deals!$C$2:$C$355,MATCH($C768,Deals!$A$2:$A$355,0))),"?"))</f>
        <v/>
      </c>
      <c r="E768" s="29">
        <f>IF($C768="","",IFERROR(INDEX(Deals!$F$2:$F$355,MATCH($C768,Deals!$A$2:$A$355,0)),"?"))</f>
        <v/>
      </c>
      <c r="F768" s="27" t="n"/>
      <c r="G768" s="27" t="n"/>
      <c r="H768" s="27" t="n"/>
      <c r="I768" s="20">
        <f>IF(OR($A768="",$G768&lt;&gt;"Active"),0,IF($H768&lt;&gt;"",$H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</f>
        <v/>
      </c>
      <c r="J768" s="23">
        <f>IF($C768="",0,IFERROR(INDEX(Deals!$H$2:$H$355,MATCH($C768,Deals!$A$2:$A$355,0)),0))</f>
        <v/>
      </c>
      <c r="K768" s="20">
        <f>IF(Settings!$B$4="Yes",$I768*$J768,$I768)</f>
        <v/>
      </c>
      <c r="L768" s="31">
        <f>IF($C768="","",IFERROR(IF(INDEX(Deals!$I$2:$I$355,MATCH($C768,Deals!$A$2:$A$355,0))=0,"",INDEX(Deals!$I$2:$I$355,MATCH($C768,Deals!$A$2:$A$355,0))),""))</f>
        <v/>
      </c>
      <c r="M768" s="31">
        <f>IF($C768="","",IFERROR(IF(INDEX(Deals!$J$2:$J$355,MATCH($C768,Deals!$A$2:$A$355,0))=0,"",INDEX(Deals!$J$2:$J$355,MATCH($C768,Deals!$A$2:$A$355,0))),""))</f>
        <v/>
      </c>
      <c r="N768" s="24">
        <f>IF($L768="",DATE(1900,1,1),$L768)</f>
        <v/>
      </c>
      <c r="O768" s="24">
        <f>IF($M768="",DATE(2100,12,31),$M768)</f>
        <v/>
      </c>
      <c r="P768" s="27" t="n"/>
      <c r="Q768" s="27" t="n"/>
      <c r="R768" s="29">
        <f>IF($C768="","",IFERROR(IF(INDEX(Deals!$U$2:$U$355,MATCH($C768,Deals!$A$2:$A$355,0))=0,"",INDEX(Deals!$U$2:$U$355,MATCH($C768,Deals!$A$2:$A$355,0))),""))</f>
        <v/>
      </c>
      <c r="S768" s="22">
        <f>IFERROR(IF($U768="",1,INDEX(Deals!$V$2:$V$355,MATCH($C768,Deals!$A$2:$A$355,0))),1)</f>
        <v/>
      </c>
      <c r="T768" s="22">
        <f>IFERROR(IF($U768="",1,INDEX(Deals!$W$2:$W$355,MATCH($C768,Deals!$A$2:$A$355,0))),1)</f>
        <v/>
      </c>
      <c r="U768" s="31">
        <f>IF($C768="","",IFERROR(IF(INDEX(Deals!$Y$2:$Y$355,MATCH($C768,Deals!$A$2:$A$355,0))=0,"",INDEX(Deals!$Y$2:$Y$355,MATCH($C768,Deals!$A$2:$A$355,0))),""))</f>
        <v/>
      </c>
      <c r="V768" s="24">
        <f>IF($U768="",DATE(1900,1,1),$N768)</f>
        <v/>
      </c>
      <c r="W768" s="24">
        <f>IF($U768="",DATE(2100,12,31),$U768)</f>
        <v/>
      </c>
      <c r="X768" s="20">
        <f>IF($U768="",$K768,$K768*$S768)</f>
        <v/>
      </c>
      <c r="Y768" s="24">
        <f>IF($U768="",DATE(2100,12,31),$U768+1)</f>
        <v/>
      </c>
      <c r="Z768" s="24">
        <f>IF($U768="",DATE(1900,1,1),$O768)</f>
        <v/>
      </c>
      <c r="AA768" s="20">
        <f>IF($U768="",0,$K768*$T768)</f>
        <v/>
      </c>
    </row>
    <row r="769">
      <c r="A769" s="27" t="n"/>
      <c r="B769" s="29">
        <f>IF($A769="","",IFERROR(INDEX(Roster!$B$2:$B$40,MATCH($A769,Roster!$A$2:$A$40,0)),"?"))</f>
        <v/>
      </c>
      <c r="C769" s="27" t="n"/>
      <c r="D769" s="29">
        <f>IF($C769="","",IFERROR(IF(INDEX(Deals!$C$2:$C$355,MATCH($C769,Deals!$A$2:$A$355,0))=0,"",INDEX(Deals!$C$2:$C$355,MATCH($C769,Deals!$A$2:$A$355,0))),"?"))</f>
        <v/>
      </c>
      <c r="E769" s="29">
        <f>IF($C769="","",IFERROR(INDEX(Deals!$F$2:$F$355,MATCH($C769,Deals!$A$2:$A$355,0)),"?"))</f>
        <v/>
      </c>
      <c r="F769" s="27" t="n"/>
      <c r="G769" s="27" t="n"/>
      <c r="H769" s="27" t="n"/>
      <c r="I769" s="20">
        <f>IF(OR($A769="",$G769&lt;&gt;"Active"),0,IF($H769&lt;&gt;"",$H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</f>
        <v/>
      </c>
      <c r="J769" s="23">
        <f>IF($C769="",0,IFERROR(INDEX(Deals!$H$2:$H$355,MATCH($C769,Deals!$A$2:$A$355,0)),0))</f>
        <v/>
      </c>
      <c r="K769" s="20">
        <f>IF(Settings!$B$4="Yes",$I769*$J769,$I769)</f>
        <v/>
      </c>
      <c r="L769" s="31">
        <f>IF($C769="","",IFERROR(IF(INDEX(Deals!$I$2:$I$355,MATCH($C769,Deals!$A$2:$A$355,0))=0,"",INDEX(Deals!$I$2:$I$355,MATCH($C769,Deals!$A$2:$A$355,0))),""))</f>
        <v/>
      </c>
      <c r="M769" s="31">
        <f>IF($C769="","",IFERROR(IF(INDEX(Deals!$J$2:$J$355,MATCH($C769,Deals!$A$2:$A$355,0))=0,"",INDEX(Deals!$J$2:$J$355,MATCH($C769,Deals!$A$2:$A$355,0))),""))</f>
        <v/>
      </c>
      <c r="N769" s="24">
        <f>IF($L769="",DATE(1900,1,1),$L769)</f>
        <v/>
      </c>
      <c r="O769" s="24">
        <f>IF($M769="",DATE(2100,12,31),$M769)</f>
        <v/>
      </c>
      <c r="P769" s="27" t="n"/>
      <c r="Q769" s="27" t="n"/>
      <c r="R769" s="29">
        <f>IF($C769="","",IFERROR(IF(INDEX(Deals!$U$2:$U$355,MATCH($C769,Deals!$A$2:$A$355,0))=0,"",INDEX(Deals!$U$2:$U$355,MATCH($C769,Deals!$A$2:$A$355,0))),""))</f>
        <v/>
      </c>
      <c r="S769" s="22">
        <f>IFERROR(IF($U769="",1,INDEX(Deals!$V$2:$V$355,MATCH($C769,Deals!$A$2:$A$355,0))),1)</f>
        <v/>
      </c>
      <c r="T769" s="22">
        <f>IFERROR(IF($U769="",1,INDEX(Deals!$W$2:$W$355,MATCH($C769,Deals!$A$2:$A$355,0))),1)</f>
        <v/>
      </c>
      <c r="U769" s="31">
        <f>IF($C769="","",IFERROR(IF(INDEX(Deals!$Y$2:$Y$355,MATCH($C769,Deals!$A$2:$A$355,0))=0,"",INDEX(Deals!$Y$2:$Y$355,MATCH($C769,Deals!$A$2:$A$355,0))),""))</f>
        <v/>
      </c>
      <c r="V769" s="24">
        <f>IF($U769="",DATE(1900,1,1),$N769)</f>
        <v/>
      </c>
      <c r="W769" s="24">
        <f>IF($U769="",DATE(2100,12,31),$U769)</f>
        <v/>
      </c>
      <c r="X769" s="20">
        <f>IF($U769="",$K769,$K769*$S769)</f>
        <v/>
      </c>
      <c r="Y769" s="24">
        <f>IF($U769="",DATE(2100,12,31),$U769+1)</f>
        <v/>
      </c>
      <c r="Z769" s="24">
        <f>IF($U769="",DATE(1900,1,1),$O769)</f>
        <v/>
      </c>
      <c r="AA769" s="20">
        <f>IF($U769="",0,$K769*$T769)</f>
        <v/>
      </c>
    </row>
  </sheetData>
  <conditionalFormatting sqref="A2:AA769">
    <cfRule type="expression" priority="1" dxfId="2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4" t="inlineStr">
        <is>
          <t>Person</t>
        </is>
      </c>
      <c r="B1" s="14" t="inlineStr">
        <is>
          <t>Level</t>
        </is>
      </c>
      <c r="C1" s="14" t="inlineStr">
        <is>
          <t>Specialty</t>
        </is>
      </c>
      <c r="D1" s="14" t="inlineStr">
        <is>
          <t>Weekly capacity (hrs)</t>
        </is>
      </c>
      <c r="E1" s="14" t="inlineStr">
        <is>
          <t>Active assignments</t>
        </is>
      </c>
      <c r="F1" s="14" t="inlineStr">
        <is>
          <t>Committed hrs/wk</t>
        </is>
      </c>
      <c r="G1" s="14" t="inlineStr">
        <is>
          <t>Utilization</t>
        </is>
      </c>
    </row>
    <row r="2">
      <c r="A2" s="15" t="inlineStr">
        <is>
          <t>Tania</t>
        </is>
      </c>
      <c r="B2" s="15" t="inlineStr">
        <is>
          <t>Partner</t>
        </is>
      </c>
      <c r="C2" s="15" t="inlineStr">
        <is>
          <t>Core M&amp;A</t>
        </is>
      </c>
      <c r="D2" s="32" t="n">
        <v>40</v>
      </c>
      <c r="E2" s="19">
        <f>IF($A2="","",COUNTIFS(Assignments!$A$2:$A$769,$A2,Assignments!$G$2:$G$769,"Active"))</f>
        <v/>
      </c>
      <c r="F2" s="20">
        <f>IF($A2="","",SUMIFS(Assignments!$I$2:$I$769,Assignments!$A$2:$A$769,$A2,Assignments!$G$2:$G$769,"Active"))</f>
        <v/>
      </c>
      <c r="G2" s="33">
        <f>IF(OR($A2="",$D2=""),"",IF($D2=0,"",$F2/$D2))</f>
        <v/>
      </c>
    </row>
    <row r="3">
      <c r="A3" s="15" t="inlineStr">
        <is>
          <t>John</t>
        </is>
      </c>
      <c r="B3" s="15" t="inlineStr">
        <is>
          <t>Partner</t>
        </is>
      </c>
      <c r="C3" s="15" t="inlineStr">
        <is>
          <t>Core M&amp;A</t>
        </is>
      </c>
      <c r="D3" s="32" t="n">
        <v>40</v>
      </c>
      <c r="E3" s="19">
        <f>IF($A3="","",COUNTIFS(Assignments!$A$2:$A$769,$A3,Assignments!$G$2:$G$769,"Active"))</f>
        <v/>
      </c>
      <c r="F3" s="20">
        <f>IF($A3="","",SUMIFS(Assignments!$I$2:$I$769,Assignments!$A$2:$A$769,$A3,Assignments!$G$2:$G$769,"Active"))</f>
        <v/>
      </c>
      <c r="G3" s="33">
        <f>IF(OR($A3="",$D3=""),"",IF($D3=0,"",$F3/$D3))</f>
        <v/>
      </c>
    </row>
    <row r="4">
      <c r="A4" s="15" t="inlineStr">
        <is>
          <t>Will B. W.</t>
        </is>
      </c>
      <c r="B4" s="15" t="inlineStr">
        <is>
          <t>Partner</t>
        </is>
      </c>
      <c r="C4" s="15" t="inlineStr">
        <is>
          <t>Core M&amp;A</t>
        </is>
      </c>
      <c r="D4" s="32" t="n">
        <v>40</v>
      </c>
      <c r="E4" s="19">
        <f>IF($A4="","",COUNTIFS(Assignments!$A$2:$A$769,$A4,Assignments!$G$2:$G$769,"Active"))</f>
        <v/>
      </c>
      <c r="F4" s="20">
        <f>IF($A4="","",SUMIFS(Assignments!$I$2:$I$769,Assignments!$A$2:$A$769,$A4,Assignments!$G$2:$G$769,"Active"))</f>
        <v/>
      </c>
      <c r="G4" s="33">
        <f>IF(OR($A4="",$D4=""),"",IF($D4=0,"",$F4/$D4))</f>
        <v/>
      </c>
    </row>
    <row r="5">
      <c r="A5" s="15" t="inlineStr">
        <is>
          <t>Kyle Kidd</t>
        </is>
      </c>
      <c r="B5" s="15" t="inlineStr">
        <is>
          <t>Partner</t>
        </is>
      </c>
      <c r="C5" s="15" t="inlineStr">
        <is>
          <t>Core M&amp;A</t>
        </is>
      </c>
      <c r="D5" s="32" t="n">
        <v>40</v>
      </c>
      <c r="E5" s="19">
        <f>IF($A5="","",COUNTIFS(Assignments!$A$2:$A$769,$A5,Assignments!$G$2:$G$769,"Active"))</f>
        <v/>
      </c>
      <c r="F5" s="20">
        <f>IF($A5="","",SUMIFS(Assignments!$I$2:$I$769,Assignments!$A$2:$A$769,$A5,Assignments!$G$2:$G$769,"Active"))</f>
        <v/>
      </c>
      <c r="G5" s="33">
        <f>IF(OR($A5="",$D5=""),"",IF($D5=0,"",$F5/$D5))</f>
        <v/>
      </c>
    </row>
    <row r="6">
      <c r="A6" s="15" t="inlineStr">
        <is>
          <t>Zack</t>
        </is>
      </c>
      <c r="B6" s="15" t="inlineStr">
        <is>
          <t>MD</t>
        </is>
      </c>
      <c r="C6" s="15" t="inlineStr">
        <is>
          <t>Core M&amp;A</t>
        </is>
      </c>
      <c r="D6" s="32" t="n">
        <v>40</v>
      </c>
      <c r="E6" s="19">
        <f>IF($A6="","",COUNTIFS(Assignments!$A$2:$A$769,$A6,Assignments!$G$2:$G$769,"Active"))</f>
        <v/>
      </c>
      <c r="F6" s="20">
        <f>IF($A6="","",SUMIFS(Assignments!$I$2:$I$769,Assignments!$A$2:$A$769,$A6,Assignments!$G$2:$G$769,"Active"))</f>
        <v/>
      </c>
      <c r="G6" s="33">
        <f>IF(OR($A6="",$D6=""),"",IF($D6=0,"",$F6/$D6))</f>
        <v/>
      </c>
    </row>
    <row r="7">
      <c r="A7" s="15" t="inlineStr">
        <is>
          <t>Ethan</t>
        </is>
      </c>
      <c r="B7" s="15" t="inlineStr">
        <is>
          <t>MD</t>
        </is>
      </c>
      <c r="C7" s="15" t="inlineStr">
        <is>
          <t>Core M&amp;A</t>
        </is>
      </c>
      <c r="D7" s="32" t="n">
        <v>40</v>
      </c>
      <c r="E7" s="19">
        <f>IF($A7="","",COUNTIFS(Assignments!$A$2:$A$769,$A7,Assignments!$G$2:$G$769,"Active"))</f>
        <v/>
      </c>
      <c r="F7" s="20">
        <f>IF($A7="","",SUMIFS(Assignments!$I$2:$I$769,Assignments!$A$2:$A$769,$A7,Assignments!$G$2:$G$769,"Active"))</f>
        <v/>
      </c>
      <c r="G7" s="33">
        <f>IF(OR($A7="",$D7=""),"",IF($D7=0,"",$F7/$D7))</f>
        <v/>
      </c>
    </row>
    <row r="8">
      <c r="A8" s="15" t="inlineStr">
        <is>
          <t>Jeremy</t>
        </is>
      </c>
      <c r="B8" s="15" t="inlineStr">
        <is>
          <t>MD</t>
        </is>
      </c>
      <c r="C8" s="15" t="inlineStr">
        <is>
          <t>Core M&amp;A</t>
        </is>
      </c>
      <c r="D8" s="32" t="n">
        <v>40</v>
      </c>
      <c r="E8" s="19">
        <f>IF($A8="","",COUNTIFS(Assignments!$A$2:$A$769,$A8,Assignments!$G$2:$G$769,"Active"))</f>
        <v/>
      </c>
      <c r="F8" s="20">
        <f>IF($A8="","",SUMIFS(Assignments!$I$2:$I$769,Assignments!$A$2:$A$769,$A8,Assignments!$G$2:$G$769,"Active"))</f>
        <v/>
      </c>
      <c r="G8" s="33">
        <f>IF(OR($A8="",$D8=""),"",IF($D8=0,"",$F8/$D8))</f>
        <v/>
      </c>
    </row>
    <row r="9">
      <c r="A9" s="15" t="inlineStr">
        <is>
          <t>Jason</t>
        </is>
      </c>
      <c r="B9" s="15" t="inlineStr">
        <is>
          <t>MD</t>
        </is>
      </c>
      <c r="C9" s="15" t="inlineStr">
        <is>
          <t>Core M&amp;A</t>
        </is>
      </c>
      <c r="D9" s="32" t="n">
        <v>40</v>
      </c>
      <c r="E9" s="19">
        <f>IF($A9="","",COUNTIFS(Assignments!$A$2:$A$769,$A9,Assignments!$G$2:$G$769,"Active"))</f>
        <v/>
      </c>
      <c r="F9" s="20">
        <f>IF($A9="","",SUMIFS(Assignments!$I$2:$I$769,Assignments!$A$2:$A$769,$A9,Assignments!$G$2:$G$769,"Active"))</f>
        <v/>
      </c>
      <c r="G9" s="33">
        <f>IF(OR($A9="",$D9=""),"",IF($D9=0,"",$F9/$D9))</f>
        <v/>
      </c>
    </row>
    <row r="10">
      <c r="A10" s="15" t="inlineStr">
        <is>
          <t>Justine</t>
        </is>
      </c>
      <c r="B10" s="15" t="inlineStr">
        <is>
          <t>Director</t>
        </is>
      </c>
      <c r="C10" s="15" t="inlineStr">
        <is>
          <t>Core M&amp;A</t>
        </is>
      </c>
      <c r="D10" s="32" t="n">
        <v>40</v>
      </c>
      <c r="E10" s="19">
        <f>IF($A10="","",COUNTIFS(Assignments!$A$2:$A$769,$A10,Assignments!$G$2:$G$769,"Active"))</f>
        <v/>
      </c>
      <c r="F10" s="20">
        <f>IF($A10="","",SUMIFS(Assignments!$I$2:$I$769,Assignments!$A$2:$A$769,$A10,Assignments!$G$2:$G$769,"Active"))</f>
        <v/>
      </c>
      <c r="G10" s="33">
        <f>IF(OR($A10="",$D10=""),"",IF($D10=0,"",$F10/$D10))</f>
        <v/>
      </c>
    </row>
    <row r="11">
      <c r="A11" s="15" t="inlineStr">
        <is>
          <t>Kyle Risser</t>
        </is>
      </c>
      <c r="B11" s="15" t="inlineStr">
        <is>
          <t>Director</t>
        </is>
      </c>
      <c r="C11" s="15" t="inlineStr">
        <is>
          <t>Core M&amp;A</t>
        </is>
      </c>
      <c r="D11" s="32" t="n">
        <v>40</v>
      </c>
      <c r="E11" s="19">
        <f>IF($A11="","",COUNTIFS(Assignments!$A$2:$A$769,$A11,Assignments!$G$2:$G$769,"Active"))</f>
        <v/>
      </c>
      <c r="F11" s="20">
        <f>IF($A11="","",SUMIFS(Assignments!$I$2:$I$769,Assignments!$A$2:$A$769,$A11,Assignments!$G$2:$G$769,"Active"))</f>
        <v/>
      </c>
      <c r="G11" s="33">
        <f>IF(OR($A11="",$D11=""),"",IF($D11=0,"",$F11/$D11))</f>
        <v/>
      </c>
    </row>
    <row r="12">
      <c r="A12" s="15" t="inlineStr">
        <is>
          <t>Will Covalt</t>
        </is>
      </c>
      <c r="B12" s="15" t="inlineStr">
        <is>
          <t>Director</t>
        </is>
      </c>
      <c r="C12" s="15" t="inlineStr">
        <is>
          <t>Core M&amp;A</t>
        </is>
      </c>
      <c r="D12" s="32" t="n">
        <v>40</v>
      </c>
      <c r="E12" s="19">
        <f>IF($A12="","",COUNTIFS(Assignments!$A$2:$A$769,$A12,Assignments!$G$2:$G$769,"Active"))</f>
        <v/>
      </c>
      <c r="F12" s="20">
        <f>IF($A12="","",SUMIFS(Assignments!$I$2:$I$769,Assignments!$A$2:$A$769,$A12,Assignments!$G$2:$G$769,"Active"))</f>
        <v/>
      </c>
      <c r="G12" s="33">
        <f>IF(OR($A12="",$D12=""),"",IF($D12=0,"",$F12/$D12))</f>
        <v/>
      </c>
    </row>
    <row r="13">
      <c r="A13" s="15" t="inlineStr">
        <is>
          <t>Lauren</t>
        </is>
      </c>
      <c r="B13" s="15" t="inlineStr">
        <is>
          <t>Director</t>
        </is>
      </c>
      <c r="C13" s="15" t="inlineStr">
        <is>
          <t>Core M&amp;A</t>
        </is>
      </c>
      <c r="D13" s="32" t="n">
        <v>40</v>
      </c>
      <c r="E13" s="19">
        <f>IF($A13="","",COUNTIFS(Assignments!$A$2:$A$769,$A13,Assignments!$G$2:$G$769,"Active"))</f>
        <v/>
      </c>
      <c r="F13" s="20">
        <f>IF($A13="","",SUMIFS(Assignments!$I$2:$I$769,Assignments!$A$2:$A$769,$A13,Assignments!$G$2:$G$769,"Active"))</f>
        <v/>
      </c>
      <c r="G13" s="33">
        <f>IF(OR($A13="",$D13=""),"",IF($D13=0,"",$F13/$D13))</f>
        <v/>
      </c>
    </row>
    <row r="14">
      <c r="A14" s="15" t="inlineStr">
        <is>
          <t>George</t>
        </is>
      </c>
      <c r="B14" s="15" t="inlineStr">
        <is>
          <t>VP</t>
        </is>
      </c>
      <c r="C14" s="15" t="inlineStr">
        <is>
          <t>Core M&amp;A</t>
        </is>
      </c>
      <c r="D14" s="32" t="n">
        <v>40</v>
      </c>
      <c r="E14" s="19">
        <f>IF($A14="","",COUNTIFS(Assignments!$A$2:$A$769,$A14,Assignments!$G$2:$G$769,"Active"))</f>
        <v/>
      </c>
      <c r="F14" s="20">
        <f>IF($A14="","",SUMIFS(Assignments!$I$2:$I$769,Assignments!$A$2:$A$769,$A14,Assignments!$G$2:$G$769,"Active"))</f>
        <v/>
      </c>
      <c r="G14" s="33">
        <f>IF(OR($A14="",$D14=""),"",IF($D14=0,"",$F14/$D14))</f>
        <v/>
      </c>
    </row>
    <row r="15">
      <c r="A15" s="15" t="inlineStr">
        <is>
          <t>Spencer</t>
        </is>
      </c>
      <c r="B15" s="15" t="inlineStr">
        <is>
          <t>VP</t>
        </is>
      </c>
      <c r="C15" s="15" t="inlineStr">
        <is>
          <t>Core M&amp;A</t>
        </is>
      </c>
      <c r="D15" s="32" t="n">
        <v>40</v>
      </c>
      <c r="E15" s="19">
        <f>IF($A15="","",COUNTIFS(Assignments!$A$2:$A$769,$A15,Assignments!$G$2:$G$769,"Active"))</f>
        <v/>
      </c>
      <c r="F15" s="20">
        <f>IF($A15="","",SUMIFS(Assignments!$I$2:$I$769,Assignments!$A$2:$A$769,$A15,Assignments!$G$2:$G$769,"Active"))</f>
        <v/>
      </c>
      <c r="G15" s="33">
        <f>IF(OR($A15="",$D15=""),"",IF($D15=0,"",$F15/$D15))</f>
        <v/>
      </c>
    </row>
    <row r="16">
      <c r="A16" s="15" t="inlineStr">
        <is>
          <t>Patch</t>
        </is>
      </c>
      <c r="B16" s="15" t="inlineStr">
        <is>
          <t>VP</t>
        </is>
      </c>
      <c r="C16" s="15" t="inlineStr">
        <is>
          <t>Core M&amp;A</t>
        </is>
      </c>
      <c r="D16" s="32" t="n">
        <v>40</v>
      </c>
      <c r="E16" s="19">
        <f>IF($A16="","",COUNTIFS(Assignments!$A$2:$A$769,$A16,Assignments!$G$2:$G$769,"Active"))</f>
        <v/>
      </c>
      <c r="F16" s="20">
        <f>IF($A16="","",SUMIFS(Assignments!$I$2:$I$769,Assignments!$A$2:$A$769,$A16,Assignments!$G$2:$G$769,"Active"))</f>
        <v/>
      </c>
      <c r="G16" s="33">
        <f>IF(OR($A16="",$D16=""),"",IF($D16=0,"",$F16/$D16))</f>
        <v/>
      </c>
    </row>
    <row r="17">
      <c r="A17" s="15" t="inlineStr">
        <is>
          <t>Vidhi</t>
        </is>
      </c>
      <c r="B17" s="15" t="inlineStr">
        <is>
          <t>Senior Associate</t>
        </is>
      </c>
      <c r="C17" s="15" t="inlineStr">
        <is>
          <t>Core M&amp;A</t>
        </is>
      </c>
      <c r="D17" s="32" t="n">
        <v>40</v>
      </c>
      <c r="E17" s="19">
        <f>IF($A17="","",COUNTIFS(Assignments!$A$2:$A$769,$A17,Assignments!$G$2:$G$769,"Active"))</f>
        <v/>
      </c>
      <c r="F17" s="20">
        <f>IF($A17="","",SUMIFS(Assignments!$I$2:$I$769,Assignments!$A$2:$A$769,$A17,Assignments!$G$2:$G$769,"Active"))</f>
        <v/>
      </c>
      <c r="G17" s="33">
        <f>IF(OR($A17="",$D17=""),"",IF($D17=0,"",$F17/$D17))</f>
        <v/>
      </c>
    </row>
    <row r="18">
      <c r="A18" s="15" t="inlineStr">
        <is>
          <t>Nina</t>
        </is>
      </c>
      <c r="B18" s="15" t="inlineStr">
        <is>
          <t>Senior Associate</t>
        </is>
      </c>
      <c r="C18" s="15" t="inlineStr">
        <is>
          <t>Core M&amp;A</t>
        </is>
      </c>
      <c r="D18" s="32" t="n">
        <v>40</v>
      </c>
      <c r="E18" s="19">
        <f>IF($A18="","",COUNTIFS(Assignments!$A$2:$A$769,$A18,Assignments!$G$2:$G$769,"Active"))</f>
        <v/>
      </c>
      <c r="F18" s="20">
        <f>IF($A18="","",SUMIFS(Assignments!$I$2:$I$769,Assignments!$A$2:$A$769,$A18,Assignments!$G$2:$G$769,"Active"))</f>
        <v/>
      </c>
      <c r="G18" s="33">
        <f>IF(OR($A18="",$D18=""),"",IF($D18=0,"",$F18/$D18))</f>
        <v/>
      </c>
    </row>
    <row r="19">
      <c r="A19" s="15" t="inlineStr">
        <is>
          <t>Colleen</t>
        </is>
      </c>
      <c r="B19" s="15" t="inlineStr">
        <is>
          <t>Senior Associate</t>
        </is>
      </c>
      <c r="C19" s="15" t="inlineStr">
        <is>
          <t>Core M&amp;A</t>
        </is>
      </c>
      <c r="D19" s="32" t="n">
        <v>40</v>
      </c>
      <c r="E19" s="19">
        <f>IF($A19="","",COUNTIFS(Assignments!$A$2:$A$769,$A19,Assignments!$G$2:$G$769,"Active"))</f>
        <v/>
      </c>
      <c r="F19" s="20">
        <f>IF($A19="","",SUMIFS(Assignments!$I$2:$I$769,Assignments!$A$2:$A$769,$A19,Assignments!$G$2:$G$769,"Active"))</f>
        <v/>
      </c>
      <c r="G19" s="33">
        <f>IF(OR($A19="",$D19=""),"",IF($D19=0,"",$F19/$D19))</f>
        <v/>
      </c>
    </row>
    <row r="20">
      <c r="A20" s="15" t="inlineStr">
        <is>
          <t>Jennifer Wu</t>
        </is>
      </c>
      <c r="B20" s="15" t="inlineStr">
        <is>
          <t>Senior Associate</t>
        </is>
      </c>
      <c r="C20" s="15" t="inlineStr">
        <is>
          <t>Core M&amp;A</t>
        </is>
      </c>
      <c r="D20" s="32" t="n">
        <v>40</v>
      </c>
      <c r="E20" s="19">
        <f>IF($A20="","",COUNTIFS(Assignments!$A$2:$A$769,$A20,Assignments!$G$2:$G$769,"Active"))</f>
        <v/>
      </c>
      <c r="F20" s="20">
        <f>IF($A20="","",SUMIFS(Assignments!$I$2:$I$769,Assignments!$A$2:$A$769,$A20,Assignments!$G$2:$G$769,"Active"))</f>
        <v/>
      </c>
      <c r="G20" s="33">
        <f>IF(OR($A20="",$D20=""),"",IF($D20=0,"",$F20/$D20))</f>
        <v/>
      </c>
    </row>
    <row r="21">
      <c r="A21" s="15" t="inlineStr">
        <is>
          <t>Dorian</t>
        </is>
      </c>
      <c r="B21" s="15" t="inlineStr">
        <is>
          <t>Renewable Specialist</t>
        </is>
      </c>
      <c r="C21" s="15" t="inlineStr">
        <is>
          <t>Renewable</t>
        </is>
      </c>
      <c r="D21" s="32" t="n">
        <v>40</v>
      </c>
      <c r="E21" s="19">
        <f>IF($A21="","",COUNTIFS(Assignments!$A$2:$A$769,$A21,Assignments!$G$2:$G$769,"Active"))</f>
        <v/>
      </c>
      <c r="F21" s="20">
        <f>IF($A21="","",SUMIFS(Assignments!$I$2:$I$769,Assignments!$A$2:$A$769,$A21,Assignments!$G$2:$G$769,"Active"))</f>
        <v/>
      </c>
      <c r="G21" s="33">
        <f>IF(OR($A21="",$D21=""),"",IF($D21=0,"",$F21/$D21))</f>
        <v/>
      </c>
    </row>
    <row r="22">
      <c r="A22" s="15" t="inlineStr">
        <is>
          <t>Yiyi</t>
        </is>
      </c>
      <c r="B22" s="15" t="inlineStr">
        <is>
          <t>Renewable Specialist</t>
        </is>
      </c>
      <c r="C22" s="15" t="inlineStr">
        <is>
          <t>Renewable</t>
        </is>
      </c>
      <c r="D22" s="32" t="n">
        <v>40</v>
      </c>
      <c r="E22" s="19">
        <f>IF($A22="","",COUNTIFS(Assignments!$A$2:$A$769,$A22,Assignments!$G$2:$G$769,"Active"))</f>
        <v/>
      </c>
      <c r="F22" s="20">
        <f>IF($A22="","",SUMIFS(Assignments!$I$2:$I$769,Assignments!$A$2:$A$769,$A22,Assignments!$G$2:$G$769,"Active"))</f>
        <v/>
      </c>
      <c r="G22" s="33">
        <f>IF(OR($A22="",$D22=""),"",IF($D22=0,"",$F22/$D22))</f>
        <v/>
      </c>
    </row>
    <row r="23">
      <c r="A23" s="15" t="inlineStr">
        <is>
          <t>Eric</t>
        </is>
      </c>
      <c r="B23" s="15" t="inlineStr">
        <is>
          <t>Renewable Specialist</t>
        </is>
      </c>
      <c r="C23" s="15" t="inlineStr">
        <is>
          <t>Renewable</t>
        </is>
      </c>
      <c r="D23" s="32" t="n">
        <v>40</v>
      </c>
      <c r="E23" s="19">
        <f>IF($A23="","",COUNTIFS(Assignments!$A$2:$A$769,$A23,Assignments!$G$2:$G$769,"Active"))</f>
        <v/>
      </c>
      <c r="F23" s="20">
        <f>IF($A23="","",SUMIFS(Assignments!$I$2:$I$769,Assignments!$A$2:$A$769,$A23,Assignments!$G$2:$G$769,"Active"))</f>
        <v/>
      </c>
      <c r="G23" s="33">
        <f>IF(OR($A23="",$D23=""),"",IF($D23=0,"",$F23/$D23))</f>
        <v/>
      </c>
    </row>
    <row r="24">
      <c r="A24" s="15" t="inlineStr">
        <is>
          <t>Robbie</t>
        </is>
      </c>
      <c r="B24" s="15" t="inlineStr">
        <is>
          <t>Renewable Specialist</t>
        </is>
      </c>
      <c r="C24" s="15" t="inlineStr">
        <is>
          <t>Renewable</t>
        </is>
      </c>
      <c r="D24" s="32" t="n">
        <v>40</v>
      </c>
      <c r="E24" s="19">
        <f>IF($A24="","",COUNTIFS(Assignments!$A$2:$A$769,$A24,Assignments!$G$2:$G$769,"Active"))</f>
        <v/>
      </c>
      <c r="F24" s="20">
        <f>IF($A24="","",SUMIFS(Assignments!$I$2:$I$769,Assignments!$A$2:$A$769,$A24,Assignments!$G$2:$G$769,"Active"))</f>
        <v/>
      </c>
      <c r="G24" s="33">
        <f>IF(OR($A24="",$D24=""),"",IF($D24=0,"",$F24/$D24))</f>
        <v/>
      </c>
    </row>
    <row r="25">
      <c r="A25" s="27" t="n"/>
      <c r="B25" s="27" t="n"/>
      <c r="C25" s="27" t="n"/>
      <c r="D25" s="27" t="n"/>
      <c r="E25" s="19">
        <f>IF($A25="","",COUNTIFS(Assignments!$A$2:$A$769,$A25,Assignments!$G$2:$G$769,"Active"))</f>
        <v/>
      </c>
      <c r="F25" s="20">
        <f>IF($A25="","",SUMIFS(Assignments!$I$2:$I$769,Assignments!$A$2:$A$769,$A25,Assignments!$G$2:$G$769,"Active"))</f>
        <v/>
      </c>
      <c r="G25" s="33">
        <f>IF(OR($A25="",$D25=""),"",IF($D25=0,"",$F25/$D25))</f>
        <v/>
      </c>
    </row>
    <row r="26">
      <c r="A26" s="27" t="n"/>
      <c r="B26" s="27" t="n"/>
      <c r="C26" s="27" t="n"/>
      <c r="D26" s="27" t="n"/>
      <c r="E26" s="19">
        <f>IF($A26="","",COUNTIFS(Assignments!$A$2:$A$769,$A26,Assignments!$G$2:$G$769,"Active"))</f>
        <v/>
      </c>
      <c r="F26" s="20">
        <f>IF($A26="","",SUMIFS(Assignments!$I$2:$I$769,Assignments!$A$2:$A$769,$A26,Assignments!$G$2:$G$769,"Active"))</f>
        <v/>
      </c>
      <c r="G26" s="33">
        <f>IF(OR($A26="",$D26=""),"",IF($D26=0,"",$F26/$D26))</f>
        <v/>
      </c>
    </row>
    <row r="27">
      <c r="A27" s="27" t="n"/>
      <c r="B27" s="27" t="n"/>
      <c r="C27" s="27" t="n"/>
      <c r="D27" s="27" t="n"/>
      <c r="E27" s="19">
        <f>IF($A27="","",COUNTIFS(Assignments!$A$2:$A$769,$A27,Assignments!$G$2:$G$769,"Active"))</f>
        <v/>
      </c>
      <c r="F27" s="20">
        <f>IF($A27="","",SUMIFS(Assignments!$I$2:$I$769,Assignments!$A$2:$A$769,$A27,Assignments!$G$2:$G$769,"Active"))</f>
        <v/>
      </c>
      <c r="G27" s="33">
        <f>IF(OR($A27="",$D27=""),"",IF($D27=0,"",$F27/$D27))</f>
        <v/>
      </c>
    </row>
    <row r="28">
      <c r="A28" s="27" t="n"/>
      <c r="B28" s="27" t="n"/>
      <c r="C28" s="27" t="n"/>
      <c r="D28" s="27" t="n"/>
      <c r="E28" s="19">
        <f>IF($A28="","",COUNTIFS(Assignments!$A$2:$A$769,$A28,Assignments!$G$2:$G$769,"Active"))</f>
        <v/>
      </c>
      <c r="F28" s="20">
        <f>IF($A28="","",SUMIFS(Assignments!$I$2:$I$769,Assignments!$A$2:$A$769,$A28,Assignments!$G$2:$G$769,"Active"))</f>
        <v/>
      </c>
      <c r="G28" s="33">
        <f>IF(OR($A28="",$D28=""),"",IF($D28=0,"",$F28/$D28))</f>
        <v/>
      </c>
    </row>
    <row r="29">
      <c r="A29" s="27" t="n"/>
      <c r="B29" s="27" t="n"/>
      <c r="C29" s="27" t="n"/>
      <c r="D29" s="27" t="n"/>
      <c r="E29" s="19">
        <f>IF($A29="","",COUNTIFS(Assignments!$A$2:$A$769,$A29,Assignments!$G$2:$G$769,"Active"))</f>
        <v/>
      </c>
      <c r="F29" s="20">
        <f>IF($A29="","",SUMIFS(Assignments!$I$2:$I$769,Assignments!$A$2:$A$769,$A29,Assignments!$G$2:$G$769,"Active"))</f>
        <v/>
      </c>
      <c r="G29" s="33">
        <f>IF(OR($A29="",$D29=""),"",IF($D29=0,"",$F29/$D29))</f>
        <v/>
      </c>
    </row>
    <row r="30">
      <c r="A30" s="27" t="n"/>
      <c r="B30" s="27" t="n"/>
      <c r="C30" s="27" t="n"/>
      <c r="D30" s="27" t="n"/>
      <c r="E30" s="19">
        <f>IF($A30="","",COUNTIFS(Assignments!$A$2:$A$769,$A30,Assignments!$G$2:$G$769,"Active"))</f>
        <v/>
      </c>
      <c r="F30" s="20">
        <f>IF($A30="","",SUMIFS(Assignments!$I$2:$I$769,Assignments!$A$2:$A$769,$A30,Assignments!$G$2:$G$769,"Active"))</f>
        <v/>
      </c>
      <c r="G30" s="33">
        <f>IF(OR($A30="",$D30=""),"",IF($D30=0,"",$F30/$D30))</f>
        <v/>
      </c>
    </row>
    <row r="31">
      <c r="A31" s="27" t="n"/>
      <c r="B31" s="27" t="n"/>
      <c r="C31" s="27" t="n"/>
      <c r="D31" s="27" t="n"/>
      <c r="E31" s="19">
        <f>IF($A31="","",COUNTIFS(Assignments!$A$2:$A$769,$A31,Assignments!$G$2:$G$769,"Active"))</f>
        <v/>
      </c>
      <c r="F31" s="20">
        <f>IF($A31="","",SUMIFS(Assignments!$I$2:$I$769,Assignments!$A$2:$A$769,$A31,Assignments!$G$2:$G$769,"Active"))</f>
        <v/>
      </c>
      <c r="G31" s="33">
        <f>IF(OR($A31="",$D31=""),"",IF($D31=0,"",$F31/$D31))</f>
        <v/>
      </c>
    </row>
    <row r="32">
      <c r="A32" s="27" t="n"/>
      <c r="B32" s="27" t="n"/>
      <c r="C32" s="27" t="n"/>
      <c r="D32" s="27" t="n"/>
      <c r="E32" s="19">
        <f>IF($A32="","",COUNTIFS(Assignments!$A$2:$A$769,$A32,Assignments!$G$2:$G$769,"Active"))</f>
        <v/>
      </c>
      <c r="F32" s="20">
        <f>IF($A32="","",SUMIFS(Assignments!$I$2:$I$769,Assignments!$A$2:$A$769,$A32,Assignments!$G$2:$G$769,"Active"))</f>
        <v/>
      </c>
      <c r="G32" s="33">
        <f>IF(OR($A32="",$D32=""),"",IF($D32=0,"",$F32/$D32))</f>
        <v/>
      </c>
    </row>
    <row r="33">
      <c r="A33" s="27" t="n"/>
      <c r="B33" s="27" t="n"/>
      <c r="C33" s="27" t="n"/>
      <c r="D33" s="27" t="n"/>
      <c r="E33" s="19">
        <f>IF($A33="","",COUNTIFS(Assignments!$A$2:$A$769,$A33,Assignments!$G$2:$G$769,"Active"))</f>
        <v/>
      </c>
      <c r="F33" s="20">
        <f>IF($A33="","",SUMIFS(Assignments!$I$2:$I$769,Assignments!$A$2:$A$769,$A33,Assignments!$G$2:$G$769,"Active"))</f>
        <v/>
      </c>
      <c r="G33" s="33">
        <f>IF(OR($A33="",$D33=""),"",IF($D33=0,"",$F33/$D33))</f>
        <v/>
      </c>
    </row>
    <row r="34">
      <c r="A34" s="27" t="n"/>
      <c r="B34" s="27" t="n"/>
      <c r="C34" s="27" t="n"/>
      <c r="D34" s="27" t="n"/>
      <c r="E34" s="19">
        <f>IF($A34="","",COUNTIFS(Assignments!$A$2:$A$769,$A34,Assignments!$G$2:$G$769,"Active"))</f>
        <v/>
      </c>
      <c r="F34" s="20">
        <f>IF($A34="","",SUMIFS(Assignments!$I$2:$I$769,Assignments!$A$2:$A$769,$A34,Assignments!$G$2:$G$769,"Active"))</f>
        <v/>
      </c>
      <c r="G34" s="33">
        <f>IF(OR($A34="",$D34=""),"",IF($D34=0,"",$F34/$D34))</f>
        <v/>
      </c>
    </row>
    <row r="35">
      <c r="A35" s="27" t="n"/>
      <c r="B35" s="27" t="n"/>
      <c r="C35" s="27" t="n"/>
      <c r="D35" s="27" t="n"/>
      <c r="E35" s="19">
        <f>IF($A35="","",COUNTIFS(Assignments!$A$2:$A$769,$A35,Assignments!$G$2:$G$769,"Active"))</f>
        <v/>
      </c>
      <c r="F35" s="20">
        <f>IF($A35="","",SUMIFS(Assignments!$I$2:$I$769,Assignments!$A$2:$A$769,$A35,Assignments!$G$2:$G$769,"Active"))</f>
        <v/>
      </c>
      <c r="G35" s="33">
        <f>IF(OR($A35="",$D35=""),"",IF($D35=0,"",$F35/$D35))</f>
        <v/>
      </c>
    </row>
    <row r="36">
      <c r="A36" s="27" t="n"/>
      <c r="B36" s="27" t="n"/>
      <c r="C36" s="27" t="n"/>
      <c r="D36" s="27" t="n"/>
      <c r="E36" s="19">
        <f>IF($A36="","",COUNTIFS(Assignments!$A$2:$A$769,$A36,Assignments!$G$2:$G$769,"Active"))</f>
        <v/>
      </c>
      <c r="F36" s="20">
        <f>IF($A36="","",SUMIFS(Assignments!$I$2:$I$769,Assignments!$A$2:$A$769,$A36,Assignments!$G$2:$G$769,"Active"))</f>
        <v/>
      </c>
      <c r="G36" s="33">
        <f>IF(OR($A36="",$D36=""),"",IF($D36=0,"",$F36/$D36))</f>
        <v/>
      </c>
    </row>
    <row r="37">
      <c r="A37" s="27" t="n"/>
      <c r="B37" s="27" t="n"/>
      <c r="C37" s="27" t="n"/>
      <c r="D37" s="27" t="n"/>
      <c r="E37" s="19">
        <f>IF($A37="","",COUNTIFS(Assignments!$A$2:$A$769,$A37,Assignments!$G$2:$G$769,"Active"))</f>
        <v/>
      </c>
      <c r="F37" s="20">
        <f>IF($A37="","",SUMIFS(Assignments!$I$2:$I$769,Assignments!$A$2:$A$769,$A37,Assignments!$G$2:$G$769,"Active"))</f>
        <v/>
      </c>
      <c r="G37" s="33">
        <f>IF(OR($A37="",$D37=""),"",IF($D37=0,"",$F37/$D37))</f>
        <v/>
      </c>
    </row>
    <row r="38">
      <c r="A38" s="27" t="n"/>
      <c r="B38" s="27" t="n"/>
      <c r="C38" s="27" t="n"/>
      <c r="D38" s="27" t="n"/>
      <c r="E38" s="19">
        <f>IF($A38="","",COUNTIFS(Assignments!$A$2:$A$769,$A38,Assignments!$G$2:$G$769,"Active"))</f>
        <v/>
      </c>
      <c r="F38" s="20">
        <f>IF($A38="","",SUMIFS(Assignments!$I$2:$I$769,Assignments!$A$2:$A$769,$A38,Assignments!$G$2:$G$769,"Active"))</f>
        <v/>
      </c>
      <c r="G38" s="33">
        <f>IF(OR($A38="",$D38=""),"",IF($D38=0,"",$F38/$D38))</f>
        <v/>
      </c>
    </row>
    <row r="39">
      <c r="A39" s="27" t="n"/>
      <c r="B39" s="27" t="n"/>
      <c r="C39" s="27" t="n"/>
      <c r="D39" s="27" t="n"/>
      <c r="E39" s="19">
        <f>IF($A39="","",COUNTIFS(Assignments!$A$2:$A$769,$A39,Assignments!$G$2:$G$769,"Active"))</f>
        <v/>
      </c>
      <c r="F39" s="20">
        <f>IF($A39="","",SUMIFS(Assignments!$I$2:$I$769,Assignments!$A$2:$A$769,$A39,Assignments!$G$2:$G$769,"Active"))</f>
        <v/>
      </c>
      <c r="G39" s="33">
        <f>IF(OR($A39="",$D39=""),"",IF($D39=0,"",$F39/$D39))</f>
        <v/>
      </c>
    </row>
    <row r="40">
      <c r="A40" s="27" t="n"/>
      <c r="B40" s="27" t="n"/>
      <c r="C40" s="27" t="n"/>
      <c r="D40" s="27" t="n"/>
      <c r="E40" s="19">
        <f>IF($A40="","",COUNTIFS(Assignments!$A$2:$A$769,$A40,Assignments!$G$2:$G$769,"Active"))</f>
        <v/>
      </c>
      <c r="F40" s="20">
        <f>IF($A40="","",SUMIFS(Assignments!$I$2:$I$769,Assignments!$A$2:$A$769,$A40,Assignments!$G$2:$G$769,"Active"))</f>
        <v/>
      </c>
      <c r="G40" s="33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3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L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Effort templates - hrs/wk per person by level, + phase shape</t>
        </is>
      </c>
    </row>
    <row r="2" ht="28" customHeight="1">
      <c r="A2" s="14" t="inlineStr">
        <is>
          <t>Archetype</t>
        </is>
      </c>
      <c r="B2" s="14" t="inlineStr">
        <is>
          <t>Partner</t>
        </is>
      </c>
      <c r="C2" s="14" t="inlineStr">
        <is>
          <t>MD</t>
        </is>
      </c>
      <c r="D2" s="14" t="inlineStr">
        <is>
          <t>Director</t>
        </is>
      </c>
      <c r="E2" s="14" t="inlineStr">
        <is>
          <t>VP</t>
        </is>
      </c>
      <c r="F2" s="14" t="inlineStr">
        <is>
          <t>Senior Associate</t>
        </is>
      </c>
      <c r="G2" s="14" t="inlineStr">
        <is>
          <t>Renewable Specialist</t>
        </is>
      </c>
      <c r="H2" s="14" t="inlineStr">
        <is>
          <t>Associate</t>
        </is>
      </c>
      <c r="I2" s="14" t="inlineStr">
        <is>
          <t>Typical duration (wks)</t>
        </is>
      </c>
      <c r="J2" s="14" t="inlineStr">
        <is>
          <t>Front phase fraction</t>
        </is>
      </c>
      <c r="K2" s="14" t="inlineStr">
        <is>
          <t>Front intensity (x)</t>
        </is>
      </c>
      <c r="L2" s="14" t="inlineStr">
        <is>
          <t>Tail intensity (x)</t>
        </is>
      </c>
    </row>
    <row r="3">
      <c r="A3" s="34" t="inlineStr">
        <is>
          <t>Buy-side TDD (corp / stock)</t>
        </is>
      </c>
      <c r="B3" s="35" t="n">
        <v>2</v>
      </c>
      <c r="C3" s="35" t="n">
        <v>3</v>
      </c>
      <c r="D3" s="35" t="n">
        <v>5</v>
      </c>
      <c r="E3" s="35" t="n">
        <v>10</v>
      </c>
      <c r="F3" s="35" t="n">
        <v>14</v>
      </c>
      <c r="G3" s="35" t="n">
        <v>0</v>
      </c>
      <c r="H3" s="35" t="n">
        <v>16</v>
      </c>
      <c r="I3" s="36" t="n">
        <v>10</v>
      </c>
      <c r="J3" s="37" t="n">
        <v>0.5</v>
      </c>
      <c r="K3" s="38" t="n">
        <v>1.4</v>
      </c>
      <c r="L3" s="39">
        <f>IF((1-$J3)=0,1,(1-$J3*$K3)/(1-$J3))</f>
        <v/>
      </c>
    </row>
    <row r="4">
      <c r="A4" s="34" t="inlineStr">
        <is>
          <t>Buy-side TDD + Structuring</t>
        </is>
      </c>
      <c r="B4" s="35" t="n">
        <v>3</v>
      </c>
      <c r="C4" s="35" t="n">
        <v>4</v>
      </c>
      <c r="D4" s="35" t="n">
        <v>6</v>
      </c>
      <c r="E4" s="35" t="n">
        <v>12</v>
      </c>
      <c r="F4" s="35" t="n">
        <v>16</v>
      </c>
      <c r="G4" s="35" t="n">
        <v>0</v>
      </c>
      <c r="H4" s="35" t="n">
        <v>18</v>
      </c>
      <c r="I4" s="36" t="n">
        <v>14</v>
      </c>
      <c r="J4" s="37" t="n">
        <v>0.45</v>
      </c>
      <c r="K4" s="38" t="n">
        <v>1.35</v>
      </c>
      <c r="L4" s="39">
        <f>IF((1-$J4)=0,1,(1-$J4*$K4)/(1-$J4))</f>
        <v/>
      </c>
    </row>
    <row r="5">
      <c r="A5" s="34" t="inlineStr">
        <is>
          <t>Sell-side / VDD</t>
        </is>
      </c>
      <c r="B5" s="35" t="n">
        <v>2</v>
      </c>
      <c r="C5" s="35" t="n">
        <v>3</v>
      </c>
      <c r="D5" s="35" t="n">
        <v>5</v>
      </c>
      <c r="E5" s="35" t="n">
        <v>9</v>
      </c>
      <c r="F5" s="35" t="n">
        <v>12</v>
      </c>
      <c r="G5" s="35" t="n">
        <v>0</v>
      </c>
      <c r="H5" s="35" t="n">
        <v>14</v>
      </c>
      <c r="I5" s="36" t="n">
        <v>10</v>
      </c>
      <c r="J5" s="37" t="n">
        <v>0.5</v>
      </c>
      <c r="K5" s="38" t="n">
        <v>1.3</v>
      </c>
      <c r="L5" s="39">
        <f>IF((1-$J5)=0,1,(1-$J5*$K5)/(1-$J5))</f>
        <v/>
      </c>
    </row>
    <row r="6">
      <c r="A6" s="34" t="inlineStr">
        <is>
          <t>Structuring only (back-loaded)</t>
        </is>
      </c>
      <c r="B6" s="35" t="n">
        <v>3</v>
      </c>
      <c r="C6" s="35" t="n">
        <v>5</v>
      </c>
      <c r="D6" s="35" t="n">
        <v>8</v>
      </c>
      <c r="E6" s="35" t="n">
        <v>10</v>
      </c>
      <c r="F6" s="35" t="n">
        <v>10</v>
      </c>
      <c r="G6" s="35" t="n">
        <v>0</v>
      </c>
      <c r="H6" s="35" t="n">
        <v>8</v>
      </c>
      <c r="I6" s="36" t="n">
        <v>8</v>
      </c>
      <c r="J6" s="37" t="n">
        <v>0.5</v>
      </c>
      <c r="K6" s="38" t="n">
        <v>0.7</v>
      </c>
      <c r="L6" s="39">
        <f>IF((1-$J6)=0,1,(1-$J6*$K6)/(1-$J6))</f>
        <v/>
      </c>
    </row>
    <row r="7">
      <c r="A7" s="34" t="inlineStr">
        <is>
          <t>Tax equity / PW&amp;A (renewable)</t>
        </is>
      </c>
      <c r="B7" s="35" t="n">
        <v>1</v>
      </c>
      <c r="C7" s="35" t="n">
        <v>2</v>
      </c>
      <c r="D7" s="35" t="n">
        <v>3</v>
      </c>
      <c r="E7" s="35" t="n">
        <v>4</v>
      </c>
      <c r="F7" s="35" t="n">
        <v>4</v>
      </c>
      <c r="G7" s="35" t="n">
        <v>6</v>
      </c>
      <c r="H7" s="35" t="n">
        <v>2</v>
      </c>
      <c r="I7" s="36" t="n">
        <v>6</v>
      </c>
      <c r="J7" s="37" t="n">
        <v>0.5</v>
      </c>
      <c r="K7" s="38" t="n">
        <v>1.2</v>
      </c>
      <c r="L7" s="39">
        <f>IF((1-$J7)=0,1,(1-$J7*$K7)/(1-$J7))</f>
        <v/>
      </c>
    </row>
    <row r="8">
      <c r="A8" s="34" t="inlineStr">
        <is>
          <t>FIRPTA / cross-border</t>
        </is>
      </c>
      <c r="B8" s="35" t="n">
        <v>2</v>
      </c>
      <c r="C8" s="35" t="n">
        <v>3</v>
      </c>
      <c r="D8" s="35" t="n">
        <v>4</v>
      </c>
      <c r="E8" s="35" t="n">
        <v>6</v>
      </c>
      <c r="F8" s="35" t="n">
        <v>8</v>
      </c>
      <c r="G8" s="35" t="n">
        <v>0</v>
      </c>
      <c r="H8" s="35" t="n">
        <v>8</v>
      </c>
      <c r="I8" s="36" t="n">
        <v>6</v>
      </c>
      <c r="J8" s="37" t="n">
        <v>0.5</v>
      </c>
      <c r="K8" s="38" t="n">
        <v>1.2</v>
      </c>
      <c r="L8" s="39">
        <f>IF((1-$J8)=0,1,(1-$J8*$K8)/(1-$J8))</f>
        <v/>
      </c>
    </row>
    <row r="9">
      <c r="A9" s="34" t="inlineStr">
        <is>
          <t>Modeling / QoT support</t>
        </is>
      </c>
      <c r="B9" s="35" t="n">
        <v>1</v>
      </c>
      <c r="C9" s="35" t="n">
        <v>2</v>
      </c>
      <c r="D9" s="35" t="n">
        <v>3</v>
      </c>
      <c r="E9" s="35" t="n">
        <v>6</v>
      </c>
      <c r="F9" s="35" t="n">
        <v>10</v>
      </c>
      <c r="G9" s="35" t="n">
        <v>0</v>
      </c>
      <c r="H9" s="35" t="n">
        <v>12</v>
      </c>
      <c r="I9" s="36" t="n">
        <v>6</v>
      </c>
      <c r="J9" s="37" t="n">
        <v>0.5</v>
      </c>
      <c r="K9" s="38" t="n">
        <v>1</v>
      </c>
      <c r="L9" s="39">
        <f>IF((1-$J9)=0,1,(1-$J9*$K9)/(1-$J9))</f>
        <v/>
      </c>
    </row>
    <row r="10">
      <c r="A10" s="34" t="inlineStr">
        <is>
          <t>Ad-hoc / advisory (light)</t>
        </is>
      </c>
      <c r="B10" s="35" t="n">
        <v>1</v>
      </c>
      <c r="C10" s="35" t="n">
        <v>1</v>
      </c>
      <c r="D10" s="35" t="n">
        <v>2</v>
      </c>
      <c r="E10" s="35" t="n">
        <v>3</v>
      </c>
      <c r="F10" s="35" t="n">
        <v>4</v>
      </c>
      <c r="G10" s="35" t="n">
        <v>2</v>
      </c>
      <c r="H10" s="35" t="n">
        <v>4</v>
      </c>
      <c r="I10" s="36" t="n">
        <v>4</v>
      </c>
      <c r="J10" s="37" t="n">
        <v>0.5</v>
      </c>
      <c r="K10" s="38" t="n">
        <v>1</v>
      </c>
      <c r="L10" s="39">
        <f>IF((1-$J10)=0,1,(1-$J10*$K10)/(1-$J10))</f>
        <v/>
      </c>
    </row>
    <row r="11"/>
    <row r="12">
      <c r="A12" s="6" t="inlineStr">
        <is>
          <t>All hrs/wk and phase numbers are PLACEHOLDERS (yellow) - tune in the template workshop. Each deal on the Deals tab picks an Archetype; its per-level hrs/wk then drive that deal's assignments (an Override on an assignment still wins). Front intensity x tail, weighted by phase length, averages to 1.0, so phasing only redistributes hours across a deal's timeline - it never changes the total. Tail intensity is a formula (leave it); it is what keeps the average at 1.0.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40" t="n">
        <v>46223</v>
      </c>
    </row>
    <row r="4">
      <c r="A4" s="12" t="inlineStr">
        <is>
          <t>Probability-weight the Capacity view? (Yes/No)</t>
        </is>
      </c>
      <c r="B4" s="41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34" t="inlineStr">
        <is>
          <t>Partner</t>
        </is>
      </c>
      <c r="B8" s="35" t="n">
        <v>2</v>
      </c>
      <c r="D8" s="34" t="inlineStr">
        <is>
          <t>Proposal</t>
        </is>
      </c>
      <c r="E8" s="34" t="inlineStr">
        <is>
          <t>Pre-LOI</t>
        </is>
      </c>
      <c r="F8" s="34" t="inlineStr">
        <is>
          <t>Stock</t>
        </is>
      </c>
      <c r="G8" s="34" t="inlineStr">
        <is>
          <t>Corp</t>
        </is>
      </c>
      <c r="H8" s="34" t="inlineStr">
        <is>
          <t>TDD</t>
        </is>
      </c>
      <c r="I8" s="34" t="inlineStr">
        <is>
          <t>Standard</t>
        </is>
      </c>
      <c r="J8" s="34" t="inlineStr">
        <is>
          <t>Active</t>
        </is>
      </c>
      <c r="K8" s="34" t="inlineStr">
        <is>
          <t>Yes</t>
        </is>
      </c>
      <c r="L8" s="34" t="inlineStr">
        <is>
          <t>Partner</t>
        </is>
      </c>
    </row>
    <row r="9">
      <c r="A9" s="34" t="inlineStr">
        <is>
          <t>MD</t>
        </is>
      </c>
      <c r="B9" s="35" t="n">
        <v>3</v>
      </c>
      <c r="D9" s="34" t="inlineStr">
        <is>
          <t>Active</t>
        </is>
      </c>
      <c r="E9" s="34" t="inlineStr">
        <is>
          <t>Diligence</t>
        </is>
      </c>
      <c r="F9" s="34" t="inlineStr">
        <is>
          <t>Asset</t>
        </is>
      </c>
      <c r="G9" s="34" t="inlineStr">
        <is>
          <t>Flow-through</t>
        </is>
      </c>
      <c r="H9" s="34" t="inlineStr">
        <is>
          <t>Structuring</t>
        </is>
      </c>
      <c r="I9" s="34" t="inlineStr">
        <is>
          <t>Compressed</t>
        </is>
      </c>
      <c r="J9" s="34" t="inlineStr">
        <is>
          <t>Inactive</t>
        </is>
      </c>
      <c r="K9" s="34" t="inlineStr">
        <is>
          <t>No</t>
        </is>
      </c>
      <c r="L9" s="34" t="inlineStr">
        <is>
          <t>MD</t>
        </is>
      </c>
    </row>
    <row r="10">
      <c r="A10" s="34" t="inlineStr">
        <is>
          <t>Director</t>
        </is>
      </c>
      <c r="B10" s="35" t="n">
        <v>5</v>
      </c>
      <c r="D10" s="34" t="inlineStr">
        <is>
          <t>On hold</t>
        </is>
      </c>
      <c r="E10" s="34" t="inlineStr">
        <is>
          <t>Signing to close</t>
        </is>
      </c>
      <c r="F10" s="34" t="inlineStr">
        <is>
          <t>Partnership</t>
        </is>
      </c>
      <c r="G10" s="34" t="inlineStr">
        <is>
          <t>Mixed</t>
        </is>
      </c>
      <c r="H10" s="34" t="inlineStr">
        <is>
          <t>Modeling</t>
        </is>
      </c>
      <c r="L10" s="34" t="inlineStr">
        <is>
          <t>Director</t>
        </is>
      </c>
    </row>
    <row r="11">
      <c r="A11" s="34" t="inlineStr">
        <is>
          <t>VP</t>
        </is>
      </c>
      <c r="B11" s="35" t="n">
        <v>8</v>
      </c>
      <c r="D11" s="34" t="inlineStr">
        <is>
          <t>Pens down</t>
        </is>
      </c>
      <c r="E11" s="34" t="inlineStr">
        <is>
          <t>Post-close</t>
        </is>
      </c>
      <c r="F11" s="34" t="inlineStr">
        <is>
          <t>Mixed</t>
        </is>
      </c>
      <c r="G11" s="34" t="inlineStr">
        <is>
          <t>N/A</t>
        </is>
      </c>
      <c r="H11" s="34" t="inlineStr">
        <is>
          <t>TDD + Structuring</t>
        </is>
      </c>
      <c r="L11" s="34" t="inlineStr">
        <is>
          <t>VP</t>
        </is>
      </c>
    </row>
    <row r="12">
      <c r="A12" s="34" t="inlineStr">
        <is>
          <t>Senior Associate</t>
        </is>
      </c>
      <c r="B12" s="35" t="n">
        <v>10</v>
      </c>
      <c r="D12" s="34" t="inlineStr">
        <is>
          <t>Complete - to invoice</t>
        </is>
      </c>
      <c r="F12" s="34" t="inlineStr">
        <is>
          <t>N/A</t>
        </is>
      </c>
      <c r="H12" s="34" t="inlineStr">
        <is>
          <t>Full scope</t>
        </is>
      </c>
      <c r="L12" s="34" t="inlineStr">
        <is>
          <t>Senior Associate</t>
        </is>
      </c>
    </row>
    <row r="13">
      <c r="A13" s="34" t="inlineStr">
        <is>
          <t>Renewable Specialist</t>
        </is>
      </c>
      <c r="B13" s="35" t="n">
        <v>2</v>
      </c>
      <c r="D13" s="34" t="inlineStr">
        <is>
          <t>Invoiced</t>
        </is>
      </c>
      <c r="H13" s="34" t="inlineStr">
        <is>
          <t>PW&amp;A / Review</t>
        </is>
      </c>
      <c r="L13" s="34" t="inlineStr">
        <is>
          <t>Renewable Specialist</t>
        </is>
      </c>
    </row>
    <row r="14">
      <c r="A14" s="34" t="inlineStr">
        <is>
          <t>Associate</t>
        </is>
      </c>
      <c r="B14" s="35" t="n">
        <v>12</v>
      </c>
      <c r="D14" s="34" t="inlineStr">
        <is>
          <t>Closed</t>
        </is>
      </c>
      <c r="H14" s="34" t="inlineStr">
        <is>
          <t>SALT</t>
        </is>
      </c>
      <c r="L14" s="34" t="inlineStr">
        <is>
          <t>Associate</t>
        </is>
      </c>
    </row>
    <row r="15">
      <c r="D15" s="34" t="inlineStr">
        <is>
          <t>Dead</t>
        </is>
      </c>
      <c r="H15" s="34" t="inlineStr">
        <is>
          <t>Other</t>
        </is>
      </c>
    </row>
    <row r="16">
      <c r="D16" s="34" t="inlineStr">
        <is>
          <t>Internal</t>
        </is>
      </c>
    </row>
    <row r="17">
      <c r="A17" s="6" t="inlineStr">
        <is>
          <t>Lists to the right feed the dropdowns. Add values as the practice evolves; deleting a value in use does not change existing rows.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F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</t>
        </is>
      </c>
    </row>
    <row r="2">
      <c r="A2" s="6" t="inlineStr">
        <is>
          <t>Built automatically from Scheduling_US_MA_July_9.xlsx. Nothing was deleted. Section 1 needs a human answer (yellow column); section 2 was resolved from the source data and is here only as an audit trail.</t>
        </is>
      </c>
    </row>
    <row r="3"/>
    <row r="4" ht="28" customHeight="1">
      <c r="A4" s="14" t="inlineStr">
        <is>
          <t>Topic</t>
        </is>
      </c>
      <c r="B4" s="14" t="inlineStr">
        <is>
          <t>Person</t>
        </is>
      </c>
      <c r="C4" s="14" t="inlineStr">
        <is>
          <t>Project</t>
        </is>
      </c>
      <c r="D4" s="14" t="inlineStr">
        <is>
          <t>Detail</t>
        </is>
      </c>
      <c r="E4" s="14" t="inlineStr">
        <is>
          <t>Suggested action</t>
        </is>
      </c>
      <c r="F4" s="14" t="inlineStr">
        <is>
          <t>Your decision</t>
        </is>
      </c>
    </row>
    <row r="5">
      <c r="A5" s="42" t="inlineStr">
        <is>
          <t>1) REVIEWED 2026-07-19  (8 items)  -  team's answer in the last column; amber = still partly open</t>
        </is>
      </c>
    </row>
    <row r="6">
      <c r="A6" s="3" t="inlineStr">
        <is>
          <t>Ambiguous 'Kyle' rows skipped</t>
        </is>
      </c>
      <c r="B6" s="3" t="inlineStr">
        <is>
          <t>Kyle (?)</t>
        </is>
      </c>
      <c r="C6" s="3" t="inlineStr">
        <is>
          <t>CopiaAdHoc_1, Dorsia_1, Gateway_3, Guardian_3, Shika_1</t>
        </is>
      </c>
      <c r="D6" s="3" t="inlineStr">
        <is>
          <t>Summary tab has one 'Kyle' block; these projects have neither/both Kyles on the register so the status was not applied</t>
        </is>
      </c>
      <c r="E6" s="3" t="inlineStr">
        <is>
          <t>Check which Kyle and set Active? manually</t>
        </is>
      </c>
      <c r="F6" s="3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7">
      <c r="A7" s="3" t="inlineStr">
        <is>
          <t>Deal dates blank</t>
        </is>
      </c>
      <c r="B7" s="3" t="inlineStr"/>
      <c r="C7" s="3" t="inlineStr">
        <is>
          <t>All deals</t>
        </is>
      </c>
      <c r="D7" s="3" t="inlineStr">
        <is>
          <t>The July 9 file has no dates, so every deal counts in every week of the Capacity view</t>
        </is>
      </c>
      <c r="E7" s="3" t="inlineStr">
        <is>
          <t>Fill Expected start/end (yellow cells) to time-phase the load</t>
        </is>
      </c>
      <c r="F7" s="3" t="inlineStr">
        <is>
          <t>No start/end dates yet (per review). Deals keep counting in every week until dates are added; the Step 3 phase curve activates then.</t>
        </is>
      </c>
    </row>
    <row r="8">
      <c r="A8" s="3" t="inlineStr">
        <is>
          <t>Effort templates are placeholders</t>
        </is>
      </c>
      <c r="B8" s="3" t="inlineStr"/>
      <c r="C8" s="3" t="inlineStr">
        <is>
          <t>Templates tab</t>
        </is>
      </c>
      <c r="D8" s="3" t="inlineStr">
        <is>
          <t>Step 3 added deal archetypes -&gt; hrs/wk by level + a diligence/tail phase shape. All numbers are directional placeholders.</t>
        </is>
      </c>
      <c r="E8" s="3" t="inlineStr">
        <is>
          <t>Tune in the template workshop; then set each deal's Archetype on Deals</t>
        </is>
      </c>
      <c r="F8" s="43" t="n"/>
    </row>
    <row r="9">
      <c r="A9" s="3" t="inlineStr">
        <is>
          <t>Level-default hours are placeholders</t>
        </is>
      </c>
      <c r="B9" s="3" t="inlineStr"/>
      <c r="C9" s="3" t="inlineStr">
        <is>
          <t>Settings B8:B14</t>
        </is>
      </c>
      <c r="D9" s="3" t="inlineStr">
        <is>
          <t>Hours/wk per level are directional guesses; used only for deals with no archetype set</t>
        </is>
      </c>
      <c r="E9" s="3" t="inlineStr">
        <is>
          <t>Tune with the team, or assign archetypes instead</t>
        </is>
      </c>
      <c r="F9" s="43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0">
      <c r="A10" s="3" t="inlineStr">
        <is>
          <t>Proposal probabilities defaulted</t>
        </is>
      </c>
      <c r="B10" s="3" t="inlineStr"/>
      <c r="C10" s="3" t="inlineStr">
        <is>
          <t>All 'Proposal' deals</t>
        </is>
      </c>
      <c r="D10" s="3" t="inlineStr">
        <is>
          <t>Probability prefilled at 50% (WIP deals at 100%)</t>
        </is>
      </c>
      <c r="E10" s="3" t="inlineStr">
        <is>
          <t>Set real probabilities in the yellow Probability cells (Deals tab)</t>
        </is>
      </c>
      <c r="F10" s="43" t="inlineStr">
        <is>
          <t>Semantics confirmed: probability = chance the proposal converts to WIP. Kept the 50% default pending per-proposal estimates.</t>
        </is>
      </c>
    </row>
    <row r="11">
      <c r="A11" s="3" t="inlineStr">
        <is>
          <t>Unclear personal status</t>
        </is>
      </c>
      <c r="B11" s="3" t="inlineStr">
        <is>
          <t>Patch</t>
        </is>
      </c>
      <c r="C11" s="3" t="inlineStr">
        <is>
          <t>CLS_1</t>
        </is>
      </c>
      <c r="D11" s="3" t="inlineStr">
        <is>
          <t>'Not sure what's going on with this one. This is an old project.'</t>
        </is>
      </c>
      <c r="E11" s="3" t="inlineStr">
        <is>
          <t>Set Active? on the Assignments tab</t>
        </is>
      </c>
      <c r="F11" s="3" t="inlineStr">
        <is>
          <t>Patch INACTIVE on CLS_1 (user: no) - applied.</t>
        </is>
      </c>
    </row>
    <row r="12">
      <c r="A12" s="3" t="inlineStr">
        <is>
          <t>Unclear personal status</t>
        </is>
      </c>
      <c r="B12" s="3" t="inlineStr">
        <is>
          <t>Patch</t>
        </is>
      </c>
      <c r="C12" s="3" t="inlineStr">
        <is>
          <t>MIF_1</t>
        </is>
      </c>
      <c r="D12" s="3" t="inlineStr">
        <is>
          <t>'Don't know what this is'</t>
        </is>
      </c>
      <c r="E12" s="3" t="inlineStr">
        <is>
          <t>Set Active? on the Assignments tab</t>
        </is>
      </c>
      <c r="F12" s="3" t="inlineStr">
        <is>
          <t>Patch ACTIVE on MIF_1 (user: yes) - applied.</t>
        </is>
      </c>
    </row>
    <row r="13">
      <c r="A13" s="3" t="inlineStr">
        <is>
          <t>Weekly capacity is a placeholder</t>
        </is>
      </c>
      <c r="B13" s="3" t="inlineStr"/>
      <c r="C13" s="3" t="inlineStr">
        <is>
          <t>All roster</t>
        </is>
      </c>
      <c r="D13" s="3" t="inlineStr">
        <is>
          <t>Everyone is set to 40 h/wk (Roster column D)</t>
        </is>
      </c>
      <c r="E13" s="3" t="inlineStr">
        <is>
          <t>Set each person's real weekly capacity</t>
        </is>
      </c>
      <c r="F13" s="3" t="inlineStr">
        <is>
          <t>Confirmed 40 h/wk per person (real, no longer a placeholder).</t>
        </is>
      </c>
    </row>
    <row r="14"/>
    <row r="15">
      <c r="A15" s="44" t="inlineStr">
        <is>
          <t>2) RESOLVED FROM SOURCE DATA  (27 items)  -  audit trail, no action needed</t>
        </is>
      </c>
    </row>
    <row r="16">
      <c r="A16" s="3" t="inlineStr">
        <is>
          <t>Duplicate register rows merged</t>
        </is>
      </c>
      <c r="B16" s="3" t="inlineStr"/>
      <c r="C16" s="3" t="inlineStr">
        <is>
          <t>Cosmetic _1</t>
        </is>
      </c>
      <c r="D16" s="3" t="inlineStr">
        <is>
          <t>Two rows in the July 9 register, same client; differ mainly in status - kept lifecycle 'Active'</t>
        </is>
      </c>
      <c r="E16" s="3" t="inlineStr">
        <is>
          <t>Confirmed one engagement; no action needed</t>
        </is>
      </c>
      <c r="F16" s="6" t="inlineStr">
        <is>
          <t>resolved</t>
        </is>
      </c>
    </row>
    <row r="17">
      <c r="A17" s="3" t="inlineStr">
        <is>
          <t>Engagement recovered from Summary tab</t>
        </is>
      </c>
      <c r="B17" s="3" t="inlineStr">
        <is>
          <t>George</t>
        </is>
      </c>
      <c r="C17" s="3" t="inlineStr">
        <is>
          <t>Brick_1</t>
        </is>
      </c>
      <c r="D17" s="3" t="inlineStr">
        <is>
          <t>Not in the register; found on the Summary tab (status: 'Ongoing'). Client recovered from source: Fengate.</t>
        </is>
      </c>
      <c r="E17" s="3" t="inlineStr">
        <is>
          <t>Client filled in - confirm, then add deal attributes (type / scope / complexity) when known</t>
        </is>
      </c>
      <c r="F17" s="6" t="inlineStr">
        <is>
          <t>resolved</t>
        </is>
      </c>
    </row>
    <row r="18">
      <c r="A18" s="3" t="inlineStr">
        <is>
          <t>Engagement recovered from Summary tab</t>
        </is>
      </c>
      <c r="B18" s="3" t="inlineStr">
        <is>
          <t>George</t>
        </is>
      </c>
      <c r="C18" s="3" t="inlineStr">
        <is>
          <t>Manchester_1</t>
        </is>
      </c>
      <c r="D18" s="3" t="inlineStr">
        <is>
          <t>Not in the register; found on the Summary tab (status: 'Ongoing'). Client recovered from source: Fengate.</t>
        </is>
      </c>
      <c r="E18" s="3" t="inlineStr">
        <is>
          <t>Client filled in - confirm, then add deal attributes (type / scope / complexity) when known</t>
        </is>
      </c>
      <c r="F18" s="6" t="inlineStr">
        <is>
          <t>resolved</t>
        </is>
      </c>
    </row>
    <row r="19">
      <c r="A19" s="3" t="inlineStr">
        <is>
          <t>Engagement recovered from Summary tab</t>
        </is>
      </c>
      <c r="B19" s="3" t="inlineStr">
        <is>
          <t>George</t>
        </is>
      </c>
      <c r="C19" s="3" t="inlineStr">
        <is>
          <t>Bolt_2</t>
        </is>
      </c>
      <c r="D19" s="3" t="inlineStr">
        <is>
          <t>Not in the register; found on the Summary tab (status: 'Ongoing'). Client recovered from source: Brookfield.</t>
        </is>
      </c>
      <c r="E19" s="3" t="inlineStr">
        <is>
          <t>Client filled in - confirm, then add deal attributes (type / scope / complexity) when known</t>
        </is>
      </c>
      <c r="F19" s="6" t="inlineStr">
        <is>
          <t>resolved</t>
        </is>
      </c>
    </row>
    <row r="20">
      <c r="A20" s="3" t="inlineStr">
        <is>
          <t>Engagement recovered from Summary tab</t>
        </is>
      </c>
      <c r="B20" s="3" t="inlineStr">
        <is>
          <t>George</t>
        </is>
      </c>
      <c r="C20" s="3" t="inlineStr">
        <is>
          <t>Instinct_1</t>
        </is>
      </c>
      <c r="D20" s="3" t="inlineStr">
        <is>
          <t>Not in the register; found on the Summary tab (status: 'Ongoing'). Client recovered from source: Brookfield.</t>
        </is>
      </c>
      <c r="E20" s="3" t="inlineStr">
        <is>
          <t>Client filled in - confirm, then add deal attributes (type / scope / complexity) when known</t>
        </is>
      </c>
      <c r="F20" s="6" t="inlineStr">
        <is>
          <t>resolved</t>
        </is>
      </c>
    </row>
    <row r="21">
      <c r="A21" s="3" t="inlineStr">
        <is>
          <t>Engagement recovered from Summary tab</t>
        </is>
      </c>
      <c r="B21" s="3" t="inlineStr">
        <is>
          <t>Justine</t>
        </is>
      </c>
      <c r="C21" s="3" t="inlineStr">
        <is>
          <t>EV3</t>
        </is>
      </c>
      <c r="D21" s="3" t="inlineStr">
        <is>
          <t>Not in the register; found on the Summary tab (status: 'Proposal'). Client recovered from source: Kalos LLP.</t>
        </is>
      </c>
      <c r="E21" s="3" t="inlineStr">
        <is>
          <t>Client filled in - confirm, then add deal attributes (type / scope / complexity) when known</t>
        </is>
      </c>
      <c r="F21" s="6" t="inlineStr">
        <is>
          <t>resolved</t>
        </is>
      </c>
    </row>
    <row r="22">
      <c r="A22" s="3" t="inlineStr">
        <is>
          <t>Engagement recovered from Summary tab</t>
        </is>
      </c>
      <c r="B22" s="3" t="inlineStr">
        <is>
          <t>Justine</t>
        </is>
      </c>
      <c r="C22" s="3" t="inlineStr">
        <is>
          <t>Westfold</t>
        </is>
      </c>
      <c r="D22" s="3" t="inlineStr">
        <is>
          <t>Not in the register; found on the Summary tab (status: 'Ongoing'). Client recovered from source: EQT Group.</t>
        </is>
      </c>
      <c r="E22" s="3" t="inlineStr">
        <is>
          <t>Client filled in - confirm, then add deal attributes (type / scope / complexity) when known</t>
        </is>
      </c>
      <c r="F22" s="6" t="inlineStr">
        <is>
          <t>resolved</t>
        </is>
      </c>
    </row>
    <row r="23">
      <c r="A23" s="3" t="inlineStr">
        <is>
          <t>Engagement recovered from Summary tab</t>
        </is>
      </c>
      <c r="B23" s="3" t="inlineStr">
        <is>
          <t>Justine</t>
        </is>
      </c>
      <c r="C23" s="3" t="inlineStr">
        <is>
          <t>Scale Add On</t>
        </is>
      </c>
      <c r="D23" s="3" t="inlineStr">
        <is>
          <t>Not in the register; found on the Summary tab (status: 'Proposal - to be coming soon'). Client recovered from source: EQT Group.</t>
        </is>
      </c>
      <c r="E23" s="3" t="inlineStr">
        <is>
          <t>Client filled in - confirm, then add deal attributes (type / scope / complexity) when known</t>
        </is>
      </c>
      <c r="F23" s="6" t="inlineStr">
        <is>
          <t>resolved</t>
        </is>
      </c>
    </row>
    <row r="24">
      <c r="A24" s="3" t="inlineStr">
        <is>
          <t>Engagement recovered from Summary tab</t>
        </is>
      </c>
      <c r="B24" s="3" t="inlineStr">
        <is>
          <t>Justine</t>
        </is>
      </c>
      <c r="C24" s="3" t="inlineStr">
        <is>
          <t>EOS</t>
        </is>
      </c>
      <c r="D24" s="3" t="inlineStr">
        <is>
          <t>Not in the register; found on the Summary tab (status: 'Ongoing'). Client recovered from source: Eight Advisory.</t>
        </is>
      </c>
      <c r="E24" s="3" t="inlineStr">
        <is>
          <t>Client filled in - confirm, then add deal attributes (type / scope / complexity) when known</t>
        </is>
      </c>
      <c r="F24" s="6" t="inlineStr">
        <is>
          <t>resolved</t>
        </is>
      </c>
    </row>
    <row r="25">
      <c r="A25" s="3" t="inlineStr">
        <is>
          <t>Engagement recovered from Summary tab</t>
        </is>
      </c>
      <c r="B25" s="3" t="inlineStr">
        <is>
          <t>Justine</t>
        </is>
      </c>
      <c r="C25" s="3" t="inlineStr">
        <is>
          <t>Gerflor REORG</t>
        </is>
      </c>
      <c r="D25" s="3" t="inlineStr">
        <is>
          <t>Not in the register; found on the Summary tab (status: 'Proposal'). Client recovered from source: Arsene TaxAnd.</t>
        </is>
      </c>
      <c r="E25" s="3" t="inlineStr">
        <is>
          <t>Client filled in - confirm, then add deal attributes (type / scope / complexity) when known</t>
        </is>
      </c>
      <c r="F25" s="6" t="inlineStr">
        <is>
          <t>resolved</t>
        </is>
      </c>
    </row>
    <row r="26">
      <c r="A26" s="3" t="inlineStr">
        <is>
          <t>Engagement recovered from Summary tab</t>
        </is>
      </c>
      <c r="B26" s="3" t="inlineStr">
        <is>
          <t>Justine</t>
        </is>
      </c>
      <c r="C26" s="3" t="inlineStr">
        <is>
          <t>Theta_1</t>
        </is>
      </c>
      <c r="D26" s="3" t="inlineStr">
        <is>
          <t>Not in the register; found on the Summary tab (status: 'Proposal'). Client recovered from source: Thetha FIRPTA.</t>
        </is>
      </c>
      <c r="E26" s="3" t="inlineStr">
        <is>
          <t>Client filled in - confirm, then add deal attributes (type / scope / complexity) when known</t>
        </is>
      </c>
      <c r="F26" s="6" t="inlineStr">
        <is>
          <t>resolved</t>
        </is>
      </c>
    </row>
    <row r="27">
      <c r="A27" s="3" t="inlineStr">
        <is>
          <t>Engagement recovered from Summary tab</t>
        </is>
      </c>
      <c r="B27" s="3" t="inlineStr">
        <is>
          <t>Nina</t>
        </is>
      </c>
      <c r="C27" s="3" t="inlineStr">
        <is>
          <t>Legolas_1</t>
        </is>
      </c>
      <c r="D27" s="3" t="inlineStr">
        <is>
          <t>Not in the register; found on the Summary tab (status: 'Closed'). Client recovered from source: SkyKnight Capital.</t>
        </is>
      </c>
      <c r="E27" s="3" t="inlineStr">
        <is>
          <t>Client filled in - confirm, then add deal attributes (type / scope / complexity) when known</t>
        </is>
      </c>
      <c r="F27" s="6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Nina</t>
        </is>
      </c>
      <c r="C28" s="3" t="inlineStr">
        <is>
          <t>Avlino_1</t>
        </is>
      </c>
      <c r="D28" s="3" t="inlineStr">
        <is>
          <t>Not in the register; found on the Summary tab (status: 'Ongoing'). Client recovered from source: Diversis Capital.</t>
        </is>
      </c>
      <c r="E28" s="3" t="inlineStr">
        <is>
          <t>Client filled in - confirm, then add deal attributes (type / scope / complexity) when known</t>
        </is>
      </c>
      <c r="F28" s="6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Nina</t>
        </is>
      </c>
      <c r="C29" s="3" t="inlineStr">
        <is>
          <t>EOS VDD_1</t>
        </is>
      </c>
      <c r="D29" s="3" t="inlineStr">
        <is>
          <t>Not in the register; found on the Summary tab (status: 'Ongoing'). Client recovered from source: Eight Advisory.</t>
        </is>
      </c>
      <c r="E29" s="3" t="inlineStr">
        <is>
          <t>Client filled in - confirm, then add deal attributes (type / scope / complexity) when known</t>
        </is>
      </c>
      <c r="F29" s="6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Nina</t>
        </is>
      </c>
      <c r="C30" s="3" t="inlineStr">
        <is>
          <t>EV3_1</t>
        </is>
      </c>
      <c r="D30" s="3" t="inlineStr">
        <is>
          <t>Not in the register; found on the Summary tab (status: 'Proposal sent'). Client recovered from source: Eva Equity partners.</t>
        </is>
      </c>
      <c r="E30" s="3" t="inlineStr">
        <is>
          <t>Client filled in - confirm, then add deal attributes (type / scope / complexity) when known</t>
        </is>
      </c>
      <c r="F30" s="6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Nina</t>
        </is>
      </c>
      <c r="C31" s="3" t="inlineStr">
        <is>
          <t>Irradiant_ITC_1</t>
        </is>
      </c>
      <c r="D31" s="3" t="inlineStr">
        <is>
          <t>Not in the register; found on the Summary tab (status: 'Ongoing'). Client recovered from source: Apollo.</t>
        </is>
      </c>
      <c r="E31" s="3" t="inlineStr">
        <is>
          <t>Client filled in - confirm, then add deal attributes (type / scope / complexity) when known</t>
        </is>
      </c>
      <c r="F31" s="6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Nina</t>
        </is>
      </c>
      <c r="C32" s="3" t="inlineStr">
        <is>
          <t>kingfisher FIRPTA</t>
        </is>
      </c>
      <c r="D32" s="3" t="inlineStr">
        <is>
          <t>Not in the register; found on the Summary tab (status: 'Proposal sent'). Client recovered from source: CVC.</t>
        </is>
      </c>
      <c r="E32" s="3" t="inlineStr">
        <is>
          <t>Client filled in - confirm, then add deal attributes (type / scope / complexity) when known</t>
        </is>
      </c>
      <c r="F32" s="6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Nina</t>
        </is>
      </c>
      <c r="C33" s="3" t="inlineStr">
        <is>
          <t>code not yet requested</t>
        </is>
      </c>
      <c r="D33" s="3" t="inlineStr">
        <is>
          <t>Not in the register; found on the Summary tab (status: 'Proposal'). Client recovered from source: Mascarene.</t>
        </is>
      </c>
      <c r="E33" s="3" t="inlineStr">
        <is>
          <t>Client filled in - confirm, then add deal attributes (type / scope / complexity) when known</t>
        </is>
      </c>
      <c r="F33" s="6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Nina</t>
        </is>
      </c>
      <c r="C34" s="3" t="inlineStr">
        <is>
          <t>Chile_1</t>
        </is>
      </c>
      <c r="D34" s="3" t="inlineStr">
        <is>
          <t>Not in the register; found on the Summary tab (status: 'Ongoing'). Client recovered from source: Inn-Flow.</t>
        </is>
      </c>
      <c r="E34" s="3" t="inlineStr">
        <is>
          <t>Client filled in - confirm, then add deal attributes (type / scope / complexity) when known</t>
        </is>
      </c>
      <c r="F34" s="6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Nina</t>
        </is>
      </c>
      <c r="C35" s="3" t="inlineStr">
        <is>
          <t>Pinnacel</t>
        </is>
      </c>
      <c r="D35" s="3" t="inlineStr">
        <is>
          <t>Not in the register; found on the Summary tab (status: 'Proposal sent'). Client recovered from source: Gauge.</t>
        </is>
      </c>
      <c r="E35" s="3" t="inlineStr">
        <is>
          <t>Client filled in - confirm, then add deal attributes (type / scope / complexity) when known</t>
        </is>
      </c>
      <c r="F35" s="6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Nina</t>
        </is>
      </c>
      <c r="C36" s="3" t="inlineStr">
        <is>
          <t>Cirque</t>
        </is>
      </c>
      <c r="D36" s="3" t="inlineStr">
        <is>
          <t>Not in the register; found on the Summary tab (status: 'Proposal sent'). Client recovered from source: Gauge.</t>
        </is>
      </c>
      <c r="E36" s="3" t="inlineStr">
        <is>
          <t>Client filled in - confirm, then add deal attributes (type / scope / complexity) when known</t>
        </is>
      </c>
      <c r="F36" s="6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Nina</t>
        </is>
      </c>
      <c r="C37" s="3" t="inlineStr">
        <is>
          <t>shareplan</t>
        </is>
      </c>
      <c r="D37" s="3" t="inlineStr">
        <is>
          <t>Not in the register; found on the Summary tab (status: 'Proposal sent'). Client recovered from source: Garrigues.</t>
        </is>
      </c>
      <c r="E37" s="3" t="inlineStr">
        <is>
          <t>Client filled in - confirm, then add deal attributes (type / scope / complexity) when known</t>
        </is>
      </c>
      <c r="F37" s="6" t="inlineStr">
        <is>
          <t>resolved</t>
        </is>
      </c>
    </row>
    <row r="38">
      <c r="A38" s="3" t="inlineStr">
        <is>
          <t>Engagement recovered from Summary tab</t>
        </is>
      </c>
      <c r="B38" s="3" t="inlineStr">
        <is>
          <t>Spencer</t>
        </is>
      </c>
      <c r="C38" s="3" t="inlineStr">
        <is>
          <t>Lockup</t>
        </is>
      </c>
      <c r="D38" s="3" t="inlineStr">
        <is>
          <t>Not in the register; found on the Summary tab (status: 'Proposal'). Client recovered from source: Brighthill Energy.</t>
        </is>
      </c>
      <c r="E38" s="3" t="inlineStr">
        <is>
          <t>Client filled in - confirm, then add deal attributes (type / scope / complexity) when known</t>
        </is>
      </c>
      <c r="F38" s="6" t="inlineStr">
        <is>
          <t>resolved</t>
        </is>
      </c>
    </row>
    <row r="39">
      <c r="A39" s="3" t="inlineStr">
        <is>
          <t>Name collision - resolved</t>
        </is>
      </c>
      <c r="B39" s="3" t="inlineStr"/>
      <c r="C39" s="3" t="inlineStr">
        <is>
          <t>EV3 / EV3_1</t>
        </is>
      </c>
      <c r="D39" s="3" t="inlineStr">
        <is>
          <t>Different clients (EV3 = Kalos LLP; EV3_1 = Eva Equity partners) - coincidental code similarity, not a duplicate</t>
        </is>
      </c>
      <c r="E39" s="3" t="inlineStr">
        <is>
          <t>Kept as two separate engagements; no action needed</t>
        </is>
      </c>
      <c r="F39" s="6" t="inlineStr">
        <is>
          <t>resolved</t>
        </is>
      </c>
    </row>
    <row r="40">
      <c r="A40" s="3" t="inlineStr">
        <is>
          <t>Old 'Filtered Status' tab</t>
        </is>
      </c>
      <c r="B40" s="3" t="inlineStr"/>
      <c r="C40" s="3" t="inlineStr">
        <is>
          <t>-</t>
        </is>
      </c>
      <c r="D40" s="3" t="inlineStr">
        <is>
          <t>It was a manual pivot of the per-person survey; superseded by the Assignments tab filters</t>
        </is>
      </c>
      <c r="E40" s="3" t="inlineStr">
        <is>
          <t>Nothing to do</t>
        </is>
      </c>
      <c r="F40" s="6" t="inlineStr">
        <is>
          <t>resolved</t>
        </is>
      </c>
    </row>
    <row r="41">
      <c r="A41" s="3" t="inlineStr">
        <is>
          <t>Unusual register status</t>
        </is>
      </c>
      <c r="B41" s="3" t="inlineStr"/>
      <c r="C41" s="3" t="inlineStr">
        <is>
          <t>ProEnergy_3</t>
        </is>
      </c>
      <c r="D41" s="3" t="inlineStr">
        <is>
          <t>'General Code' mapped to lifecycle 'Internal'</t>
        </is>
      </c>
      <c r="E41" s="3" t="inlineStr">
        <is>
          <t>Confirm or correct the Lifecycle on the Deals tab</t>
        </is>
      </c>
      <c r="F41" s="6" t="inlineStr">
        <is>
          <t>resolved</t>
        </is>
      </c>
    </row>
    <row r="42">
      <c r="A42" s="3" t="inlineStr">
        <is>
          <t>Unusual register status</t>
        </is>
      </c>
      <c r="B42" s="3" t="inlineStr"/>
      <c r="C42" s="3" t="inlineStr">
        <is>
          <t>Aypa Power General PW&amp;A Advisory_1</t>
        </is>
      </c>
      <c r="D42" s="3" t="inlineStr">
        <is>
          <t>'Not active' mapped to lifecycle 'On hold'</t>
        </is>
      </c>
      <c r="E42" s="3" t="inlineStr">
        <is>
          <t>Confirm or correct the Lifecycle on the Deals tab</t>
        </is>
      </c>
      <c r="F42" s="6" t="inlineStr">
        <is>
          <t>resolved</t>
        </is>
      </c>
    </row>
    <row r="43"/>
    <row r="44"/>
    <row r="45">
      <c r="A45" s="12" t="inlineStr">
        <is>
          <t>Per-person status mapping (raw text -&gt; Active?/Inactive)</t>
        </is>
      </c>
    </row>
    <row r="46" ht="28" customHeight="1">
      <c r="A46" s="14" t="inlineStr">
        <is>
          <t>Raw status (as typed)</t>
        </is>
      </c>
      <c r="B46" s="14" t="inlineStr">
        <is>
          <t>Mapped to</t>
        </is>
      </c>
      <c r="C46" s="14" t="inlineStr"/>
      <c r="D46" s="14" t="inlineStr"/>
      <c r="E46" s="14" t="inlineStr"/>
      <c r="F46" s="14" t="inlineStr"/>
    </row>
    <row r="47">
      <c r="A47" s="34" t="inlineStr">
        <is>
          <t>closing</t>
        </is>
      </c>
      <c r="B47" s="34" t="inlineStr">
        <is>
          <t>Active</t>
        </is>
      </c>
    </row>
    <row r="48">
      <c r="A48" s="34" t="inlineStr">
        <is>
          <t>finished phase i</t>
        </is>
      </c>
      <c r="B48" s="34" t="inlineStr">
        <is>
          <t>Active</t>
        </is>
      </c>
    </row>
    <row r="49">
      <c r="A49" s="34" t="inlineStr">
        <is>
          <t>ongoing</t>
        </is>
      </c>
      <c r="B49" s="34" t="inlineStr">
        <is>
          <t>Active</t>
        </is>
      </c>
    </row>
    <row r="50">
      <c r="A50" s="34" t="inlineStr">
        <is>
          <t>ongoing / jeremy</t>
        </is>
      </c>
      <c r="B50" s="34" t="inlineStr">
        <is>
          <t>Active</t>
        </is>
      </c>
    </row>
    <row r="51">
      <c r="A51" s="34" t="inlineStr">
        <is>
          <t>ongoing ad-hod</t>
        </is>
      </c>
      <c r="B51" s="34" t="inlineStr">
        <is>
          <t>Active</t>
        </is>
      </c>
    </row>
    <row r="52">
      <c r="A52" s="34" t="inlineStr">
        <is>
          <t>ongoing--close to invoicing</t>
        </is>
      </c>
      <c r="B52" s="34" t="inlineStr">
        <is>
          <t>Active</t>
        </is>
      </c>
    </row>
    <row r="53">
      <c r="A53" s="34" t="inlineStr">
        <is>
          <t>proposal</t>
        </is>
      </c>
      <c r="B53" s="34" t="inlineStr">
        <is>
          <t>Active</t>
        </is>
      </c>
    </row>
    <row r="54">
      <c r="A54" s="34" t="inlineStr">
        <is>
          <t>proposal - to be coming soon</t>
        </is>
      </c>
      <c r="B54" s="34" t="inlineStr">
        <is>
          <t>Active</t>
        </is>
      </c>
    </row>
    <row r="55">
      <c r="A55" s="34" t="inlineStr">
        <is>
          <t>proposal sent</t>
        </is>
      </c>
      <c r="B55" s="34" t="inlineStr">
        <is>
          <t>Active</t>
        </is>
      </c>
    </row>
    <row r="56">
      <c r="A56" s="34" t="inlineStr">
        <is>
          <t>salt deal</t>
        </is>
      </c>
      <c r="B56" s="34" t="inlineStr">
        <is>
          <t>Active</t>
        </is>
      </c>
    </row>
    <row r="57">
      <c r="A57" s="34" t="inlineStr">
        <is>
          <t>tdd done / structuring ongoing</t>
        </is>
      </c>
      <c r="B57" s="34" t="inlineStr">
        <is>
          <t>Active</t>
        </is>
      </c>
    </row>
    <row r="58">
      <c r="A58" s="34" t="inlineStr">
        <is>
          <t>waiting greenlight to kick off diligence.</t>
        </is>
      </c>
      <c r="B58" s="34" t="inlineStr">
        <is>
          <t>Active</t>
        </is>
      </c>
    </row>
    <row r="59">
      <c r="A59" s="34" t="inlineStr">
        <is>
          <t>client stopped responding to us re: invoicing.</t>
        </is>
      </c>
      <c r="B59" s="34" t="inlineStr">
        <is>
          <t>Inactive</t>
        </is>
      </c>
    </row>
    <row r="60">
      <c r="A60" s="34" t="inlineStr">
        <is>
          <t>closed</t>
        </is>
      </c>
      <c r="B60" s="34" t="inlineStr">
        <is>
          <t>Inactive</t>
        </is>
      </c>
    </row>
    <row r="61">
      <c r="A61" s="34" t="inlineStr">
        <is>
          <t>closed to be invoiced</t>
        </is>
      </c>
      <c r="B61" s="34" t="inlineStr">
        <is>
          <t>Inactive</t>
        </is>
      </c>
    </row>
    <row r="62">
      <c r="A62" s="34" t="inlineStr">
        <is>
          <t>closed--wire for payment should have been already sent</t>
        </is>
      </c>
      <c r="B62" s="34" t="inlineStr">
        <is>
          <t>Inactive</t>
        </is>
      </c>
    </row>
    <row r="63">
      <c r="A63" s="34" t="inlineStr">
        <is>
          <t>dead</t>
        </is>
      </c>
      <c r="B63" s="34" t="inlineStr">
        <is>
          <t>Inactive</t>
        </is>
      </c>
    </row>
    <row r="64">
      <c r="A64" s="34" t="inlineStr">
        <is>
          <t>died</t>
        </is>
      </c>
      <c r="B64" s="34" t="inlineStr">
        <is>
          <t>Inactive</t>
        </is>
      </c>
    </row>
    <row r="65">
      <c r="A65" s="34" t="inlineStr">
        <is>
          <t>don't know what this is</t>
        </is>
      </c>
      <c r="B65" s="34" t="inlineStr">
        <is>
          <t>Inactive</t>
        </is>
      </c>
    </row>
    <row r="66">
      <c r="A66" s="34" t="inlineStr">
        <is>
          <t>invoiced</t>
        </is>
      </c>
      <c r="B66" s="34" t="inlineStr">
        <is>
          <t>Inactive</t>
        </is>
      </c>
    </row>
    <row r="67">
      <c r="A67" s="34" t="inlineStr">
        <is>
          <t>invoicing soon</t>
        </is>
      </c>
      <c r="B67" s="34" t="inlineStr">
        <is>
          <t>Inactive</t>
        </is>
      </c>
    </row>
    <row r="68">
      <c r="A68" s="34" t="inlineStr">
        <is>
          <t>not involved in ongoing work</t>
        </is>
      </c>
      <c r="B68" s="34" t="inlineStr">
        <is>
          <t>Inactive</t>
        </is>
      </c>
    </row>
    <row r="69">
      <c r="A69" s="34" t="inlineStr">
        <is>
          <t>not really involved in ongoing work</t>
        </is>
      </c>
      <c r="B69" s="34" t="inlineStr">
        <is>
          <t>Inactive</t>
        </is>
      </c>
    </row>
    <row r="70">
      <c r="A70" s="34" t="inlineStr">
        <is>
          <t>not sure what's going on with this one. this is an old project.</t>
        </is>
      </c>
      <c r="B70" s="34" t="inlineStr">
        <is>
          <t>Inactive</t>
        </is>
      </c>
    </row>
    <row r="71">
      <c r="A71" s="34" t="inlineStr">
        <is>
          <t>on pause</t>
        </is>
      </c>
      <c r="B71" s="34" t="inlineStr">
        <is>
          <t>Inactive</t>
        </is>
      </c>
    </row>
    <row r="72">
      <c r="A72" s="34" t="inlineStr">
        <is>
          <t>ongoing but not involved with</t>
        </is>
      </c>
      <c r="B72" s="34" t="inlineStr">
        <is>
          <t>Inactive</t>
        </is>
      </c>
    </row>
    <row r="73">
      <c r="A73" s="34" t="inlineStr">
        <is>
          <t>pencils down</t>
        </is>
      </c>
      <c r="B73" s="34" t="inlineStr">
        <is>
          <t>Inactive</t>
        </is>
      </c>
    </row>
    <row r="74">
      <c r="A74" s="34" t="inlineStr">
        <is>
          <t>penicls down</t>
        </is>
      </c>
      <c r="B74" s="34" t="inlineStr">
        <is>
          <t>Inactive</t>
        </is>
      </c>
    </row>
    <row r="75">
      <c r="A75" s="34" t="inlineStr">
        <is>
          <t>pens dowm</t>
        </is>
      </c>
      <c r="B75" s="34" t="inlineStr">
        <is>
          <t>Inactive</t>
        </is>
      </c>
    </row>
    <row r="76">
      <c r="A76" s="34" t="inlineStr">
        <is>
          <t>pens down</t>
        </is>
      </c>
      <c r="B76" s="34" t="inlineStr">
        <is>
          <t>Inactive</t>
        </is>
      </c>
    </row>
    <row r="77">
      <c r="A77" s="34" t="inlineStr">
        <is>
          <t>this was probably when i was helping check tax insurance datarooms.</t>
        </is>
      </c>
      <c r="B77" s="34" t="inlineStr">
        <is>
          <t>Inactive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2026-07-19T01:48:51Z</dcterms:created>
  <dcterms:modified xsi:type="dcterms:W3CDTF">2026-07-19T01:48:52Z</dcterms:modified>
</cp:coreProperties>
</file>